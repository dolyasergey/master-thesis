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dolia/py/master-thesis/data/"/>
    </mc:Choice>
  </mc:AlternateContent>
  <xr:revisionPtr revIDLastSave="0" documentId="8_{57D3724A-989E-9240-A8DE-C184F39D91CA}" xr6:coauthVersionLast="47" xr6:coauthVersionMax="47" xr10:uidLastSave="{00000000-0000-0000-0000-000000000000}"/>
  <bookViews>
    <workbookView xWindow="0" yWindow="680" windowWidth="34200" windowHeight="19860" activeTab="2" xr2:uid="{91D27B13-6670-4CB9-A435-54D3E88A4525}"/>
  </bookViews>
  <sheets>
    <sheet name="IP" sheetId="12" r:id="rId1"/>
    <sheet name="IP - FA" sheetId="13" r:id="rId2"/>
    <sheet name="IP - Cost" sheetId="15" r:id="rId3"/>
    <sheet name="IP - Params" sheetId="14" r:id="rId4"/>
    <sheet name="GGG" sheetId="7" r:id="rId5"/>
    <sheet name="GGG - FA" sheetId="8" r:id="rId6"/>
    <sheet name="GGG - Cost" sheetId="16" r:id="rId7"/>
    <sheet name="GGG - Params" sheetId="20" r:id="rId8"/>
    <sheet name="ALFA" sheetId="3" r:id="rId9"/>
    <sheet name="ALFA - FA" sheetId="9" r:id="rId10"/>
    <sheet name="ALFA - Cost" sheetId="17" r:id="rId11"/>
    <sheet name="ALFA - Params" sheetId="21" r:id="rId12"/>
    <sheet name="REC" sheetId="5" r:id="rId13"/>
    <sheet name="REC - FA" sheetId="10" r:id="rId14"/>
    <sheet name="REC - Cost" sheetId="18" r:id="rId15"/>
    <sheet name="REC - Params" sheetId="22" r:id="rId16"/>
  </sheets>
  <definedNames>
    <definedName name="_xlnm._FilterDatabase" localSheetId="8" hidden="1">ALFA!$A$1:$B$4324</definedName>
    <definedName name="_xlnm._FilterDatabase" localSheetId="4" hidden="1">GGG!$A$1:$C$4811</definedName>
    <definedName name="_xlnm._FilterDatabase" localSheetId="12" hidden="1">REC!$A$1:$B$4818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B13" i="21"/>
  <c r="B13" i="14"/>
  <c r="L2" i="13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4057" i="7"/>
  <c r="C4058" i="7"/>
  <c r="C4059" i="7"/>
  <c r="C4060" i="7"/>
  <c r="C4061" i="7"/>
  <c r="C4062" i="7"/>
  <c r="C4063" i="7"/>
  <c r="C4064" i="7"/>
  <c r="C4065" i="7"/>
  <c r="C4066" i="7"/>
  <c r="C4067" i="7"/>
  <c r="C4068" i="7"/>
  <c r="C4069" i="7"/>
  <c r="C4070" i="7"/>
  <c r="C4071" i="7"/>
  <c r="C4072" i="7"/>
  <c r="C4073" i="7"/>
  <c r="C4074" i="7"/>
  <c r="C4075" i="7"/>
  <c r="C4076" i="7"/>
  <c r="C4077" i="7"/>
  <c r="C4078" i="7"/>
  <c r="C4079" i="7"/>
  <c r="C4080" i="7"/>
  <c r="C4081" i="7"/>
  <c r="C4082" i="7"/>
  <c r="C4083" i="7"/>
  <c r="C4084" i="7"/>
  <c r="C4085" i="7"/>
  <c r="C4086" i="7"/>
  <c r="C4087" i="7"/>
  <c r="C4088" i="7"/>
  <c r="C4089" i="7"/>
  <c r="C4090" i="7"/>
  <c r="C4091" i="7"/>
  <c r="C4092" i="7"/>
  <c r="C4093" i="7"/>
  <c r="C4094" i="7"/>
  <c r="C4095" i="7"/>
  <c r="C4096" i="7"/>
  <c r="C4097" i="7"/>
  <c r="C4098" i="7"/>
  <c r="C4099" i="7"/>
  <c r="C4100" i="7"/>
  <c r="C4101" i="7"/>
  <c r="C4102" i="7"/>
  <c r="C4103" i="7"/>
  <c r="C4104" i="7"/>
  <c r="C4105" i="7"/>
  <c r="C4106" i="7"/>
  <c r="C4107" i="7"/>
  <c r="C4108" i="7"/>
  <c r="C4109" i="7"/>
  <c r="C4110" i="7"/>
  <c r="C4111" i="7"/>
  <c r="C4112" i="7"/>
  <c r="C4113" i="7"/>
  <c r="C4114" i="7"/>
  <c r="C4115" i="7"/>
  <c r="C4116" i="7"/>
  <c r="C4117" i="7"/>
  <c r="C4118" i="7"/>
  <c r="C4119" i="7"/>
  <c r="C4120" i="7"/>
  <c r="C4121" i="7"/>
  <c r="C4122" i="7"/>
  <c r="C4123" i="7"/>
  <c r="C4124" i="7"/>
  <c r="C4125" i="7"/>
  <c r="C4126" i="7"/>
  <c r="C4127" i="7"/>
  <c r="C4128" i="7"/>
  <c r="C4129" i="7"/>
  <c r="C4130" i="7"/>
  <c r="C4131" i="7"/>
  <c r="C4132" i="7"/>
  <c r="C4133" i="7"/>
  <c r="C4134" i="7"/>
  <c r="C4135" i="7"/>
  <c r="C4136" i="7"/>
  <c r="C4137" i="7"/>
  <c r="C4138" i="7"/>
  <c r="C4139" i="7"/>
  <c r="C4140" i="7"/>
  <c r="C4141" i="7"/>
  <c r="C4142" i="7"/>
  <c r="C4143" i="7"/>
  <c r="C4144" i="7"/>
  <c r="C4145" i="7"/>
  <c r="C4146" i="7"/>
  <c r="C4147" i="7"/>
  <c r="C4148" i="7"/>
  <c r="C4149" i="7"/>
  <c r="C4150" i="7"/>
  <c r="C4151" i="7"/>
  <c r="C4152" i="7"/>
  <c r="C4153" i="7"/>
  <c r="C4154" i="7"/>
  <c r="C4155" i="7"/>
  <c r="C4156" i="7"/>
  <c r="C4157" i="7"/>
  <c r="C4158" i="7"/>
  <c r="C4159" i="7"/>
  <c r="C4160" i="7"/>
  <c r="C4161" i="7"/>
  <c r="C4162" i="7"/>
  <c r="C4163" i="7"/>
  <c r="C4164" i="7"/>
  <c r="C4165" i="7"/>
  <c r="C4166" i="7"/>
  <c r="C4167" i="7"/>
  <c r="C4168" i="7"/>
  <c r="C4169" i="7"/>
  <c r="C4170" i="7"/>
  <c r="C4171" i="7"/>
  <c r="C4172" i="7"/>
  <c r="C4173" i="7"/>
  <c r="C4174" i="7"/>
  <c r="C4175" i="7"/>
  <c r="C4176" i="7"/>
  <c r="C4177" i="7"/>
  <c r="C4178" i="7"/>
  <c r="C4179" i="7"/>
  <c r="C4180" i="7"/>
  <c r="C4181" i="7"/>
  <c r="C4182" i="7"/>
  <c r="C4183" i="7"/>
  <c r="C4184" i="7"/>
  <c r="C4185" i="7"/>
  <c r="C4186" i="7"/>
  <c r="C4187" i="7"/>
  <c r="C4188" i="7"/>
  <c r="C4189" i="7"/>
  <c r="C4190" i="7"/>
  <c r="C4191" i="7"/>
  <c r="C4192" i="7"/>
  <c r="C4193" i="7"/>
  <c r="C4194" i="7"/>
  <c r="C4195" i="7"/>
  <c r="C4196" i="7"/>
  <c r="C4197" i="7"/>
  <c r="C4198" i="7"/>
  <c r="C4199" i="7"/>
  <c r="C4200" i="7"/>
  <c r="C4201" i="7"/>
  <c r="C4202" i="7"/>
  <c r="C4203" i="7"/>
  <c r="C4204" i="7"/>
  <c r="C4205" i="7"/>
  <c r="C4206" i="7"/>
  <c r="C4207" i="7"/>
  <c r="C4208" i="7"/>
  <c r="C4209" i="7"/>
  <c r="C4210" i="7"/>
  <c r="C4211" i="7"/>
  <c r="C4212" i="7"/>
  <c r="C4213" i="7"/>
  <c r="C4214" i="7"/>
  <c r="C4215" i="7"/>
  <c r="C4216" i="7"/>
  <c r="C4217" i="7"/>
  <c r="C4218" i="7"/>
  <c r="C4219" i="7"/>
  <c r="C4220" i="7"/>
  <c r="C4221" i="7"/>
  <c r="C4222" i="7"/>
  <c r="C4223" i="7"/>
  <c r="C4224" i="7"/>
  <c r="C4225" i="7"/>
  <c r="C4226" i="7"/>
  <c r="C4227" i="7"/>
  <c r="C4228" i="7"/>
  <c r="C4229" i="7"/>
  <c r="C4230" i="7"/>
  <c r="C4231" i="7"/>
  <c r="C4232" i="7"/>
  <c r="C4233" i="7"/>
  <c r="C4234" i="7"/>
  <c r="C4235" i="7"/>
  <c r="C4236" i="7"/>
  <c r="C4237" i="7"/>
  <c r="C4238" i="7"/>
  <c r="C4239" i="7"/>
  <c r="C4240" i="7"/>
  <c r="C4241" i="7"/>
  <c r="C4242" i="7"/>
  <c r="C4243" i="7"/>
  <c r="C4244" i="7"/>
  <c r="C4245" i="7"/>
  <c r="C4246" i="7"/>
  <c r="C4247" i="7"/>
  <c r="C4248" i="7"/>
  <c r="C4249" i="7"/>
  <c r="C4250" i="7"/>
  <c r="C4251" i="7"/>
  <c r="C4252" i="7"/>
  <c r="C4253" i="7"/>
  <c r="C4254" i="7"/>
  <c r="C4255" i="7"/>
  <c r="C4256" i="7"/>
  <c r="C4257" i="7"/>
  <c r="C4258" i="7"/>
  <c r="C4259" i="7"/>
  <c r="C4260" i="7"/>
  <c r="C4261" i="7"/>
  <c r="C4262" i="7"/>
  <c r="C4263" i="7"/>
  <c r="C4264" i="7"/>
  <c r="C4265" i="7"/>
  <c r="C4266" i="7"/>
  <c r="C4267" i="7"/>
  <c r="C4268" i="7"/>
  <c r="C4269" i="7"/>
  <c r="C4270" i="7"/>
  <c r="C4271" i="7"/>
  <c r="C4272" i="7"/>
  <c r="C4273" i="7"/>
  <c r="C4274" i="7"/>
  <c r="C4275" i="7"/>
  <c r="C4276" i="7"/>
  <c r="C4277" i="7"/>
  <c r="C4278" i="7"/>
  <c r="C4279" i="7"/>
  <c r="C4280" i="7"/>
  <c r="C4281" i="7"/>
  <c r="C4282" i="7"/>
  <c r="C4283" i="7"/>
  <c r="C4284" i="7"/>
  <c r="C4285" i="7"/>
  <c r="C4286" i="7"/>
  <c r="C4287" i="7"/>
  <c r="C4288" i="7"/>
  <c r="C4289" i="7"/>
  <c r="C4290" i="7"/>
  <c r="C4291" i="7"/>
  <c r="C4292" i="7"/>
  <c r="C4293" i="7"/>
  <c r="C4294" i="7"/>
  <c r="C4295" i="7"/>
  <c r="C4296" i="7"/>
  <c r="C4297" i="7"/>
  <c r="C4298" i="7"/>
  <c r="C4299" i="7"/>
  <c r="C4300" i="7"/>
  <c r="C4301" i="7"/>
  <c r="C4302" i="7"/>
  <c r="C4303" i="7"/>
  <c r="C4304" i="7"/>
  <c r="C4305" i="7"/>
  <c r="C4306" i="7"/>
  <c r="C4307" i="7"/>
  <c r="C4308" i="7"/>
  <c r="C4309" i="7"/>
  <c r="C4310" i="7"/>
  <c r="C4311" i="7"/>
  <c r="C4312" i="7"/>
  <c r="C4313" i="7"/>
  <c r="C2" i="5"/>
  <c r="C2" i="3"/>
  <c r="B13" i="22"/>
  <c r="B12" i="22"/>
  <c r="E8" i="22"/>
  <c r="C8" i="22"/>
  <c r="B8" i="22"/>
  <c r="E7" i="22"/>
  <c r="C7" i="22"/>
  <c r="B7" i="22"/>
  <c r="B6" i="22"/>
  <c r="B5" i="22"/>
  <c r="B4" i="22"/>
  <c r="B3" i="22"/>
  <c r="B17" i="22"/>
  <c r="B16" i="22"/>
  <c r="B15" i="22"/>
  <c r="B14" i="22"/>
  <c r="B12" i="21"/>
  <c r="E8" i="21"/>
  <c r="C8" i="21"/>
  <c r="B8" i="21"/>
  <c r="E7" i="21"/>
  <c r="C7" i="21"/>
  <c r="B7" i="21"/>
  <c r="B6" i="21"/>
  <c r="B5" i="21"/>
  <c r="B14" i="21" s="1"/>
  <c r="B4" i="21"/>
  <c r="B3" i="21"/>
  <c r="B17" i="21"/>
  <c r="B16" i="21"/>
  <c r="B15" i="21"/>
  <c r="B13" i="20"/>
  <c r="B12" i="20"/>
  <c r="E8" i="20"/>
  <c r="C8" i="20"/>
  <c r="B8" i="20"/>
  <c r="E7" i="20"/>
  <c r="C7" i="20"/>
  <c r="B7" i="20"/>
  <c r="B6" i="20"/>
  <c r="B15" i="20" s="1"/>
  <c r="B5" i="20"/>
  <c r="B14" i="20" s="1"/>
  <c r="B4" i="20"/>
  <c r="B3" i="20"/>
  <c r="C8" i="14"/>
  <c r="C7" i="14"/>
  <c r="E8" i="14"/>
  <c r="E7" i="14"/>
  <c r="B17" i="20"/>
  <c r="B16" i="20"/>
  <c r="C2" i="7"/>
  <c r="B16" i="14"/>
  <c r="B17" i="14"/>
  <c r="B12" i="14"/>
  <c r="B9" i="14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C1480" i="12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C1517" i="12"/>
  <c r="C1518" i="12"/>
  <c r="C1519" i="12"/>
  <c r="C1520" i="12"/>
  <c r="C1521" i="12"/>
  <c r="C1522" i="12"/>
  <c r="C1523" i="12"/>
  <c r="C1524" i="12"/>
  <c r="C1525" i="12"/>
  <c r="C1526" i="12"/>
  <c r="C1527" i="12"/>
  <c r="C1528" i="12"/>
  <c r="C1529" i="12"/>
  <c r="C1530" i="12"/>
  <c r="C1531" i="12"/>
  <c r="C1532" i="12"/>
  <c r="C1533" i="12"/>
  <c r="C1534" i="12"/>
  <c r="C1535" i="12"/>
  <c r="C1536" i="12"/>
  <c r="C1537" i="12"/>
  <c r="C1538" i="12"/>
  <c r="C1539" i="12"/>
  <c r="C1540" i="12"/>
  <c r="C1541" i="12"/>
  <c r="C1542" i="12"/>
  <c r="C1543" i="12"/>
  <c r="C1544" i="12"/>
  <c r="C1545" i="12"/>
  <c r="C1546" i="12"/>
  <c r="C1547" i="12"/>
  <c r="C1548" i="12"/>
  <c r="C1549" i="12"/>
  <c r="C1550" i="12"/>
  <c r="C1551" i="12"/>
  <c r="C1552" i="12"/>
  <c r="C1553" i="12"/>
  <c r="C1554" i="12"/>
  <c r="C1555" i="12"/>
  <c r="C1556" i="12"/>
  <c r="C1557" i="12"/>
  <c r="C1558" i="12"/>
  <c r="C1559" i="12"/>
  <c r="C1560" i="12"/>
  <c r="C1561" i="12"/>
  <c r="C1562" i="12"/>
  <c r="C1563" i="12"/>
  <c r="C1564" i="12"/>
  <c r="C1565" i="12"/>
  <c r="C1566" i="12"/>
  <c r="C1567" i="12"/>
  <c r="C1568" i="12"/>
  <c r="C1569" i="12"/>
  <c r="C1570" i="12"/>
  <c r="C1571" i="12"/>
  <c r="C1572" i="12"/>
  <c r="C1573" i="12"/>
  <c r="C1574" i="12"/>
  <c r="C1575" i="12"/>
  <c r="C1576" i="12"/>
  <c r="C1577" i="12"/>
  <c r="C1578" i="12"/>
  <c r="C1579" i="12"/>
  <c r="C1580" i="12"/>
  <c r="C1581" i="12"/>
  <c r="C1582" i="12"/>
  <c r="C1583" i="12"/>
  <c r="C1584" i="12"/>
  <c r="C1585" i="12"/>
  <c r="C1586" i="12"/>
  <c r="C1587" i="12"/>
  <c r="C1588" i="12"/>
  <c r="C1589" i="12"/>
  <c r="C1590" i="12"/>
  <c r="C1591" i="12"/>
  <c r="C1592" i="12"/>
  <c r="C1593" i="12"/>
  <c r="C1594" i="12"/>
  <c r="C1595" i="12"/>
  <c r="C1596" i="12"/>
  <c r="C1597" i="12"/>
  <c r="C1598" i="12"/>
  <c r="C1599" i="12"/>
  <c r="C1600" i="12"/>
  <c r="C1601" i="12"/>
  <c r="C1602" i="12"/>
  <c r="C1603" i="12"/>
  <c r="C1604" i="12"/>
  <c r="C1605" i="12"/>
  <c r="C1606" i="12"/>
  <c r="C1607" i="12"/>
  <c r="C1608" i="12"/>
  <c r="C1609" i="12"/>
  <c r="C1610" i="12"/>
  <c r="C1611" i="12"/>
  <c r="C1612" i="12"/>
  <c r="C1613" i="12"/>
  <c r="C1614" i="12"/>
  <c r="C1615" i="12"/>
  <c r="C1616" i="12"/>
  <c r="C1617" i="12"/>
  <c r="C1618" i="12"/>
  <c r="C1619" i="12"/>
  <c r="C1620" i="12"/>
  <c r="C1621" i="12"/>
  <c r="C1622" i="12"/>
  <c r="C1623" i="12"/>
  <c r="C1624" i="12"/>
  <c r="C1625" i="12"/>
  <c r="C1626" i="12"/>
  <c r="C1627" i="12"/>
  <c r="C1628" i="12"/>
  <c r="C1629" i="12"/>
  <c r="C1630" i="12"/>
  <c r="C1631" i="12"/>
  <c r="C1632" i="12"/>
  <c r="C1633" i="12"/>
  <c r="C1634" i="12"/>
  <c r="C1635" i="12"/>
  <c r="C1636" i="12"/>
  <c r="C1637" i="12"/>
  <c r="C1638" i="12"/>
  <c r="C1639" i="12"/>
  <c r="C1640" i="12"/>
  <c r="C1641" i="12"/>
  <c r="C1642" i="12"/>
  <c r="C1643" i="12"/>
  <c r="C1644" i="12"/>
  <c r="C1645" i="12"/>
  <c r="C1646" i="12"/>
  <c r="C1647" i="12"/>
  <c r="C1648" i="12"/>
  <c r="C1649" i="12"/>
  <c r="C1650" i="12"/>
  <c r="C1651" i="12"/>
  <c r="C1652" i="12"/>
  <c r="C1653" i="12"/>
  <c r="C1654" i="12"/>
  <c r="C1655" i="12"/>
  <c r="C1656" i="12"/>
  <c r="C1657" i="12"/>
  <c r="C1658" i="12"/>
  <c r="C1659" i="12"/>
  <c r="C1660" i="12"/>
  <c r="C1661" i="12"/>
  <c r="C1662" i="12"/>
  <c r="C1663" i="12"/>
  <c r="C1664" i="12"/>
  <c r="C1665" i="12"/>
  <c r="C1666" i="12"/>
  <c r="C1667" i="12"/>
  <c r="C1668" i="12"/>
  <c r="C1669" i="12"/>
  <c r="C1670" i="12"/>
  <c r="C1671" i="12"/>
  <c r="C1672" i="12"/>
  <c r="C1673" i="12"/>
  <c r="C1674" i="12"/>
  <c r="C1675" i="12"/>
  <c r="C1676" i="12"/>
  <c r="C1677" i="12"/>
  <c r="C1678" i="12"/>
  <c r="C1679" i="12"/>
  <c r="C1680" i="12"/>
  <c r="C1681" i="12"/>
  <c r="C1682" i="12"/>
  <c r="C1683" i="12"/>
  <c r="C1684" i="12"/>
  <c r="C1685" i="12"/>
  <c r="C1686" i="12"/>
  <c r="C1687" i="12"/>
  <c r="C1688" i="12"/>
  <c r="C1689" i="12"/>
  <c r="C1690" i="12"/>
  <c r="C1691" i="12"/>
  <c r="C1692" i="12"/>
  <c r="C1693" i="12"/>
  <c r="C1694" i="12"/>
  <c r="C1695" i="12"/>
  <c r="C1696" i="12"/>
  <c r="C1697" i="12"/>
  <c r="C1698" i="12"/>
  <c r="C1699" i="12"/>
  <c r="C1700" i="12"/>
  <c r="C1701" i="12"/>
  <c r="C1702" i="12"/>
  <c r="C1703" i="12"/>
  <c r="C1704" i="12"/>
  <c r="C1705" i="12"/>
  <c r="C1706" i="12"/>
  <c r="C1707" i="12"/>
  <c r="C1708" i="12"/>
  <c r="C1709" i="12"/>
  <c r="C1710" i="12"/>
  <c r="C1711" i="12"/>
  <c r="C1712" i="12"/>
  <c r="C1713" i="12"/>
  <c r="C1714" i="12"/>
  <c r="C1715" i="12"/>
  <c r="C1716" i="12"/>
  <c r="C1717" i="12"/>
  <c r="C1718" i="12"/>
  <c r="C1719" i="12"/>
  <c r="C1720" i="12"/>
  <c r="C1721" i="12"/>
  <c r="C1722" i="12"/>
  <c r="C1723" i="12"/>
  <c r="C1724" i="12"/>
  <c r="C1725" i="12"/>
  <c r="C1726" i="12"/>
  <c r="C1727" i="12"/>
  <c r="C1728" i="12"/>
  <c r="C1729" i="12"/>
  <c r="C1730" i="12"/>
  <c r="C1731" i="12"/>
  <c r="C1732" i="12"/>
  <c r="C1733" i="12"/>
  <c r="C1734" i="12"/>
  <c r="C1735" i="12"/>
  <c r="C1736" i="12"/>
  <c r="C1737" i="12"/>
  <c r="C1738" i="12"/>
  <c r="C1739" i="12"/>
  <c r="C1740" i="12"/>
  <c r="C1741" i="12"/>
  <c r="C1742" i="12"/>
  <c r="C1743" i="12"/>
  <c r="C1744" i="12"/>
  <c r="C1745" i="12"/>
  <c r="C1746" i="12"/>
  <c r="C1747" i="12"/>
  <c r="C1748" i="12"/>
  <c r="C1749" i="12"/>
  <c r="C1750" i="12"/>
  <c r="C1751" i="12"/>
  <c r="C1752" i="12"/>
  <c r="C1753" i="12"/>
  <c r="C1754" i="12"/>
  <c r="C1755" i="12"/>
  <c r="C1756" i="12"/>
  <c r="C1757" i="12"/>
  <c r="C1758" i="12"/>
  <c r="C1759" i="12"/>
  <c r="C1760" i="12"/>
  <c r="C1761" i="12"/>
  <c r="C1762" i="12"/>
  <c r="C1763" i="12"/>
  <c r="C1764" i="12"/>
  <c r="C1765" i="12"/>
  <c r="C1766" i="12"/>
  <c r="C1767" i="12"/>
  <c r="C1768" i="12"/>
  <c r="C1769" i="12"/>
  <c r="C1770" i="12"/>
  <c r="C1771" i="12"/>
  <c r="C1772" i="12"/>
  <c r="C1773" i="12"/>
  <c r="C1774" i="12"/>
  <c r="C1775" i="12"/>
  <c r="C1776" i="12"/>
  <c r="C1777" i="12"/>
  <c r="C1778" i="12"/>
  <c r="C1779" i="12"/>
  <c r="C1780" i="12"/>
  <c r="C1781" i="12"/>
  <c r="C1782" i="12"/>
  <c r="C1783" i="12"/>
  <c r="C1784" i="12"/>
  <c r="C1785" i="12"/>
  <c r="C1786" i="12"/>
  <c r="C1787" i="12"/>
  <c r="C1788" i="12"/>
  <c r="C1789" i="12"/>
  <c r="C1790" i="12"/>
  <c r="C1791" i="12"/>
  <c r="C1792" i="12"/>
  <c r="C1793" i="12"/>
  <c r="C1794" i="12"/>
  <c r="C1795" i="12"/>
  <c r="C1796" i="12"/>
  <c r="C1797" i="12"/>
  <c r="C1798" i="12"/>
  <c r="C1799" i="12"/>
  <c r="C1800" i="12"/>
  <c r="C1801" i="12"/>
  <c r="C1802" i="12"/>
  <c r="C1803" i="12"/>
  <c r="C1804" i="12"/>
  <c r="C1805" i="12"/>
  <c r="C1806" i="12"/>
  <c r="C1807" i="12"/>
  <c r="C1808" i="12"/>
  <c r="C1809" i="12"/>
  <c r="C1810" i="12"/>
  <c r="C1811" i="12"/>
  <c r="C1812" i="12"/>
  <c r="C1813" i="12"/>
  <c r="C1814" i="12"/>
  <c r="C1815" i="12"/>
  <c r="C1816" i="12"/>
  <c r="C1817" i="12"/>
  <c r="C1818" i="12"/>
  <c r="C1819" i="12"/>
  <c r="C1820" i="12"/>
  <c r="C1821" i="12"/>
  <c r="C1822" i="12"/>
  <c r="C1823" i="12"/>
  <c r="C1824" i="12"/>
  <c r="C1825" i="12"/>
  <c r="C1826" i="12"/>
  <c r="C1827" i="12"/>
  <c r="C1828" i="12"/>
  <c r="C1829" i="12"/>
  <c r="C1830" i="12"/>
  <c r="C1831" i="12"/>
  <c r="C1832" i="12"/>
  <c r="C1833" i="12"/>
  <c r="C1834" i="12"/>
  <c r="C1835" i="12"/>
  <c r="C1836" i="12"/>
  <c r="C1837" i="12"/>
  <c r="C1838" i="12"/>
  <c r="C1839" i="12"/>
  <c r="C1840" i="12"/>
  <c r="C1841" i="12"/>
  <c r="C1842" i="12"/>
  <c r="C1843" i="12"/>
  <c r="C1844" i="12"/>
  <c r="C1845" i="12"/>
  <c r="C1846" i="12"/>
  <c r="C1847" i="12"/>
  <c r="C1848" i="12"/>
  <c r="C1849" i="12"/>
  <c r="C1850" i="12"/>
  <c r="C1851" i="12"/>
  <c r="C1852" i="12"/>
  <c r="C1853" i="12"/>
  <c r="C1854" i="12"/>
  <c r="C1855" i="12"/>
  <c r="C1856" i="12"/>
  <c r="C1857" i="12"/>
  <c r="C1858" i="12"/>
  <c r="C1859" i="12"/>
  <c r="C1860" i="12"/>
  <c r="C1861" i="12"/>
  <c r="C1862" i="12"/>
  <c r="C1863" i="12"/>
  <c r="C1864" i="12"/>
  <c r="C1865" i="12"/>
  <c r="C1866" i="12"/>
  <c r="C1867" i="12"/>
  <c r="C1868" i="12"/>
  <c r="C1869" i="12"/>
  <c r="C1870" i="12"/>
  <c r="C1871" i="12"/>
  <c r="C1872" i="12"/>
  <c r="C1873" i="12"/>
  <c r="C1874" i="12"/>
  <c r="C1875" i="12"/>
  <c r="C1876" i="12"/>
  <c r="C1877" i="12"/>
  <c r="C1878" i="12"/>
  <c r="C1879" i="12"/>
  <c r="C1880" i="12"/>
  <c r="C1881" i="12"/>
  <c r="C1882" i="12"/>
  <c r="C1883" i="12"/>
  <c r="C1884" i="12"/>
  <c r="C1885" i="12"/>
  <c r="C1886" i="12"/>
  <c r="C1887" i="12"/>
  <c r="C1888" i="12"/>
  <c r="C1889" i="12"/>
  <c r="C1890" i="12"/>
  <c r="C1891" i="12"/>
  <c r="C1892" i="12"/>
  <c r="C1893" i="12"/>
  <c r="C1894" i="12"/>
  <c r="C1895" i="12"/>
  <c r="C1896" i="12"/>
  <c r="C1897" i="12"/>
  <c r="C1898" i="12"/>
  <c r="C1899" i="12"/>
  <c r="C1900" i="12"/>
  <c r="C1901" i="12"/>
  <c r="C1902" i="12"/>
  <c r="C1903" i="12"/>
  <c r="C1904" i="12"/>
  <c r="C1905" i="12"/>
  <c r="C1906" i="12"/>
  <c r="C1907" i="12"/>
  <c r="C1908" i="12"/>
  <c r="C1909" i="12"/>
  <c r="C1910" i="12"/>
  <c r="C1911" i="12"/>
  <c r="C1912" i="12"/>
  <c r="C1913" i="12"/>
  <c r="C1914" i="12"/>
  <c r="C1915" i="12"/>
  <c r="C1916" i="12"/>
  <c r="C1917" i="12"/>
  <c r="C1918" i="12"/>
  <c r="C1919" i="12"/>
  <c r="C1920" i="12"/>
  <c r="C1921" i="12"/>
  <c r="C1922" i="12"/>
  <c r="C1923" i="12"/>
  <c r="C1924" i="12"/>
  <c r="C1925" i="12"/>
  <c r="C1926" i="12"/>
  <c r="C1927" i="12"/>
  <c r="C1928" i="12"/>
  <c r="C1929" i="12"/>
  <c r="C1930" i="12"/>
  <c r="C1931" i="12"/>
  <c r="C1932" i="12"/>
  <c r="C1933" i="12"/>
  <c r="C1934" i="12"/>
  <c r="C1935" i="12"/>
  <c r="C1936" i="12"/>
  <c r="C1937" i="12"/>
  <c r="C1938" i="12"/>
  <c r="C1939" i="12"/>
  <c r="C1940" i="12"/>
  <c r="C1941" i="12"/>
  <c r="C1942" i="12"/>
  <c r="C1943" i="12"/>
  <c r="C1944" i="12"/>
  <c r="C1945" i="12"/>
  <c r="C1946" i="12"/>
  <c r="C1947" i="12"/>
  <c r="C1948" i="12"/>
  <c r="C1949" i="12"/>
  <c r="C1950" i="12"/>
  <c r="C1951" i="12"/>
  <c r="C1952" i="12"/>
  <c r="C1953" i="12"/>
  <c r="C1954" i="12"/>
  <c r="C1955" i="12"/>
  <c r="C1956" i="12"/>
  <c r="C1957" i="12"/>
  <c r="C1958" i="12"/>
  <c r="C1959" i="12"/>
  <c r="C1960" i="12"/>
  <c r="C1961" i="12"/>
  <c r="C1962" i="12"/>
  <c r="C1963" i="12"/>
  <c r="C1964" i="12"/>
  <c r="C1965" i="12"/>
  <c r="C1966" i="12"/>
  <c r="C1967" i="12"/>
  <c r="C1968" i="12"/>
  <c r="C1969" i="12"/>
  <c r="C1970" i="12"/>
  <c r="C1971" i="12"/>
  <c r="C1972" i="12"/>
  <c r="C1973" i="12"/>
  <c r="C1974" i="12"/>
  <c r="C1975" i="12"/>
  <c r="C1976" i="12"/>
  <c r="C1977" i="12"/>
  <c r="C1978" i="12"/>
  <c r="C1979" i="12"/>
  <c r="C1980" i="12"/>
  <c r="C1981" i="12"/>
  <c r="C1982" i="12"/>
  <c r="C1983" i="12"/>
  <c r="C1984" i="12"/>
  <c r="C1985" i="12"/>
  <c r="C1986" i="12"/>
  <c r="C1987" i="12"/>
  <c r="C1988" i="12"/>
  <c r="C1989" i="12"/>
  <c r="C1990" i="12"/>
  <c r="C1991" i="12"/>
  <c r="C1992" i="12"/>
  <c r="C1993" i="12"/>
  <c r="C1994" i="12"/>
  <c r="C1995" i="12"/>
  <c r="C1996" i="12"/>
  <c r="C1997" i="12"/>
  <c r="C1998" i="12"/>
  <c r="C1999" i="12"/>
  <c r="C2000" i="12"/>
  <c r="C2001" i="12"/>
  <c r="C2002" i="12"/>
  <c r="C2003" i="12"/>
  <c r="C2004" i="12"/>
  <c r="C2005" i="12"/>
  <c r="C2006" i="12"/>
  <c r="C2007" i="12"/>
  <c r="C2008" i="12"/>
  <c r="C2009" i="12"/>
  <c r="C2010" i="12"/>
  <c r="C2011" i="12"/>
  <c r="C2012" i="12"/>
  <c r="C2013" i="12"/>
  <c r="C2014" i="12"/>
  <c r="C2015" i="12"/>
  <c r="C2016" i="12"/>
  <c r="C2017" i="12"/>
  <c r="C2018" i="12"/>
  <c r="C2019" i="12"/>
  <c r="C2020" i="12"/>
  <c r="C2021" i="12"/>
  <c r="C2022" i="12"/>
  <c r="C2023" i="12"/>
  <c r="C2024" i="12"/>
  <c r="C2025" i="12"/>
  <c r="C2026" i="12"/>
  <c r="C2027" i="12"/>
  <c r="C2028" i="12"/>
  <c r="C2029" i="12"/>
  <c r="C2030" i="12"/>
  <c r="C2031" i="12"/>
  <c r="C2032" i="12"/>
  <c r="C2033" i="12"/>
  <c r="C2034" i="12"/>
  <c r="C2035" i="12"/>
  <c r="C2036" i="12"/>
  <c r="C2037" i="12"/>
  <c r="C2038" i="12"/>
  <c r="C2039" i="12"/>
  <c r="C2040" i="12"/>
  <c r="C2041" i="12"/>
  <c r="C2042" i="12"/>
  <c r="C2043" i="12"/>
  <c r="C2044" i="12"/>
  <c r="C2045" i="12"/>
  <c r="C2046" i="12"/>
  <c r="C2047" i="12"/>
  <c r="C2048" i="12"/>
  <c r="C2049" i="12"/>
  <c r="C2050" i="12"/>
  <c r="C2051" i="12"/>
  <c r="C2052" i="12"/>
  <c r="C2053" i="12"/>
  <c r="C2054" i="12"/>
  <c r="C2055" i="12"/>
  <c r="C2056" i="12"/>
  <c r="C2057" i="12"/>
  <c r="C2058" i="12"/>
  <c r="C2059" i="12"/>
  <c r="C2060" i="12"/>
  <c r="C2061" i="12"/>
  <c r="C2062" i="12"/>
  <c r="C2063" i="12"/>
  <c r="C2064" i="12"/>
  <c r="C2065" i="12"/>
  <c r="C2066" i="12"/>
  <c r="C2067" i="12"/>
  <c r="C2068" i="12"/>
  <c r="C2069" i="12"/>
  <c r="C2070" i="12"/>
  <c r="C2071" i="12"/>
  <c r="C2072" i="12"/>
  <c r="C2073" i="12"/>
  <c r="C2074" i="12"/>
  <c r="C2075" i="12"/>
  <c r="C2076" i="12"/>
  <c r="C2077" i="12"/>
  <c r="C2078" i="12"/>
  <c r="C2079" i="12"/>
  <c r="C2080" i="12"/>
  <c r="C2081" i="12"/>
  <c r="C2082" i="12"/>
  <c r="C2083" i="12"/>
  <c r="C2084" i="12"/>
  <c r="C2085" i="12"/>
  <c r="C2086" i="12"/>
  <c r="C2087" i="12"/>
  <c r="C2088" i="12"/>
  <c r="C2089" i="12"/>
  <c r="C2090" i="12"/>
  <c r="C2091" i="12"/>
  <c r="C2092" i="12"/>
  <c r="C2093" i="12"/>
  <c r="C2094" i="12"/>
  <c r="C2095" i="12"/>
  <c r="C2096" i="12"/>
  <c r="C2097" i="12"/>
  <c r="C2098" i="12"/>
  <c r="C2099" i="12"/>
  <c r="C2100" i="12"/>
  <c r="C2101" i="12"/>
  <c r="C2102" i="12"/>
  <c r="C2103" i="12"/>
  <c r="C2104" i="12"/>
  <c r="C2105" i="12"/>
  <c r="C2106" i="12"/>
  <c r="C2107" i="12"/>
  <c r="C2108" i="12"/>
  <c r="C2109" i="12"/>
  <c r="C2110" i="12"/>
  <c r="C2111" i="12"/>
  <c r="C2112" i="12"/>
  <c r="C2113" i="12"/>
  <c r="C2114" i="12"/>
  <c r="C2115" i="12"/>
  <c r="C2116" i="12"/>
  <c r="C2117" i="12"/>
  <c r="C2118" i="12"/>
  <c r="C2119" i="12"/>
  <c r="C2120" i="12"/>
  <c r="C2121" i="12"/>
  <c r="C2122" i="12"/>
  <c r="C2123" i="12"/>
  <c r="C2124" i="12"/>
  <c r="C2125" i="12"/>
  <c r="C2126" i="12"/>
  <c r="C2127" i="12"/>
  <c r="C2128" i="12"/>
  <c r="C2129" i="12"/>
  <c r="C2130" i="12"/>
  <c r="C2131" i="12"/>
  <c r="C2132" i="12"/>
  <c r="C2133" i="12"/>
  <c r="C2134" i="12"/>
  <c r="C2135" i="12"/>
  <c r="C2136" i="12"/>
  <c r="C2137" i="12"/>
  <c r="C2138" i="12"/>
  <c r="C2139" i="12"/>
  <c r="C2140" i="12"/>
  <c r="C2141" i="12"/>
  <c r="C2142" i="12"/>
  <c r="C2143" i="12"/>
  <c r="C2144" i="12"/>
  <c r="C2145" i="12"/>
  <c r="C2146" i="12"/>
  <c r="C2147" i="12"/>
  <c r="C2148" i="12"/>
  <c r="C2149" i="12"/>
  <c r="C2150" i="12"/>
  <c r="C2151" i="12"/>
  <c r="C2152" i="12"/>
  <c r="C2153" i="12"/>
  <c r="C2154" i="12"/>
  <c r="C2155" i="12"/>
  <c r="C2156" i="12"/>
  <c r="C2157" i="12"/>
  <c r="C2158" i="12"/>
  <c r="C2159" i="12"/>
  <c r="C2160" i="12"/>
  <c r="C2161" i="12"/>
  <c r="C2162" i="12"/>
  <c r="C2163" i="12"/>
  <c r="C2164" i="12"/>
  <c r="C2165" i="12"/>
  <c r="C2166" i="12"/>
  <c r="C2167" i="12"/>
  <c r="C2168" i="12"/>
  <c r="C2169" i="12"/>
  <c r="C2170" i="12"/>
  <c r="C2171" i="12"/>
  <c r="C2172" i="12"/>
  <c r="C2173" i="12"/>
  <c r="C2174" i="12"/>
  <c r="C2175" i="12"/>
  <c r="C2176" i="12"/>
  <c r="C2177" i="12"/>
  <c r="C2178" i="12"/>
  <c r="C2179" i="12"/>
  <c r="C2180" i="12"/>
  <c r="C2181" i="12"/>
  <c r="C2182" i="12"/>
  <c r="C2183" i="12"/>
  <c r="C2184" i="12"/>
  <c r="C2185" i="12"/>
  <c r="C2186" i="12"/>
  <c r="C2187" i="12"/>
  <c r="C2188" i="12"/>
  <c r="C2189" i="12"/>
  <c r="C2190" i="12"/>
  <c r="C2191" i="12"/>
  <c r="C2192" i="12"/>
  <c r="C2193" i="12"/>
  <c r="C2194" i="12"/>
  <c r="C2195" i="12"/>
  <c r="C2196" i="12"/>
  <c r="C2197" i="12"/>
  <c r="C2198" i="12"/>
  <c r="C2199" i="12"/>
  <c r="C2200" i="12"/>
  <c r="C2201" i="12"/>
  <c r="C2202" i="12"/>
  <c r="C2203" i="12"/>
  <c r="C2204" i="12"/>
  <c r="C2205" i="12"/>
  <c r="C2206" i="12"/>
  <c r="C2207" i="12"/>
  <c r="C2208" i="12"/>
  <c r="C2209" i="12"/>
  <c r="C2210" i="12"/>
  <c r="C2211" i="12"/>
  <c r="C2212" i="12"/>
  <c r="C2213" i="12"/>
  <c r="C2214" i="12"/>
  <c r="C2215" i="12"/>
  <c r="C2216" i="12"/>
  <c r="C2217" i="12"/>
  <c r="C2218" i="12"/>
  <c r="C2219" i="12"/>
  <c r="C2220" i="12"/>
  <c r="C2221" i="12"/>
  <c r="C2222" i="12"/>
  <c r="C2223" i="12"/>
  <c r="C2224" i="12"/>
  <c r="C2225" i="12"/>
  <c r="C2226" i="12"/>
  <c r="C2227" i="12"/>
  <c r="C2228" i="12"/>
  <c r="C2229" i="12"/>
  <c r="C2230" i="12"/>
  <c r="C2231" i="12"/>
  <c r="C2232" i="12"/>
  <c r="C2233" i="12"/>
  <c r="C2234" i="12"/>
  <c r="C2235" i="12"/>
  <c r="C2236" i="12"/>
  <c r="C2237" i="12"/>
  <c r="C2238" i="12"/>
  <c r="C2239" i="12"/>
  <c r="C2240" i="12"/>
  <c r="C2241" i="12"/>
  <c r="C2242" i="12"/>
  <c r="C2243" i="12"/>
  <c r="C2244" i="12"/>
  <c r="C2245" i="12"/>
  <c r="C2246" i="12"/>
  <c r="C2247" i="12"/>
  <c r="C2248" i="12"/>
  <c r="C2249" i="12"/>
  <c r="C2250" i="12"/>
  <c r="C2251" i="12"/>
  <c r="C2252" i="12"/>
  <c r="C2253" i="12"/>
  <c r="C2254" i="12"/>
  <c r="C2255" i="12"/>
  <c r="C2256" i="12"/>
  <c r="C2257" i="12"/>
  <c r="C2258" i="12"/>
  <c r="C2259" i="12"/>
  <c r="C2260" i="12"/>
  <c r="C2261" i="12"/>
  <c r="C2262" i="12"/>
  <c r="C2263" i="12"/>
  <c r="C2264" i="12"/>
  <c r="C2265" i="12"/>
  <c r="C2266" i="12"/>
  <c r="C2267" i="12"/>
  <c r="C2268" i="12"/>
  <c r="C2269" i="12"/>
  <c r="C2270" i="12"/>
  <c r="C2271" i="12"/>
  <c r="C2272" i="12"/>
  <c r="C2273" i="12"/>
  <c r="C2274" i="12"/>
  <c r="C2275" i="12"/>
  <c r="C2276" i="12"/>
  <c r="C2277" i="12"/>
  <c r="C2278" i="12"/>
  <c r="C2279" i="12"/>
  <c r="C2280" i="12"/>
  <c r="C2281" i="12"/>
  <c r="C2282" i="12"/>
  <c r="C2283" i="12"/>
  <c r="C2284" i="12"/>
  <c r="C2285" i="12"/>
  <c r="C2286" i="12"/>
  <c r="C2287" i="12"/>
  <c r="C2288" i="12"/>
  <c r="C2289" i="12"/>
  <c r="C2290" i="12"/>
  <c r="C2291" i="12"/>
  <c r="C2292" i="12"/>
  <c r="C2293" i="12"/>
  <c r="C2294" i="12"/>
  <c r="C2295" i="12"/>
  <c r="C2296" i="12"/>
  <c r="C2297" i="12"/>
  <c r="C2298" i="12"/>
  <c r="C2299" i="12"/>
  <c r="C2300" i="12"/>
  <c r="C2301" i="12"/>
  <c r="C2302" i="12"/>
  <c r="C2303" i="12"/>
  <c r="C2304" i="12"/>
  <c r="C2305" i="12"/>
  <c r="C2306" i="12"/>
  <c r="C2307" i="12"/>
  <c r="C2308" i="12"/>
  <c r="C2309" i="12"/>
  <c r="C2310" i="12"/>
  <c r="C2311" i="12"/>
  <c r="C2312" i="12"/>
  <c r="C2313" i="12"/>
  <c r="C2314" i="12"/>
  <c r="C2315" i="12"/>
  <c r="C2316" i="12"/>
  <c r="C2317" i="12"/>
  <c r="C2318" i="12"/>
  <c r="C2319" i="12"/>
  <c r="C2320" i="12"/>
  <c r="C2321" i="12"/>
  <c r="C2322" i="12"/>
  <c r="C2323" i="12"/>
  <c r="C2324" i="12"/>
  <c r="C2325" i="12"/>
  <c r="C2326" i="12"/>
  <c r="C2327" i="12"/>
  <c r="C2328" i="12"/>
  <c r="C2329" i="12"/>
  <c r="C2330" i="12"/>
  <c r="C2331" i="12"/>
  <c r="C2332" i="12"/>
  <c r="C2333" i="12"/>
  <c r="C2334" i="12"/>
  <c r="C2335" i="12"/>
  <c r="C2336" i="12"/>
  <c r="C2337" i="12"/>
  <c r="C2338" i="12"/>
  <c r="C2339" i="12"/>
  <c r="C2340" i="12"/>
  <c r="C2341" i="12"/>
  <c r="C2342" i="12"/>
  <c r="C2343" i="12"/>
  <c r="C2344" i="12"/>
  <c r="C2345" i="12"/>
  <c r="C2346" i="12"/>
  <c r="C2347" i="12"/>
  <c r="C2348" i="12"/>
  <c r="C2349" i="12"/>
  <c r="C2350" i="12"/>
  <c r="C2351" i="12"/>
  <c r="C2352" i="12"/>
  <c r="C2353" i="12"/>
  <c r="C2354" i="12"/>
  <c r="C2355" i="12"/>
  <c r="C2356" i="12"/>
  <c r="C2357" i="12"/>
  <c r="C2358" i="12"/>
  <c r="C2359" i="12"/>
  <c r="C2360" i="12"/>
  <c r="C2361" i="12"/>
  <c r="C2362" i="12"/>
  <c r="C2363" i="12"/>
  <c r="C2364" i="12"/>
  <c r="C2365" i="12"/>
  <c r="C2366" i="12"/>
  <c r="C2367" i="12"/>
  <c r="C2368" i="12"/>
  <c r="C2369" i="12"/>
  <c r="C2370" i="12"/>
  <c r="C2371" i="12"/>
  <c r="C2372" i="12"/>
  <c r="C2373" i="12"/>
  <c r="C2374" i="12"/>
  <c r="C2375" i="12"/>
  <c r="C2376" i="12"/>
  <c r="C2377" i="12"/>
  <c r="C2378" i="12"/>
  <c r="C2379" i="12"/>
  <c r="C2380" i="12"/>
  <c r="C2381" i="12"/>
  <c r="C2382" i="12"/>
  <c r="C2383" i="12"/>
  <c r="C2384" i="12"/>
  <c r="C2385" i="12"/>
  <c r="C2386" i="12"/>
  <c r="C2387" i="12"/>
  <c r="C2388" i="12"/>
  <c r="C2389" i="12"/>
  <c r="C2390" i="12"/>
  <c r="C2391" i="12"/>
  <c r="C2392" i="12"/>
  <c r="C2393" i="12"/>
  <c r="C2394" i="12"/>
  <c r="C2395" i="12"/>
  <c r="C2396" i="12"/>
  <c r="C2397" i="12"/>
  <c r="C2398" i="12"/>
  <c r="C2399" i="12"/>
  <c r="C2400" i="12"/>
  <c r="C2401" i="12"/>
  <c r="C2402" i="12"/>
  <c r="C2403" i="12"/>
  <c r="C2404" i="12"/>
  <c r="C2405" i="12"/>
  <c r="C2406" i="12"/>
  <c r="C2407" i="12"/>
  <c r="C2408" i="12"/>
  <c r="C2409" i="12"/>
  <c r="C2410" i="12"/>
  <c r="C2411" i="12"/>
  <c r="C2412" i="12"/>
  <c r="C2413" i="12"/>
  <c r="C2414" i="12"/>
  <c r="C2415" i="12"/>
  <c r="C2416" i="12"/>
  <c r="C2417" i="12"/>
  <c r="C2418" i="12"/>
  <c r="C2419" i="12"/>
  <c r="C2420" i="12"/>
  <c r="C2421" i="12"/>
  <c r="C2422" i="12"/>
  <c r="C2423" i="12"/>
  <c r="C2424" i="12"/>
  <c r="C2425" i="12"/>
  <c r="C2426" i="12"/>
  <c r="C2427" i="12"/>
  <c r="C2428" i="12"/>
  <c r="C2429" i="12"/>
  <c r="C2430" i="12"/>
  <c r="C2431" i="12"/>
  <c r="C2432" i="12"/>
  <c r="C2433" i="12"/>
  <c r="C2434" i="12"/>
  <c r="C2435" i="12"/>
  <c r="C2436" i="12"/>
  <c r="C2437" i="12"/>
  <c r="C2438" i="12"/>
  <c r="C2439" i="12"/>
  <c r="C2440" i="12"/>
  <c r="C2441" i="12"/>
  <c r="C2442" i="12"/>
  <c r="C2443" i="12"/>
  <c r="C2444" i="12"/>
  <c r="C2445" i="12"/>
  <c r="C2446" i="12"/>
  <c r="C2447" i="12"/>
  <c r="C2448" i="12"/>
  <c r="C2449" i="12"/>
  <c r="C2450" i="12"/>
  <c r="C2451" i="12"/>
  <c r="C2452" i="12"/>
  <c r="C2453" i="12"/>
  <c r="C2454" i="12"/>
  <c r="C2455" i="12"/>
  <c r="C2456" i="12"/>
  <c r="C2457" i="12"/>
  <c r="C2458" i="12"/>
  <c r="C2459" i="12"/>
  <c r="C2460" i="12"/>
  <c r="C2461" i="12"/>
  <c r="C2462" i="12"/>
  <c r="C2463" i="12"/>
  <c r="C2464" i="12"/>
  <c r="C2465" i="12"/>
  <c r="C2466" i="12"/>
  <c r="C2467" i="12"/>
  <c r="C2468" i="12"/>
  <c r="C2469" i="12"/>
  <c r="C2470" i="12"/>
  <c r="C2471" i="12"/>
  <c r="C2472" i="12"/>
  <c r="C2473" i="12"/>
  <c r="C2474" i="12"/>
  <c r="C2475" i="12"/>
  <c r="C2476" i="12"/>
  <c r="C2477" i="12"/>
  <c r="C2478" i="12"/>
  <c r="C2479" i="12"/>
  <c r="C2480" i="12"/>
  <c r="C2481" i="12"/>
  <c r="C2482" i="12"/>
  <c r="C2483" i="12"/>
  <c r="C2484" i="12"/>
  <c r="C2485" i="12"/>
  <c r="C2486" i="12"/>
  <c r="C2487" i="12"/>
  <c r="C2488" i="12"/>
  <c r="C2489" i="12"/>
  <c r="C2490" i="12"/>
  <c r="C2491" i="12"/>
  <c r="C2492" i="12"/>
  <c r="C2493" i="12"/>
  <c r="C2494" i="12"/>
  <c r="C2495" i="12"/>
  <c r="C2496" i="12"/>
  <c r="C2497" i="12"/>
  <c r="C2498" i="12"/>
  <c r="C2499" i="12"/>
  <c r="C2500" i="12"/>
  <c r="C2501" i="12"/>
  <c r="C2502" i="12"/>
  <c r="C2503" i="12"/>
  <c r="C2504" i="12"/>
  <c r="C2505" i="12"/>
  <c r="C2506" i="12"/>
  <c r="C2507" i="12"/>
  <c r="C2508" i="12"/>
  <c r="C2509" i="12"/>
  <c r="C2510" i="12"/>
  <c r="C2511" i="12"/>
  <c r="C2512" i="12"/>
  <c r="C2513" i="12"/>
  <c r="C2514" i="12"/>
  <c r="C2515" i="12"/>
  <c r="C2516" i="12"/>
  <c r="C2517" i="12"/>
  <c r="C2518" i="12"/>
  <c r="C2519" i="12"/>
  <c r="C2520" i="12"/>
  <c r="C2521" i="12"/>
  <c r="C2522" i="12"/>
  <c r="C2523" i="12"/>
  <c r="C2524" i="12"/>
  <c r="C2525" i="12"/>
  <c r="C2526" i="12"/>
  <c r="C2527" i="12"/>
  <c r="C2528" i="12"/>
  <c r="C2529" i="12"/>
  <c r="C2530" i="12"/>
  <c r="C2531" i="12"/>
  <c r="C2532" i="12"/>
  <c r="C2533" i="12"/>
  <c r="C2534" i="12"/>
  <c r="C2535" i="12"/>
  <c r="C2536" i="12"/>
  <c r="C2537" i="12"/>
  <c r="C2538" i="12"/>
  <c r="C2539" i="12"/>
  <c r="C2540" i="12"/>
  <c r="C2541" i="12"/>
  <c r="C2542" i="12"/>
  <c r="C2543" i="12"/>
  <c r="C2544" i="12"/>
  <c r="C2545" i="12"/>
  <c r="C2546" i="12"/>
  <c r="C2547" i="12"/>
  <c r="C2548" i="12"/>
  <c r="C2549" i="12"/>
  <c r="C2550" i="12"/>
  <c r="C2551" i="12"/>
  <c r="C2552" i="12"/>
  <c r="C2553" i="12"/>
  <c r="C2554" i="12"/>
  <c r="C2555" i="12"/>
  <c r="C2556" i="12"/>
  <c r="C2557" i="12"/>
  <c r="C2558" i="12"/>
  <c r="C2559" i="12"/>
  <c r="C2560" i="12"/>
  <c r="C2561" i="12"/>
  <c r="C2562" i="12"/>
  <c r="C2563" i="12"/>
  <c r="C2564" i="12"/>
  <c r="C2565" i="12"/>
  <c r="C2566" i="12"/>
  <c r="C2567" i="12"/>
  <c r="C2568" i="12"/>
  <c r="C2569" i="12"/>
  <c r="C2570" i="12"/>
  <c r="C2571" i="12"/>
  <c r="C2572" i="12"/>
  <c r="C2573" i="12"/>
  <c r="C2574" i="12"/>
  <c r="C2575" i="12"/>
  <c r="C2576" i="12"/>
  <c r="C2577" i="12"/>
  <c r="C2578" i="12"/>
  <c r="C2579" i="12"/>
  <c r="C2580" i="12"/>
  <c r="C2581" i="12"/>
  <c r="C2582" i="12"/>
  <c r="C2583" i="12"/>
  <c r="C2584" i="12"/>
  <c r="C2585" i="12"/>
  <c r="C2586" i="12"/>
  <c r="C2587" i="12"/>
  <c r="C2588" i="12"/>
  <c r="C2589" i="12"/>
  <c r="C2590" i="12"/>
  <c r="C2591" i="12"/>
  <c r="C2592" i="12"/>
  <c r="C2593" i="12"/>
  <c r="C2594" i="12"/>
  <c r="C2595" i="12"/>
  <c r="C2596" i="12"/>
  <c r="C2597" i="12"/>
  <c r="C2598" i="12"/>
  <c r="C2599" i="12"/>
  <c r="C2600" i="12"/>
  <c r="C2601" i="12"/>
  <c r="C2602" i="12"/>
  <c r="C2603" i="12"/>
  <c r="C2604" i="12"/>
  <c r="C2605" i="12"/>
  <c r="C2606" i="12"/>
  <c r="C2607" i="12"/>
  <c r="C2608" i="12"/>
  <c r="C2609" i="12"/>
  <c r="C2610" i="12"/>
  <c r="C2611" i="12"/>
  <c r="C2612" i="12"/>
  <c r="C2613" i="12"/>
  <c r="C2614" i="12"/>
  <c r="C2615" i="12"/>
  <c r="C2616" i="12"/>
  <c r="C2617" i="12"/>
  <c r="C2618" i="12"/>
  <c r="C2619" i="12"/>
  <c r="C2620" i="12"/>
  <c r="C2621" i="12"/>
  <c r="C2622" i="12"/>
  <c r="C2623" i="12"/>
  <c r="C2624" i="12"/>
  <c r="C2625" i="12"/>
  <c r="C2626" i="12"/>
  <c r="C2627" i="12"/>
  <c r="C2628" i="12"/>
  <c r="C2629" i="12"/>
  <c r="C2630" i="12"/>
  <c r="C2631" i="12"/>
  <c r="C2632" i="12"/>
  <c r="C2633" i="12"/>
  <c r="C2634" i="12"/>
  <c r="C2635" i="12"/>
  <c r="C2636" i="12"/>
  <c r="C2637" i="12"/>
  <c r="C2638" i="12"/>
  <c r="C2639" i="12"/>
  <c r="C2640" i="12"/>
  <c r="C2641" i="12"/>
  <c r="C2642" i="12"/>
  <c r="C2643" i="12"/>
  <c r="C2644" i="12"/>
  <c r="C2645" i="12"/>
  <c r="C2646" i="12"/>
  <c r="C2647" i="12"/>
  <c r="C2648" i="12"/>
  <c r="C2649" i="12"/>
  <c r="C2650" i="12"/>
  <c r="C2651" i="12"/>
  <c r="C2652" i="12"/>
  <c r="C2653" i="12"/>
  <c r="C2654" i="12"/>
  <c r="C2655" i="12"/>
  <c r="C2656" i="12"/>
  <c r="C2657" i="12"/>
  <c r="C2658" i="12"/>
  <c r="C2659" i="12"/>
  <c r="C2660" i="12"/>
  <c r="C2661" i="12"/>
  <c r="C2662" i="12"/>
  <c r="C2663" i="12"/>
  <c r="C2664" i="12"/>
  <c r="C2665" i="12"/>
  <c r="C2666" i="12"/>
  <c r="C2667" i="12"/>
  <c r="C2668" i="12"/>
  <c r="C2669" i="12"/>
  <c r="C2670" i="12"/>
  <c r="C2671" i="12"/>
  <c r="C2672" i="12"/>
  <c r="C2673" i="12"/>
  <c r="C2674" i="12"/>
  <c r="C2675" i="12"/>
  <c r="C2676" i="12"/>
  <c r="C2677" i="12"/>
  <c r="C2678" i="12"/>
  <c r="C2679" i="12"/>
  <c r="C2680" i="12"/>
  <c r="C2681" i="12"/>
  <c r="C2682" i="12"/>
  <c r="C2683" i="12"/>
  <c r="C2684" i="12"/>
  <c r="C2685" i="12"/>
  <c r="C2686" i="12"/>
  <c r="C2687" i="12"/>
  <c r="C2688" i="12"/>
  <c r="C2689" i="12"/>
  <c r="C2690" i="12"/>
  <c r="C2691" i="12"/>
  <c r="C2692" i="12"/>
  <c r="C2693" i="12"/>
  <c r="C2694" i="12"/>
  <c r="C2695" i="12"/>
  <c r="C2696" i="12"/>
  <c r="C2697" i="12"/>
  <c r="C2698" i="12"/>
  <c r="C2699" i="12"/>
  <c r="C2700" i="12"/>
  <c r="C2701" i="12"/>
  <c r="C2702" i="12"/>
  <c r="C2703" i="12"/>
  <c r="C2704" i="12"/>
  <c r="C2705" i="12"/>
  <c r="C2706" i="12"/>
  <c r="C2707" i="12"/>
  <c r="C2708" i="12"/>
  <c r="C2709" i="12"/>
  <c r="C2710" i="12"/>
  <c r="C2711" i="12"/>
  <c r="C2712" i="12"/>
  <c r="C2713" i="12"/>
  <c r="C2714" i="12"/>
  <c r="C2715" i="12"/>
  <c r="C2716" i="12"/>
  <c r="C2717" i="12"/>
  <c r="C2718" i="12"/>
  <c r="C2719" i="12"/>
  <c r="C2720" i="12"/>
  <c r="C2721" i="12"/>
  <c r="C2722" i="12"/>
  <c r="C2723" i="12"/>
  <c r="C2724" i="12"/>
  <c r="C2725" i="12"/>
  <c r="C2726" i="12"/>
  <c r="C2727" i="12"/>
  <c r="C2728" i="12"/>
  <c r="C2729" i="12"/>
  <c r="C2730" i="12"/>
  <c r="C2731" i="12"/>
  <c r="C2732" i="12"/>
  <c r="C2733" i="12"/>
  <c r="C2734" i="12"/>
  <c r="C2735" i="12"/>
  <c r="C2736" i="12"/>
  <c r="C2737" i="12"/>
  <c r="C2738" i="12"/>
  <c r="C2739" i="12"/>
  <c r="C2740" i="12"/>
  <c r="C2741" i="12"/>
  <c r="C2742" i="12"/>
  <c r="C2743" i="12"/>
  <c r="C2744" i="12"/>
  <c r="C2745" i="12"/>
  <c r="C2746" i="12"/>
  <c r="C2747" i="12"/>
  <c r="C2748" i="12"/>
  <c r="C2749" i="12"/>
  <c r="C2750" i="12"/>
  <c r="C2751" i="12"/>
  <c r="C2752" i="12"/>
  <c r="C2753" i="12"/>
  <c r="C2754" i="12"/>
  <c r="C2755" i="12"/>
  <c r="C2756" i="12"/>
  <c r="C2757" i="12"/>
  <c r="C2758" i="12"/>
  <c r="C2759" i="12"/>
  <c r="C2760" i="12"/>
  <c r="C2761" i="12"/>
  <c r="C2762" i="12"/>
  <c r="C2763" i="12"/>
  <c r="C2764" i="12"/>
  <c r="C2765" i="12"/>
  <c r="C2766" i="12"/>
  <c r="C2767" i="12"/>
  <c r="C2768" i="12"/>
  <c r="C2769" i="12"/>
  <c r="C2770" i="12"/>
  <c r="C2771" i="12"/>
  <c r="C2772" i="12"/>
  <c r="C2773" i="12"/>
  <c r="C2774" i="12"/>
  <c r="C2775" i="12"/>
  <c r="C2776" i="12"/>
  <c r="C2777" i="12"/>
  <c r="C2778" i="12"/>
  <c r="C2779" i="12"/>
  <c r="C2780" i="12"/>
  <c r="C2781" i="12"/>
  <c r="C2782" i="12"/>
  <c r="C2783" i="12"/>
  <c r="C2784" i="12"/>
  <c r="C2785" i="12"/>
  <c r="C2786" i="12"/>
  <c r="C2787" i="12"/>
  <c r="C2788" i="12"/>
  <c r="C2789" i="12"/>
  <c r="C2790" i="12"/>
  <c r="C2791" i="12"/>
  <c r="C2792" i="12"/>
  <c r="C2793" i="12"/>
  <c r="C2794" i="12"/>
  <c r="C2795" i="12"/>
  <c r="C2796" i="12"/>
  <c r="C2797" i="12"/>
  <c r="C2798" i="12"/>
  <c r="C2799" i="12"/>
  <c r="C2800" i="12"/>
  <c r="C2801" i="12"/>
  <c r="C2802" i="12"/>
  <c r="C2803" i="12"/>
  <c r="C2804" i="12"/>
  <c r="C2805" i="12"/>
  <c r="C2806" i="12"/>
  <c r="C2807" i="12"/>
  <c r="C2808" i="12"/>
  <c r="C2809" i="12"/>
  <c r="C2810" i="12"/>
  <c r="C2811" i="12"/>
  <c r="C2812" i="12"/>
  <c r="C2813" i="12"/>
  <c r="C2814" i="12"/>
  <c r="C2815" i="12"/>
  <c r="C2816" i="12"/>
  <c r="C2817" i="12"/>
  <c r="C2818" i="12"/>
  <c r="C2819" i="12"/>
  <c r="C2820" i="12"/>
  <c r="C2821" i="12"/>
  <c r="C2822" i="12"/>
  <c r="C2823" i="12"/>
  <c r="C2824" i="12"/>
  <c r="C2825" i="12"/>
  <c r="C2826" i="12"/>
  <c r="C2827" i="12"/>
  <c r="C2828" i="12"/>
  <c r="C2829" i="12"/>
  <c r="C2830" i="12"/>
  <c r="C2831" i="12"/>
  <c r="C2832" i="12"/>
  <c r="C2833" i="12"/>
  <c r="C2834" i="12"/>
  <c r="C2835" i="12"/>
  <c r="C2836" i="12"/>
  <c r="C2837" i="12"/>
  <c r="C2838" i="12"/>
  <c r="C2839" i="12"/>
  <c r="C2840" i="12"/>
  <c r="C2841" i="12"/>
  <c r="C2842" i="12"/>
  <c r="C2843" i="12"/>
  <c r="C2844" i="12"/>
  <c r="C2845" i="12"/>
  <c r="C2846" i="12"/>
  <c r="C2847" i="12"/>
  <c r="C2848" i="12"/>
  <c r="C2849" i="12"/>
  <c r="C2850" i="12"/>
  <c r="C2851" i="12"/>
  <c r="C2852" i="12"/>
  <c r="C2853" i="12"/>
  <c r="C2854" i="12"/>
  <c r="C2855" i="12"/>
  <c r="C2856" i="12"/>
  <c r="C2857" i="12"/>
  <c r="C2858" i="12"/>
  <c r="C2859" i="12"/>
  <c r="C2860" i="12"/>
  <c r="C2861" i="12"/>
  <c r="C2862" i="12"/>
  <c r="C2863" i="12"/>
  <c r="C2864" i="12"/>
  <c r="C2865" i="12"/>
  <c r="C2866" i="12"/>
  <c r="C2867" i="12"/>
  <c r="C2868" i="12"/>
  <c r="C2869" i="12"/>
  <c r="C2870" i="12"/>
  <c r="C2871" i="12"/>
  <c r="C2872" i="12"/>
  <c r="C2873" i="12"/>
  <c r="C2874" i="12"/>
  <c r="C2875" i="12"/>
  <c r="C2876" i="12"/>
  <c r="C2877" i="12"/>
  <c r="C2878" i="12"/>
  <c r="C2879" i="12"/>
  <c r="C2880" i="12"/>
  <c r="C2881" i="12"/>
  <c r="C2882" i="12"/>
  <c r="C2883" i="12"/>
  <c r="C2884" i="12"/>
  <c r="C2885" i="12"/>
  <c r="C2886" i="12"/>
  <c r="C2887" i="12"/>
  <c r="C2888" i="12"/>
  <c r="C2889" i="12"/>
  <c r="C2890" i="12"/>
  <c r="C2891" i="12"/>
  <c r="C2892" i="12"/>
  <c r="C2893" i="12"/>
  <c r="C2894" i="12"/>
  <c r="C2895" i="12"/>
  <c r="C2896" i="12"/>
  <c r="C2897" i="12"/>
  <c r="C2898" i="12"/>
  <c r="C2899" i="12"/>
  <c r="C2900" i="12"/>
  <c r="C2901" i="12"/>
  <c r="C2902" i="12"/>
  <c r="C2903" i="12"/>
  <c r="C2904" i="12"/>
  <c r="C2905" i="12"/>
  <c r="C2906" i="12"/>
  <c r="C2907" i="12"/>
  <c r="C2908" i="12"/>
  <c r="C2909" i="12"/>
  <c r="C2910" i="12"/>
  <c r="C2911" i="12"/>
  <c r="C2912" i="12"/>
  <c r="C2913" i="12"/>
  <c r="C2914" i="12"/>
  <c r="C2915" i="12"/>
  <c r="C2916" i="12"/>
  <c r="C2917" i="12"/>
  <c r="C2918" i="12"/>
  <c r="C2919" i="12"/>
  <c r="C2920" i="12"/>
  <c r="C2921" i="12"/>
  <c r="C2922" i="12"/>
  <c r="C2923" i="12"/>
  <c r="C2924" i="12"/>
  <c r="C2925" i="12"/>
  <c r="C2926" i="12"/>
  <c r="C2927" i="12"/>
  <c r="C2928" i="12"/>
  <c r="C2929" i="12"/>
  <c r="C2930" i="12"/>
  <c r="C2931" i="12"/>
  <c r="C2932" i="12"/>
  <c r="C2933" i="12"/>
  <c r="C2934" i="12"/>
  <c r="C2935" i="12"/>
  <c r="C2936" i="12"/>
  <c r="C2937" i="12"/>
  <c r="C2938" i="12"/>
  <c r="C2939" i="12"/>
  <c r="C2940" i="12"/>
  <c r="C2941" i="12"/>
  <c r="C2942" i="12"/>
  <c r="C2943" i="12"/>
  <c r="C2944" i="12"/>
  <c r="C2945" i="12"/>
  <c r="C2946" i="12"/>
  <c r="C2947" i="12"/>
  <c r="C2948" i="12"/>
  <c r="C2949" i="12"/>
  <c r="C2950" i="12"/>
  <c r="C2951" i="12"/>
  <c r="C2952" i="12"/>
  <c r="C2953" i="12"/>
  <c r="C2954" i="12"/>
  <c r="C2955" i="12"/>
  <c r="C2956" i="12"/>
  <c r="C2957" i="12"/>
  <c r="C2958" i="12"/>
  <c r="C2959" i="12"/>
  <c r="C2960" i="12"/>
  <c r="C2961" i="12"/>
  <c r="C2962" i="12"/>
  <c r="C2963" i="12"/>
  <c r="C2964" i="12"/>
  <c r="C2965" i="12"/>
  <c r="C2966" i="12"/>
  <c r="C2967" i="12"/>
  <c r="C2968" i="12"/>
  <c r="C2969" i="12"/>
  <c r="C2970" i="12"/>
  <c r="C2971" i="12"/>
  <c r="C2972" i="12"/>
  <c r="C2973" i="12"/>
  <c r="C2974" i="12"/>
  <c r="C2975" i="12"/>
  <c r="C2976" i="12"/>
  <c r="C2977" i="12"/>
  <c r="C2978" i="12"/>
  <c r="C2979" i="12"/>
  <c r="C2980" i="12"/>
  <c r="C2981" i="12"/>
  <c r="C2982" i="12"/>
  <c r="C2983" i="12"/>
  <c r="C2984" i="12"/>
  <c r="C2985" i="12"/>
  <c r="C2986" i="12"/>
  <c r="C2987" i="12"/>
  <c r="C2988" i="12"/>
  <c r="C2989" i="12"/>
  <c r="C2990" i="12"/>
  <c r="C2991" i="12"/>
  <c r="C2992" i="12"/>
  <c r="C2993" i="12"/>
  <c r="C2994" i="12"/>
  <c r="C2995" i="12"/>
  <c r="C2996" i="12"/>
  <c r="C2997" i="12"/>
  <c r="C2998" i="12"/>
  <c r="C2999" i="12"/>
  <c r="C3000" i="12"/>
  <c r="C3001" i="12"/>
  <c r="C3002" i="12"/>
  <c r="C3003" i="12"/>
  <c r="C3004" i="12"/>
  <c r="C3005" i="12"/>
  <c r="C3006" i="12"/>
  <c r="C3007" i="12"/>
  <c r="C3008" i="12"/>
  <c r="C3009" i="12"/>
  <c r="C3010" i="12"/>
  <c r="C3011" i="12"/>
  <c r="C3012" i="12"/>
  <c r="C3013" i="12"/>
  <c r="C3014" i="12"/>
  <c r="C3015" i="12"/>
  <c r="C3016" i="12"/>
  <c r="C3017" i="12"/>
  <c r="C3018" i="12"/>
  <c r="C3019" i="12"/>
  <c r="C3020" i="12"/>
  <c r="C3021" i="12"/>
  <c r="C3022" i="12"/>
  <c r="C3023" i="12"/>
  <c r="C3024" i="12"/>
  <c r="C3025" i="12"/>
  <c r="C3026" i="12"/>
  <c r="C3027" i="12"/>
  <c r="C3028" i="12"/>
  <c r="C3029" i="12"/>
  <c r="C3030" i="12"/>
  <c r="C3031" i="12"/>
  <c r="C3032" i="12"/>
  <c r="C3033" i="12"/>
  <c r="C3034" i="12"/>
  <c r="C3035" i="12"/>
  <c r="C3036" i="12"/>
  <c r="C3037" i="12"/>
  <c r="C3038" i="12"/>
  <c r="C3039" i="12"/>
  <c r="C3040" i="12"/>
  <c r="C3041" i="12"/>
  <c r="C3042" i="12"/>
  <c r="C3043" i="12"/>
  <c r="C3044" i="12"/>
  <c r="C3045" i="12"/>
  <c r="C3046" i="12"/>
  <c r="C3047" i="12"/>
  <c r="C3048" i="12"/>
  <c r="C3049" i="12"/>
  <c r="C3050" i="12"/>
  <c r="C3051" i="12"/>
  <c r="C3052" i="12"/>
  <c r="C3053" i="12"/>
  <c r="C3054" i="12"/>
  <c r="C3055" i="12"/>
  <c r="C3056" i="12"/>
  <c r="C3057" i="12"/>
  <c r="C3058" i="12"/>
  <c r="C3059" i="12"/>
  <c r="C3060" i="12"/>
  <c r="C3061" i="12"/>
  <c r="C3062" i="12"/>
  <c r="C3063" i="12"/>
  <c r="C3064" i="12"/>
  <c r="C3065" i="12"/>
  <c r="C3066" i="12"/>
  <c r="C3067" i="12"/>
  <c r="C3068" i="12"/>
  <c r="C3069" i="12"/>
  <c r="C3070" i="12"/>
  <c r="C3071" i="12"/>
  <c r="C3072" i="12"/>
  <c r="C3073" i="12"/>
  <c r="C3074" i="12"/>
  <c r="C3075" i="12"/>
  <c r="C3076" i="12"/>
  <c r="C3077" i="12"/>
  <c r="C3078" i="12"/>
  <c r="C3079" i="12"/>
  <c r="C3080" i="12"/>
  <c r="C3081" i="12"/>
  <c r="C3082" i="12"/>
  <c r="C3083" i="12"/>
  <c r="C3084" i="12"/>
  <c r="C3085" i="12"/>
  <c r="C3086" i="12"/>
  <c r="C3087" i="12"/>
  <c r="C3088" i="12"/>
  <c r="C3089" i="12"/>
  <c r="C3090" i="12"/>
  <c r="C3091" i="12"/>
  <c r="C3092" i="12"/>
  <c r="C3093" i="12"/>
  <c r="C3094" i="12"/>
  <c r="C3095" i="12"/>
  <c r="C3096" i="12"/>
  <c r="C3097" i="12"/>
  <c r="C3098" i="12"/>
  <c r="C3099" i="12"/>
  <c r="C3100" i="12"/>
  <c r="C3101" i="12"/>
  <c r="C3102" i="12"/>
  <c r="C3103" i="12"/>
  <c r="C3104" i="12"/>
  <c r="C3105" i="12"/>
  <c r="C3106" i="12"/>
  <c r="C3107" i="12"/>
  <c r="C3108" i="12"/>
  <c r="C3109" i="12"/>
  <c r="C3110" i="12"/>
  <c r="C3111" i="12"/>
  <c r="C3112" i="12"/>
  <c r="C3113" i="12"/>
  <c r="C3114" i="12"/>
  <c r="C3115" i="12"/>
  <c r="C3116" i="12"/>
  <c r="C3117" i="12"/>
  <c r="C3118" i="12"/>
  <c r="C3119" i="12"/>
  <c r="C3120" i="12"/>
  <c r="C3121" i="12"/>
  <c r="C3122" i="12"/>
  <c r="C3123" i="12"/>
  <c r="C3124" i="12"/>
  <c r="C3125" i="12"/>
  <c r="C3126" i="12"/>
  <c r="C3127" i="12"/>
  <c r="C3128" i="12"/>
  <c r="C3129" i="12"/>
  <c r="C3130" i="12"/>
  <c r="C3131" i="12"/>
  <c r="C3132" i="12"/>
  <c r="C3133" i="12"/>
  <c r="C3134" i="12"/>
  <c r="C3135" i="12"/>
  <c r="C3136" i="12"/>
  <c r="C3137" i="12"/>
  <c r="C3138" i="12"/>
  <c r="C3139" i="12"/>
  <c r="C3140" i="12"/>
  <c r="C3141" i="12"/>
  <c r="C3142" i="12"/>
  <c r="C3143" i="12"/>
  <c r="C3144" i="12"/>
  <c r="C3145" i="12"/>
  <c r="C3146" i="12"/>
  <c r="C3147" i="12"/>
  <c r="C3148" i="12"/>
  <c r="C3149" i="12"/>
  <c r="C3150" i="12"/>
  <c r="C3151" i="12"/>
  <c r="C3152" i="12"/>
  <c r="C3153" i="12"/>
  <c r="C3154" i="12"/>
  <c r="C3155" i="12"/>
  <c r="C3156" i="12"/>
  <c r="C3157" i="12"/>
  <c r="C3158" i="12"/>
  <c r="C3159" i="12"/>
  <c r="C3160" i="12"/>
  <c r="C3161" i="12"/>
  <c r="C3162" i="12"/>
  <c r="C3163" i="12"/>
  <c r="C3164" i="12"/>
  <c r="C3165" i="12"/>
  <c r="C3166" i="12"/>
  <c r="C3167" i="12"/>
  <c r="C3168" i="12"/>
  <c r="C3169" i="12"/>
  <c r="C3170" i="12"/>
  <c r="C3171" i="12"/>
  <c r="C3172" i="12"/>
  <c r="C3173" i="12"/>
  <c r="C3174" i="12"/>
  <c r="C3175" i="12"/>
  <c r="C3176" i="12"/>
  <c r="C3177" i="12"/>
  <c r="C3178" i="12"/>
  <c r="C3179" i="12"/>
  <c r="C3180" i="12"/>
  <c r="C3181" i="12"/>
  <c r="C3182" i="12"/>
  <c r="C3183" i="12"/>
  <c r="C3184" i="12"/>
  <c r="C3185" i="12"/>
  <c r="C3186" i="12"/>
  <c r="C3187" i="12"/>
  <c r="C3188" i="12"/>
  <c r="C3189" i="12"/>
  <c r="C3190" i="12"/>
  <c r="C3191" i="12"/>
  <c r="C3192" i="12"/>
  <c r="C3193" i="12"/>
  <c r="C3194" i="12"/>
  <c r="C3195" i="12"/>
  <c r="C3196" i="12"/>
  <c r="C3197" i="12"/>
  <c r="C3198" i="12"/>
  <c r="C3199" i="12"/>
  <c r="C3200" i="12"/>
  <c r="C3201" i="12"/>
  <c r="C3202" i="12"/>
  <c r="C3203" i="12"/>
  <c r="C3204" i="12"/>
  <c r="C3205" i="12"/>
  <c r="C3206" i="12"/>
  <c r="C3207" i="12"/>
  <c r="C3208" i="12"/>
  <c r="C3209" i="12"/>
  <c r="C3210" i="12"/>
  <c r="C3211" i="12"/>
  <c r="C3212" i="12"/>
  <c r="C3213" i="12"/>
  <c r="C3214" i="12"/>
  <c r="C3215" i="12"/>
  <c r="C3216" i="12"/>
  <c r="C3217" i="12"/>
  <c r="C3218" i="12"/>
  <c r="C3219" i="12"/>
  <c r="C3220" i="12"/>
  <c r="C3221" i="12"/>
  <c r="C3222" i="12"/>
  <c r="C3223" i="12"/>
  <c r="C3224" i="12"/>
  <c r="C3225" i="12"/>
  <c r="C3226" i="12"/>
  <c r="C3227" i="12"/>
  <c r="C3228" i="12"/>
  <c r="C3229" i="12"/>
  <c r="C3230" i="12"/>
  <c r="C3231" i="12"/>
  <c r="C3232" i="12"/>
  <c r="C3233" i="12"/>
  <c r="C3234" i="12"/>
  <c r="C3235" i="12"/>
  <c r="C3236" i="12"/>
  <c r="C3237" i="12"/>
  <c r="C3238" i="12"/>
  <c r="C3239" i="12"/>
  <c r="C3240" i="12"/>
  <c r="C3241" i="12"/>
  <c r="C3242" i="12"/>
  <c r="C3243" i="12"/>
  <c r="C3244" i="12"/>
  <c r="C3245" i="12"/>
  <c r="C3246" i="12"/>
  <c r="C3247" i="12"/>
  <c r="C3248" i="12"/>
  <c r="C3249" i="12"/>
  <c r="C3250" i="12"/>
  <c r="C3251" i="12"/>
  <c r="C3252" i="12"/>
  <c r="C3253" i="12"/>
  <c r="C3254" i="12"/>
  <c r="C3255" i="12"/>
  <c r="C3256" i="12"/>
  <c r="C3257" i="12"/>
  <c r="C3258" i="12"/>
  <c r="C3259" i="12"/>
  <c r="C3260" i="12"/>
  <c r="C3261" i="12"/>
  <c r="C3262" i="12"/>
  <c r="C3263" i="12"/>
  <c r="C3264" i="12"/>
  <c r="C3265" i="12"/>
  <c r="C3266" i="12"/>
  <c r="C3267" i="12"/>
  <c r="C3268" i="12"/>
  <c r="C3269" i="12"/>
  <c r="C3270" i="12"/>
  <c r="C3271" i="12"/>
  <c r="C3272" i="12"/>
  <c r="C3273" i="12"/>
  <c r="C3274" i="12"/>
  <c r="C3275" i="12"/>
  <c r="C3276" i="12"/>
  <c r="C3277" i="12"/>
  <c r="C3278" i="12"/>
  <c r="C3279" i="12"/>
  <c r="C3280" i="12"/>
  <c r="C3281" i="12"/>
  <c r="C3282" i="12"/>
  <c r="C3283" i="12"/>
  <c r="C3284" i="12"/>
  <c r="C3285" i="12"/>
  <c r="C3286" i="12"/>
  <c r="C3287" i="12"/>
  <c r="C3288" i="12"/>
  <c r="C3289" i="12"/>
  <c r="C3290" i="12"/>
  <c r="C3291" i="12"/>
  <c r="C3292" i="12"/>
  <c r="C3293" i="12"/>
  <c r="C3294" i="12"/>
  <c r="C3295" i="12"/>
  <c r="C3296" i="12"/>
  <c r="C3297" i="12"/>
  <c r="C3298" i="12"/>
  <c r="C3299" i="12"/>
  <c r="C3300" i="12"/>
  <c r="C3301" i="12"/>
  <c r="C3302" i="12"/>
  <c r="C3303" i="12"/>
  <c r="C3304" i="12"/>
  <c r="C3305" i="12"/>
  <c r="C3306" i="12"/>
  <c r="C3307" i="12"/>
  <c r="C3308" i="12"/>
  <c r="C3309" i="12"/>
  <c r="C3310" i="12"/>
  <c r="C3311" i="12"/>
  <c r="C3312" i="12"/>
  <c r="C3313" i="12"/>
  <c r="C3314" i="12"/>
  <c r="C3315" i="12"/>
  <c r="C3316" i="12"/>
  <c r="C3317" i="12"/>
  <c r="C3318" i="12"/>
  <c r="C3319" i="12"/>
  <c r="C3320" i="12"/>
  <c r="C3321" i="12"/>
  <c r="C3322" i="12"/>
  <c r="C3323" i="12"/>
  <c r="C3324" i="12"/>
  <c r="C3325" i="12"/>
  <c r="C3326" i="12"/>
  <c r="C3327" i="12"/>
  <c r="C3328" i="12"/>
  <c r="C3329" i="12"/>
  <c r="C3330" i="12"/>
  <c r="C3331" i="12"/>
  <c r="C3332" i="12"/>
  <c r="C3333" i="12"/>
  <c r="C3334" i="12"/>
  <c r="C3335" i="12"/>
  <c r="C3336" i="12"/>
  <c r="C3337" i="12"/>
  <c r="C3338" i="12"/>
  <c r="C3339" i="12"/>
  <c r="C3340" i="12"/>
  <c r="C3341" i="12"/>
  <c r="C3342" i="12"/>
  <c r="C3343" i="12"/>
  <c r="C3344" i="12"/>
  <c r="C3345" i="12"/>
  <c r="C3346" i="12"/>
  <c r="C3347" i="12"/>
  <c r="C3348" i="12"/>
  <c r="C3349" i="12"/>
  <c r="C3350" i="12"/>
  <c r="C3351" i="12"/>
  <c r="C3352" i="12"/>
  <c r="C3353" i="12"/>
  <c r="C3354" i="12"/>
  <c r="C3355" i="12"/>
  <c r="C3356" i="12"/>
  <c r="C3357" i="12"/>
  <c r="C3358" i="12"/>
  <c r="C3359" i="12"/>
  <c r="C3360" i="12"/>
  <c r="C3361" i="12"/>
  <c r="C3362" i="12"/>
  <c r="C3363" i="12"/>
  <c r="C3364" i="12"/>
  <c r="C3365" i="12"/>
  <c r="C3366" i="12"/>
  <c r="C3367" i="12"/>
  <c r="C3368" i="12"/>
  <c r="C3369" i="12"/>
  <c r="C3370" i="12"/>
  <c r="C3371" i="12"/>
  <c r="C3372" i="12"/>
  <c r="C3373" i="12"/>
  <c r="C3374" i="12"/>
  <c r="C3375" i="12"/>
  <c r="C3376" i="12"/>
  <c r="C3377" i="12"/>
  <c r="C3378" i="12"/>
  <c r="C3379" i="12"/>
  <c r="C3380" i="12"/>
  <c r="C3381" i="12"/>
  <c r="C3382" i="12"/>
  <c r="C3383" i="12"/>
  <c r="C3384" i="12"/>
  <c r="C3385" i="12"/>
  <c r="C3386" i="12"/>
  <c r="C3387" i="12"/>
  <c r="C3388" i="12"/>
  <c r="C3389" i="12"/>
  <c r="C3390" i="12"/>
  <c r="C3391" i="12"/>
  <c r="C3392" i="12"/>
  <c r="C3393" i="12"/>
  <c r="C3394" i="12"/>
  <c r="C3395" i="12"/>
  <c r="C3396" i="12"/>
  <c r="C3397" i="12"/>
  <c r="C3398" i="12"/>
  <c r="C3399" i="12"/>
  <c r="C3400" i="12"/>
  <c r="C3401" i="12"/>
  <c r="C3402" i="12"/>
  <c r="C3403" i="12"/>
  <c r="C3404" i="12"/>
  <c r="C3405" i="12"/>
  <c r="C3406" i="12"/>
  <c r="C3407" i="12"/>
  <c r="C3408" i="12"/>
  <c r="C3409" i="12"/>
  <c r="C3410" i="12"/>
  <c r="C3411" i="12"/>
  <c r="C3412" i="12"/>
  <c r="C3413" i="12"/>
  <c r="C3414" i="12"/>
  <c r="C3415" i="12"/>
  <c r="C3416" i="12"/>
  <c r="C3417" i="12"/>
  <c r="C3418" i="12"/>
  <c r="C3419" i="12"/>
  <c r="C3420" i="12"/>
  <c r="C3421" i="12"/>
  <c r="C3422" i="12"/>
  <c r="C3423" i="12"/>
  <c r="C3424" i="12"/>
  <c r="C3425" i="12"/>
  <c r="C3426" i="12"/>
  <c r="C3427" i="12"/>
  <c r="C3428" i="12"/>
  <c r="C3429" i="12"/>
  <c r="C3430" i="12"/>
  <c r="C3431" i="12"/>
  <c r="C3432" i="12"/>
  <c r="C3433" i="12"/>
  <c r="C3434" i="12"/>
  <c r="C3435" i="12"/>
  <c r="C3436" i="12"/>
  <c r="C3437" i="12"/>
  <c r="C3438" i="12"/>
  <c r="C3439" i="12"/>
  <c r="C3440" i="12"/>
  <c r="C3441" i="12"/>
  <c r="C3442" i="12"/>
  <c r="C3443" i="12"/>
  <c r="C3444" i="12"/>
  <c r="C3445" i="12"/>
  <c r="C3446" i="12"/>
  <c r="C3447" i="12"/>
  <c r="C3448" i="12"/>
  <c r="C3449" i="12"/>
  <c r="C3450" i="12"/>
  <c r="C3451" i="12"/>
  <c r="C3452" i="12"/>
  <c r="C3453" i="12"/>
  <c r="C3454" i="12"/>
  <c r="C3455" i="12"/>
  <c r="C3456" i="12"/>
  <c r="C3457" i="12"/>
  <c r="C3458" i="12"/>
  <c r="C3459" i="12"/>
  <c r="C3460" i="12"/>
  <c r="C3461" i="12"/>
  <c r="C3462" i="12"/>
  <c r="C3463" i="12"/>
  <c r="C3464" i="12"/>
  <c r="C3465" i="12"/>
  <c r="C3466" i="12"/>
  <c r="C3467" i="12"/>
  <c r="C3468" i="12"/>
  <c r="C3469" i="12"/>
  <c r="C3470" i="12"/>
  <c r="C3471" i="12"/>
  <c r="C3472" i="12"/>
  <c r="C3473" i="12"/>
  <c r="C3474" i="12"/>
  <c r="C3475" i="12"/>
  <c r="C3476" i="12"/>
  <c r="C3477" i="12"/>
  <c r="C3478" i="12"/>
  <c r="C3479" i="12"/>
  <c r="C3480" i="12"/>
  <c r="C3481" i="12"/>
  <c r="C3482" i="12"/>
  <c r="C3483" i="12"/>
  <c r="C3484" i="12"/>
  <c r="C3485" i="12"/>
  <c r="C3486" i="12"/>
  <c r="C3487" i="12"/>
  <c r="C3488" i="12"/>
  <c r="C3489" i="12"/>
  <c r="C3490" i="12"/>
  <c r="C3491" i="12"/>
  <c r="C3492" i="12"/>
  <c r="C3493" i="12"/>
  <c r="C3494" i="12"/>
  <c r="C3495" i="12"/>
  <c r="C3496" i="12"/>
  <c r="C3497" i="12"/>
  <c r="C3498" i="12"/>
  <c r="C3499" i="12"/>
  <c r="C3500" i="12"/>
  <c r="C3501" i="12"/>
  <c r="C3502" i="12"/>
  <c r="C3503" i="12"/>
  <c r="C3504" i="12"/>
  <c r="C3505" i="12"/>
  <c r="C3506" i="12"/>
  <c r="C3507" i="12"/>
  <c r="C3508" i="12"/>
  <c r="C3509" i="12"/>
  <c r="C3510" i="12"/>
  <c r="C3511" i="12"/>
  <c r="C3512" i="12"/>
  <c r="C3513" i="12"/>
  <c r="C3514" i="12"/>
  <c r="C3515" i="12"/>
  <c r="C3516" i="12"/>
  <c r="C3517" i="12"/>
  <c r="C3518" i="12"/>
  <c r="C3519" i="12"/>
  <c r="C3520" i="12"/>
  <c r="C3521" i="12"/>
  <c r="C3522" i="12"/>
  <c r="C3523" i="12"/>
  <c r="C3524" i="12"/>
  <c r="C3525" i="12"/>
  <c r="C3526" i="12"/>
  <c r="C3527" i="12"/>
  <c r="C3528" i="12"/>
  <c r="C3529" i="12"/>
  <c r="C3530" i="12"/>
  <c r="C3531" i="12"/>
  <c r="C3532" i="12"/>
  <c r="C3533" i="12"/>
  <c r="C3534" i="12"/>
  <c r="C3535" i="12"/>
  <c r="C3536" i="12"/>
  <c r="C3537" i="12"/>
  <c r="C3538" i="12"/>
  <c r="C3539" i="12"/>
  <c r="C3540" i="12"/>
  <c r="C3541" i="12"/>
  <c r="C3542" i="12"/>
  <c r="C3543" i="12"/>
  <c r="C3544" i="12"/>
  <c r="C3545" i="12"/>
  <c r="C3546" i="12"/>
  <c r="C3547" i="12"/>
  <c r="C3548" i="12"/>
  <c r="C3549" i="12"/>
  <c r="C3550" i="12"/>
  <c r="C3551" i="12"/>
  <c r="C3552" i="12"/>
  <c r="C3553" i="12"/>
  <c r="C3554" i="12"/>
  <c r="C3555" i="12"/>
  <c r="C3556" i="12"/>
  <c r="C3557" i="12"/>
  <c r="C3558" i="12"/>
  <c r="C3559" i="12"/>
  <c r="C3560" i="12"/>
  <c r="C3561" i="12"/>
  <c r="C3562" i="12"/>
  <c r="C3563" i="12"/>
  <c r="C3564" i="12"/>
  <c r="C3565" i="12"/>
  <c r="C3566" i="12"/>
  <c r="C3567" i="12"/>
  <c r="C3568" i="12"/>
  <c r="C3569" i="12"/>
  <c r="C3570" i="12"/>
  <c r="C3571" i="12"/>
  <c r="C3572" i="12"/>
  <c r="C3573" i="12"/>
  <c r="C3574" i="12"/>
  <c r="C3575" i="12"/>
  <c r="C3576" i="12"/>
  <c r="C3577" i="12"/>
  <c r="C3578" i="12"/>
  <c r="C3579" i="12"/>
  <c r="C3580" i="12"/>
  <c r="C3581" i="12"/>
  <c r="C3582" i="12"/>
  <c r="C3583" i="12"/>
  <c r="C3584" i="12"/>
  <c r="C3585" i="12"/>
  <c r="C3586" i="12"/>
  <c r="C3587" i="12"/>
  <c r="C3588" i="12"/>
  <c r="C3589" i="12"/>
  <c r="C3590" i="12"/>
  <c r="C3591" i="12"/>
  <c r="C3592" i="12"/>
  <c r="C3593" i="12"/>
  <c r="C3594" i="12"/>
  <c r="C3595" i="12"/>
  <c r="C3596" i="12"/>
  <c r="C3597" i="12"/>
  <c r="C3598" i="12"/>
  <c r="C3599" i="12"/>
  <c r="C3600" i="12"/>
  <c r="C3601" i="12"/>
  <c r="C3602" i="12"/>
  <c r="C3603" i="12"/>
  <c r="C3604" i="12"/>
  <c r="C3605" i="12"/>
  <c r="C3606" i="12"/>
  <c r="C3607" i="12"/>
  <c r="C3608" i="12"/>
  <c r="C3609" i="12"/>
  <c r="C3610" i="12"/>
  <c r="C3611" i="12"/>
  <c r="C3612" i="12"/>
  <c r="C3613" i="12"/>
  <c r="C3614" i="12"/>
  <c r="C3615" i="12"/>
  <c r="C3616" i="12"/>
  <c r="C3617" i="12"/>
  <c r="C3618" i="12"/>
  <c r="C3619" i="12"/>
  <c r="C3620" i="12"/>
  <c r="C3621" i="12"/>
  <c r="C3622" i="12"/>
  <c r="C3623" i="12"/>
  <c r="C3624" i="12"/>
  <c r="C3625" i="12"/>
  <c r="C3626" i="12"/>
  <c r="C3627" i="12"/>
  <c r="C3628" i="12"/>
  <c r="C3629" i="12"/>
  <c r="C3630" i="12"/>
  <c r="C3631" i="12"/>
  <c r="C3632" i="12"/>
  <c r="C3633" i="12"/>
  <c r="C3634" i="12"/>
  <c r="C3635" i="12"/>
  <c r="C3636" i="12"/>
  <c r="C3637" i="12"/>
  <c r="C3638" i="12"/>
  <c r="C3639" i="12"/>
  <c r="C3640" i="12"/>
  <c r="C3641" i="12"/>
  <c r="C3642" i="12"/>
  <c r="C3643" i="12"/>
  <c r="C3644" i="12"/>
  <c r="C3645" i="12"/>
  <c r="C3646" i="12"/>
  <c r="C3647" i="12"/>
  <c r="C3648" i="12"/>
  <c r="C3649" i="12"/>
  <c r="C3650" i="12"/>
  <c r="C3651" i="12"/>
  <c r="C3652" i="12"/>
  <c r="C3653" i="12"/>
  <c r="C3654" i="12"/>
  <c r="C3655" i="12"/>
  <c r="C3656" i="12"/>
  <c r="C3657" i="12"/>
  <c r="C3658" i="12"/>
  <c r="C3659" i="12"/>
  <c r="C3660" i="12"/>
  <c r="C3661" i="12"/>
  <c r="C3662" i="12"/>
  <c r="C3663" i="12"/>
  <c r="C3664" i="12"/>
  <c r="C3665" i="12"/>
  <c r="C3666" i="12"/>
  <c r="C3667" i="12"/>
  <c r="C3668" i="12"/>
  <c r="C3669" i="12"/>
  <c r="C3670" i="12"/>
  <c r="C3671" i="12"/>
  <c r="C3672" i="12"/>
  <c r="C3673" i="12"/>
  <c r="C3674" i="12"/>
  <c r="C3675" i="12"/>
  <c r="C3676" i="12"/>
  <c r="C3677" i="12"/>
  <c r="C3678" i="12"/>
  <c r="C3679" i="12"/>
  <c r="C3680" i="12"/>
  <c r="C3681" i="12"/>
  <c r="C3682" i="12"/>
  <c r="C3683" i="12"/>
  <c r="C3684" i="12"/>
  <c r="C3685" i="12"/>
  <c r="C3686" i="12"/>
  <c r="C3687" i="12"/>
  <c r="C3688" i="12"/>
  <c r="C3689" i="12"/>
  <c r="C3690" i="12"/>
  <c r="C3691" i="12"/>
  <c r="C3692" i="12"/>
  <c r="C3693" i="12"/>
  <c r="C3694" i="12"/>
  <c r="C3695" i="12"/>
  <c r="C3696" i="12"/>
  <c r="C3697" i="12"/>
  <c r="C3698" i="12"/>
  <c r="C3699" i="12"/>
  <c r="C3700" i="12"/>
  <c r="C3701" i="12"/>
  <c r="C3702" i="12"/>
  <c r="C3703" i="12"/>
  <c r="C3704" i="12"/>
  <c r="C3705" i="12"/>
  <c r="C3706" i="12"/>
  <c r="C3707" i="12"/>
  <c r="C3708" i="12"/>
  <c r="C3709" i="12"/>
  <c r="C3710" i="12"/>
  <c r="C3711" i="12"/>
  <c r="C3712" i="12"/>
  <c r="C3713" i="12"/>
  <c r="C3714" i="12"/>
  <c r="C3715" i="12"/>
  <c r="C3716" i="12"/>
  <c r="C3717" i="12"/>
  <c r="C3718" i="12"/>
  <c r="C3719" i="12"/>
  <c r="C3720" i="12"/>
  <c r="C3721" i="12"/>
  <c r="C3722" i="12"/>
  <c r="C3723" i="12"/>
  <c r="C3724" i="12"/>
  <c r="C3725" i="12"/>
  <c r="C3726" i="12"/>
  <c r="C3727" i="12"/>
  <c r="C3728" i="12"/>
  <c r="C3729" i="12"/>
  <c r="C3730" i="12"/>
  <c r="C3731" i="12"/>
  <c r="C3732" i="12"/>
  <c r="C3733" i="12"/>
  <c r="C3734" i="12"/>
  <c r="C3735" i="12"/>
  <c r="C3736" i="12"/>
  <c r="C3737" i="12"/>
  <c r="C3738" i="12"/>
  <c r="C3739" i="12"/>
  <c r="C3740" i="12"/>
  <c r="C3741" i="12"/>
  <c r="C3742" i="12"/>
  <c r="C3743" i="12"/>
  <c r="C3744" i="12"/>
  <c r="C3745" i="12"/>
  <c r="C3746" i="12"/>
  <c r="C3747" i="12"/>
  <c r="C3748" i="12"/>
  <c r="C3749" i="12"/>
  <c r="C3750" i="12"/>
  <c r="C3751" i="12"/>
  <c r="C3752" i="12"/>
  <c r="C3753" i="12"/>
  <c r="C3754" i="12"/>
  <c r="C3755" i="12"/>
  <c r="C3756" i="12"/>
  <c r="C3757" i="12"/>
  <c r="C3758" i="12"/>
  <c r="C3759" i="12"/>
  <c r="C3760" i="12"/>
  <c r="C3761" i="12"/>
  <c r="C3762" i="12"/>
  <c r="C3763" i="12"/>
  <c r="C3764" i="12"/>
  <c r="C3765" i="12"/>
  <c r="C3766" i="12"/>
  <c r="C3767" i="12"/>
  <c r="C3768" i="12"/>
  <c r="C3769" i="12"/>
  <c r="C3770" i="12"/>
  <c r="C3771" i="12"/>
  <c r="C3772" i="12"/>
  <c r="C3773" i="12"/>
  <c r="C3774" i="12"/>
  <c r="C3775" i="12"/>
  <c r="C3776" i="12"/>
  <c r="C3777" i="12"/>
  <c r="C3778" i="12"/>
  <c r="C3779" i="12"/>
  <c r="C3780" i="12"/>
  <c r="C3781" i="12"/>
  <c r="C3782" i="12"/>
  <c r="C3783" i="12"/>
  <c r="C3784" i="12"/>
  <c r="C3785" i="12"/>
  <c r="C3786" i="12"/>
  <c r="C3787" i="12"/>
  <c r="C3788" i="12"/>
  <c r="C3789" i="12"/>
  <c r="C3790" i="12"/>
  <c r="C3791" i="12"/>
  <c r="C3792" i="12"/>
  <c r="C3793" i="12"/>
  <c r="C3794" i="12"/>
  <c r="C3795" i="12"/>
  <c r="C3796" i="12"/>
  <c r="C3797" i="12"/>
  <c r="C3798" i="12"/>
  <c r="C3799" i="12"/>
  <c r="C3800" i="12"/>
  <c r="C3801" i="12"/>
  <c r="C3802" i="12"/>
  <c r="C3803" i="12"/>
  <c r="C3804" i="12"/>
  <c r="C3805" i="12"/>
  <c r="C3806" i="12"/>
  <c r="C3807" i="12"/>
  <c r="C3808" i="12"/>
  <c r="C3809" i="12"/>
  <c r="C3810" i="12"/>
  <c r="C3811" i="12"/>
  <c r="C3812" i="12"/>
  <c r="C3813" i="12"/>
  <c r="C3814" i="12"/>
  <c r="C3815" i="12"/>
  <c r="C3816" i="12"/>
  <c r="C3817" i="12"/>
  <c r="C3818" i="12"/>
  <c r="C3819" i="12"/>
  <c r="C3820" i="12"/>
  <c r="C3821" i="12"/>
  <c r="C3822" i="12"/>
  <c r="C3823" i="12"/>
  <c r="C3824" i="12"/>
  <c r="C3825" i="12"/>
  <c r="C3826" i="12"/>
  <c r="C3827" i="12"/>
  <c r="C3828" i="12"/>
  <c r="C3829" i="12"/>
  <c r="C3830" i="12"/>
  <c r="C3831" i="12"/>
  <c r="C3832" i="12"/>
  <c r="C3833" i="12"/>
  <c r="C3834" i="12"/>
  <c r="C3835" i="12"/>
  <c r="C3836" i="12"/>
  <c r="C3837" i="12"/>
  <c r="C3838" i="12"/>
  <c r="C3839" i="12"/>
  <c r="C3840" i="12"/>
  <c r="C3841" i="12"/>
  <c r="C3842" i="12"/>
  <c r="C3843" i="12"/>
  <c r="C3844" i="12"/>
  <c r="C3845" i="12"/>
  <c r="C3846" i="12"/>
  <c r="C3847" i="12"/>
  <c r="C3848" i="12"/>
  <c r="C3849" i="12"/>
  <c r="C3850" i="12"/>
  <c r="C3851" i="12"/>
  <c r="C3852" i="12"/>
  <c r="C3853" i="12"/>
  <c r="C3854" i="12"/>
  <c r="C3855" i="12"/>
  <c r="C3856" i="12"/>
  <c r="C3857" i="12"/>
  <c r="C3858" i="12"/>
  <c r="C3859" i="12"/>
  <c r="C3860" i="12"/>
  <c r="C3861" i="12"/>
  <c r="C3862" i="12"/>
  <c r="C3863" i="12"/>
  <c r="C3864" i="12"/>
  <c r="C3865" i="12"/>
  <c r="C3866" i="12"/>
  <c r="C3867" i="12"/>
  <c r="C3868" i="12"/>
  <c r="C3869" i="12"/>
  <c r="C3870" i="12"/>
  <c r="C3871" i="12"/>
  <c r="C3872" i="12"/>
  <c r="C3873" i="12"/>
  <c r="C3874" i="12"/>
  <c r="C3875" i="12"/>
  <c r="C3876" i="12"/>
  <c r="C3877" i="12"/>
  <c r="C3878" i="12"/>
  <c r="C3879" i="12"/>
  <c r="C3880" i="12"/>
  <c r="C3881" i="12"/>
  <c r="C3882" i="12"/>
  <c r="C3883" i="12"/>
  <c r="C3884" i="12"/>
  <c r="C3885" i="12"/>
  <c r="C3886" i="12"/>
  <c r="C3887" i="12"/>
  <c r="C3888" i="12"/>
  <c r="C3889" i="12"/>
  <c r="C3890" i="12"/>
  <c r="C3891" i="12"/>
  <c r="C3892" i="12"/>
  <c r="C3893" i="12"/>
  <c r="C3894" i="12"/>
  <c r="C3895" i="12"/>
  <c r="C3896" i="12"/>
  <c r="C3897" i="12"/>
  <c r="C3898" i="12"/>
  <c r="C3899" i="12"/>
  <c r="C3900" i="12"/>
  <c r="C3901" i="12"/>
  <c r="C3902" i="12"/>
  <c r="C3903" i="12"/>
  <c r="C3904" i="12"/>
  <c r="C3905" i="12"/>
  <c r="C3906" i="12"/>
  <c r="C3907" i="12"/>
  <c r="C3908" i="12"/>
  <c r="C3909" i="12"/>
  <c r="C3910" i="12"/>
  <c r="C3911" i="12"/>
  <c r="C3912" i="12"/>
  <c r="C3913" i="12"/>
  <c r="C3914" i="12"/>
  <c r="C3915" i="12"/>
  <c r="C3916" i="12"/>
  <c r="C3917" i="12"/>
  <c r="C3918" i="12"/>
  <c r="C3919" i="12"/>
  <c r="C3920" i="12"/>
  <c r="C3921" i="12"/>
  <c r="C3922" i="12"/>
  <c r="C3923" i="12"/>
  <c r="C3924" i="12"/>
  <c r="C3925" i="12"/>
  <c r="C3926" i="12"/>
  <c r="C3927" i="12"/>
  <c r="C3928" i="12"/>
  <c r="C3929" i="12"/>
  <c r="C3930" i="12"/>
  <c r="C3931" i="12"/>
  <c r="C3932" i="12"/>
  <c r="C3933" i="12"/>
  <c r="C3934" i="12"/>
  <c r="C3935" i="12"/>
  <c r="C3936" i="12"/>
  <c r="C3937" i="12"/>
  <c r="C3938" i="12"/>
  <c r="C3939" i="12"/>
  <c r="C3940" i="12"/>
  <c r="C3941" i="12"/>
  <c r="C3942" i="12"/>
  <c r="C3943" i="12"/>
  <c r="C3944" i="12"/>
  <c r="C3945" i="12"/>
  <c r="C3946" i="12"/>
  <c r="C3947" i="12"/>
  <c r="C3948" i="12"/>
  <c r="C3949" i="12"/>
  <c r="C3950" i="12"/>
  <c r="C3951" i="12"/>
  <c r="C3952" i="12"/>
  <c r="C3953" i="12"/>
  <c r="C3954" i="12"/>
  <c r="C3955" i="12"/>
  <c r="C3956" i="12"/>
  <c r="C3957" i="12"/>
  <c r="C3958" i="12"/>
  <c r="C3959" i="12"/>
  <c r="C3960" i="12"/>
  <c r="C3961" i="12"/>
  <c r="C3962" i="12"/>
  <c r="C3963" i="12"/>
  <c r="C3964" i="12"/>
  <c r="C3965" i="12"/>
  <c r="C3966" i="12"/>
  <c r="C3967" i="12"/>
  <c r="C3968" i="12"/>
  <c r="C3969" i="12"/>
  <c r="C3970" i="12"/>
  <c r="C3971" i="12"/>
  <c r="C3972" i="12"/>
  <c r="C3973" i="12"/>
  <c r="C3974" i="12"/>
  <c r="C3975" i="12"/>
  <c r="C3976" i="12"/>
  <c r="C3977" i="12"/>
  <c r="C3978" i="12"/>
  <c r="C3979" i="12"/>
  <c r="C3980" i="12"/>
  <c r="C3981" i="12"/>
  <c r="C3982" i="12"/>
  <c r="C3983" i="12"/>
  <c r="C3984" i="12"/>
  <c r="C3985" i="12"/>
  <c r="C3986" i="12"/>
  <c r="C3987" i="12"/>
  <c r="C3988" i="12"/>
  <c r="C3989" i="12"/>
  <c r="C3990" i="12"/>
  <c r="C3991" i="12"/>
  <c r="C3992" i="12"/>
  <c r="C3993" i="12"/>
  <c r="C3994" i="12"/>
  <c r="C3995" i="12"/>
  <c r="C3996" i="12"/>
  <c r="C3997" i="12"/>
  <c r="C3998" i="12"/>
  <c r="C3999" i="12"/>
  <c r="C4000" i="12"/>
  <c r="C4001" i="12"/>
  <c r="C4002" i="12"/>
  <c r="C4003" i="12"/>
  <c r="C4004" i="12"/>
  <c r="C4005" i="12"/>
  <c r="C4006" i="12"/>
  <c r="C4007" i="12"/>
  <c r="C4008" i="12"/>
  <c r="C4009" i="12"/>
  <c r="C4010" i="12"/>
  <c r="C4011" i="12"/>
  <c r="C4012" i="12"/>
  <c r="C4013" i="12"/>
  <c r="C4014" i="12"/>
  <c r="C4015" i="12"/>
  <c r="C4016" i="12"/>
  <c r="C4017" i="12"/>
  <c r="C4018" i="12"/>
  <c r="C4019" i="12"/>
  <c r="C4020" i="12"/>
  <c r="C4021" i="12"/>
  <c r="C4022" i="12"/>
  <c r="C4023" i="12"/>
  <c r="C4024" i="12"/>
  <c r="C4025" i="12"/>
  <c r="C4026" i="12"/>
  <c r="C4027" i="12"/>
  <c r="C4028" i="12"/>
  <c r="C4029" i="12"/>
  <c r="C4030" i="12"/>
  <c r="C4031" i="12"/>
  <c r="C4032" i="12"/>
  <c r="C4033" i="12"/>
  <c r="C4034" i="12"/>
  <c r="C4035" i="12"/>
  <c r="C4036" i="12"/>
  <c r="C4037" i="12"/>
  <c r="C4038" i="12"/>
  <c r="C4039" i="12"/>
  <c r="C4040" i="12"/>
  <c r="C4041" i="12"/>
  <c r="C4042" i="12"/>
  <c r="C4043" i="12"/>
  <c r="C4044" i="12"/>
  <c r="C4045" i="12"/>
  <c r="C4046" i="12"/>
  <c r="C4047" i="12"/>
  <c r="C4048" i="12"/>
  <c r="C4049" i="12"/>
  <c r="C4050" i="12"/>
  <c r="C4051" i="12"/>
  <c r="C4052" i="12"/>
  <c r="C4053" i="12"/>
  <c r="C4054" i="12"/>
  <c r="C4055" i="12"/>
  <c r="C4056" i="12"/>
  <c r="C4057" i="12"/>
  <c r="C4058" i="12"/>
  <c r="C4059" i="12"/>
  <c r="C4060" i="12"/>
  <c r="C4061" i="12"/>
  <c r="C4062" i="12"/>
  <c r="C4063" i="12"/>
  <c r="C4064" i="12"/>
  <c r="C4065" i="12"/>
  <c r="C4066" i="12"/>
  <c r="C4067" i="12"/>
  <c r="C4068" i="12"/>
  <c r="C4069" i="12"/>
  <c r="C4070" i="12"/>
  <c r="C4071" i="12"/>
  <c r="C4072" i="12"/>
  <c r="C4073" i="12"/>
  <c r="C4074" i="12"/>
  <c r="C4075" i="12"/>
  <c r="C4076" i="12"/>
  <c r="C4077" i="12"/>
  <c r="C4078" i="12"/>
  <c r="C4079" i="12"/>
  <c r="C4080" i="12"/>
  <c r="C4081" i="12"/>
  <c r="C4082" i="12"/>
  <c r="C4083" i="12"/>
  <c r="C4084" i="12"/>
  <c r="C4085" i="12"/>
  <c r="C4086" i="12"/>
  <c r="C4087" i="12"/>
  <c r="C4088" i="12"/>
  <c r="C4089" i="12"/>
  <c r="C4090" i="12"/>
  <c r="C4091" i="12"/>
  <c r="C4092" i="12"/>
  <c r="C4093" i="12"/>
  <c r="C4094" i="12"/>
  <c r="C4095" i="12"/>
  <c r="C4096" i="12"/>
  <c r="C4097" i="12"/>
  <c r="C4098" i="12"/>
  <c r="C4099" i="12"/>
  <c r="C4100" i="12"/>
  <c r="C4101" i="12"/>
  <c r="C4102" i="12"/>
  <c r="C4103" i="12"/>
  <c r="C4104" i="12"/>
  <c r="C4105" i="12"/>
  <c r="C4106" i="12"/>
  <c r="C4107" i="12"/>
  <c r="C4108" i="12"/>
  <c r="C4109" i="12"/>
  <c r="C4110" i="12"/>
  <c r="C4111" i="12"/>
  <c r="C4112" i="12"/>
  <c r="C4113" i="12"/>
  <c r="C4114" i="12"/>
  <c r="C4115" i="12"/>
  <c r="C4116" i="12"/>
  <c r="C4117" i="12"/>
  <c r="C4118" i="12"/>
  <c r="C4119" i="12"/>
  <c r="C4120" i="12"/>
  <c r="C4121" i="12"/>
  <c r="C4122" i="12"/>
  <c r="C4123" i="12"/>
  <c r="C4124" i="12"/>
  <c r="C4125" i="12"/>
  <c r="C4126" i="12"/>
  <c r="C4127" i="12"/>
  <c r="C4128" i="12"/>
  <c r="C4129" i="12"/>
  <c r="C4130" i="12"/>
  <c r="C4131" i="12"/>
  <c r="C4132" i="12"/>
  <c r="C4133" i="12"/>
  <c r="C4134" i="12"/>
  <c r="C4135" i="12"/>
  <c r="C4136" i="12"/>
  <c r="C4137" i="12"/>
  <c r="C4138" i="12"/>
  <c r="C4139" i="12"/>
  <c r="C4140" i="12"/>
  <c r="C4141" i="12"/>
  <c r="C4142" i="12"/>
  <c r="C4143" i="12"/>
  <c r="C4144" i="12"/>
  <c r="C4145" i="12"/>
  <c r="C4146" i="12"/>
  <c r="C4147" i="12"/>
  <c r="C4148" i="12"/>
  <c r="C4149" i="12"/>
  <c r="C4150" i="12"/>
  <c r="C4151" i="12"/>
  <c r="C4152" i="12"/>
  <c r="C4153" i="12"/>
  <c r="C4154" i="12"/>
  <c r="C4155" i="12"/>
  <c r="C4156" i="12"/>
  <c r="C4157" i="12"/>
  <c r="C4158" i="12"/>
  <c r="C4159" i="12"/>
  <c r="C4160" i="12"/>
  <c r="C4161" i="12"/>
  <c r="C4162" i="12"/>
  <c r="C4163" i="12"/>
  <c r="C4164" i="12"/>
  <c r="C4165" i="12"/>
  <c r="C4166" i="12"/>
  <c r="C4167" i="12"/>
  <c r="C4168" i="12"/>
  <c r="C4169" i="12"/>
  <c r="C4170" i="12"/>
  <c r="C4171" i="12"/>
  <c r="C4172" i="12"/>
  <c r="C4173" i="12"/>
  <c r="C4174" i="12"/>
  <c r="C4175" i="12"/>
  <c r="C4176" i="12"/>
  <c r="C4177" i="12"/>
  <c r="C4178" i="12"/>
  <c r="C4179" i="12"/>
  <c r="C4180" i="12"/>
  <c r="C4181" i="12"/>
  <c r="C4182" i="12"/>
  <c r="C4183" i="12"/>
  <c r="C4184" i="12"/>
  <c r="C4185" i="12"/>
  <c r="C4186" i="12"/>
  <c r="C4187" i="12"/>
  <c r="C4188" i="12"/>
  <c r="C4189" i="12"/>
  <c r="C4190" i="12"/>
  <c r="C4191" i="12"/>
  <c r="C4192" i="12"/>
  <c r="C4193" i="12"/>
  <c r="C4194" i="12"/>
  <c r="C4195" i="12"/>
  <c r="C4196" i="12"/>
  <c r="C4197" i="12"/>
  <c r="C4198" i="12"/>
  <c r="C4199" i="12"/>
  <c r="C4200" i="12"/>
  <c r="C4201" i="12"/>
  <c r="C4202" i="12"/>
  <c r="C4203" i="12"/>
  <c r="C4204" i="12"/>
  <c r="C4205" i="12"/>
  <c r="C4206" i="12"/>
  <c r="C4207" i="12"/>
  <c r="C4208" i="12"/>
  <c r="C4209" i="12"/>
  <c r="C4210" i="12"/>
  <c r="C4211" i="12"/>
  <c r="C4212" i="12"/>
  <c r="C4213" i="12"/>
  <c r="C4214" i="12"/>
  <c r="C4215" i="12"/>
  <c r="C4216" i="12"/>
  <c r="C4217" i="12"/>
  <c r="C4218" i="12"/>
  <c r="C4219" i="12"/>
  <c r="C4220" i="12"/>
  <c r="C4221" i="12"/>
  <c r="C4222" i="12"/>
  <c r="C4223" i="12"/>
  <c r="C4224" i="12"/>
  <c r="C4225" i="12"/>
  <c r="C4226" i="12"/>
  <c r="C4227" i="12"/>
  <c r="C4228" i="12"/>
  <c r="C4229" i="12"/>
  <c r="C4230" i="12"/>
  <c r="C4231" i="12"/>
  <c r="C4232" i="12"/>
  <c r="C4233" i="12"/>
  <c r="C4234" i="12"/>
  <c r="C4235" i="12"/>
  <c r="C4236" i="12"/>
  <c r="C4237" i="12"/>
  <c r="C4238" i="12"/>
  <c r="C4239" i="12"/>
  <c r="C4240" i="12"/>
  <c r="C4241" i="12"/>
  <c r="C4242" i="12"/>
  <c r="C4243" i="12"/>
  <c r="C4244" i="12"/>
  <c r="C4245" i="12"/>
  <c r="C4246" i="12"/>
  <c r="C4247" i="12"/>
  <c r="C4248" i="12"/>
  <c r="C4249" i="12"/>
  <c r="C4250" i="12"/>
  <c r="C4251" i="12"/>
  <c r="C4252" i="12"/>
  <c r="C4253" i="12"/>
  <c r="C4254" i="12"/>
  <c r="C4255" i="12"/>
  <c r="C4256" i="12"/>
  <c r="C4257" i="12"/>
  <c r="C4258" i="12"/>
  <c r="C4259" i="12"/>
  <c r="C4260" i="12"/>
  <c r="C4261" i="12"/>
  <c r="C4262" i="12"/>
  <c r="C4263" i="12"/>
  <c r="C4264" i="12"/>
  <c r="C4265" i="12"/>
  <c r="C4266" i="12"/>
  <c r="C4267" i="12"/>
  <c r="C4268" i="12"/>
  <c r="C4269" i="12"/>
  <c r="C4270" i="12"/>
  <c r="C4271" i="12"/>
  <c r="C4272" i="12"/>
  <c r="C4273" i="12"/>
  <c r="C4274" i="12"/>
  <c r="C4275" i="12"/>
  <c r="C4276" i="12"/>
  <c r="C4277" i="12"/>
  <c r="C4278" i="12"/>
  <c r="C4279" i="12"/>
  <c r="C4280" i="12"/>
  <c r="C4281" i="12"/>
  <c r="C4282" i="12"/>
  <c r="C4283" i="12"/>
  <c r="C4284" i="12"/>
  <c r="C4285" i="12"/>
  <c r="C4286" i="12"/>
  <c r="C4287" i="12"/>
  <c r="C4288" i="12"/>
  <c r="C4289" i="12"/>
  <c r="C4290" i="12"/>
  <c r="C4291" i="12"/>
  <c r="C4292" i="12"/>
  <c r="C4293" i="12"/>
  <c r="C4294" i="12"/>
  <c r="C4295" i="12"/>
  <c r="C4296" i="12"/>
  <c r="C4297" i="12"/>
  <c r="C4298" i="12"/>
  <c r="C4299" i="12"/>
  <c r="C4300" i="12"/>
  <c r="C4301" i="12"/>
  <c r="C4302" i="12"/>
  <c r="C4303" i="12"/>
  <c r="C4304" i="12"/>
  <c r="C4305" i="12"/>
  <c r="C4306" i="12"/>
  <c r="C4307" i="12"/>
  <c r="C4308" i="12"/>
  <c r="C4309" i="12"/>
  <c r="C4310" i="12"/>
  <c r="C4311" i="12"/>
  <c r="C4312" i="12"/>
  <c r="C4313" i="12"/>
  <c r="C4314" i="12"/>
  <c r="C4315" i="12"/>
  <c r="C4316" i="12"/>
  <c r="C4317" i="12"/>
  <c r="C4318" i="12"/>
  <c r="C4319" i="12"/>
  <c r="C4320" i="12"/>
  <c r="C4321" i="12"/>
  <c r="C4322" i="12"/>
  <c r="C4323" i="12"/>
  <c r="C4324" i="12"/>
  <c r="C4325" i="12"/>
  <c r="C4326" i="12"/>
  <c r="C4327" i="12"/>
  <c r="C4328" i="12"/>
  <c r="C4329" i="12"/>
  <c r="C4330" i="12"/>
  <c r="C4331" i="12"/>
  <c r="C4332" i="12"/>
  <c r="C4333" i="12"/>
  <c r="C4334" i="12"/>
  <c r="C4335" i="12"/>
  <c r="C4336" i="12"/>
  <c r="C4337" i="12"/>
  <c r="C4338" i="12"/>
  <c r="C4339" i="12"/>
  <c r="C4340" i="12"/>
  <c r="C4341" i="12"/>
  <c r="C4342" i="12"/>
  <c r="C4343" i="12"/>
  <c r="C4344" i="12"/>
  <c r="C4345" i="12"/>
  <c r="C4346" i="12"/>
  <c r="C4347" i="12"/>
  <c r="C4348" i="12"/>
  <c r="C4349" i="12"/>
  <c r="C4350" i="12"/>
  <c r="C4351" i="12"/>
  <c r="C4352" i="12"/>
  <c r="C4353" i="12"/>
  <c r="C4354" i="12"/>
  <c r="C4355" i="12"/>
  <c r="C4356" i="12"/>
  <c r="C4357" i="12"/>
  <c r="C4358" i="12"/>
  <c r="C4359" i="12"/>
  <c r="C4360" i="12"/>
  <c r="C4361" i="12"/>
  <c r="C4362" i="12"/>
  <c r="C4363" i="12"/>
  <c r="C4364" i="12"/>
  <c r="C4365" i="12"/>
  <c r="C4366" i="12"/>
  <c r="C4367" i="12"/>
  <c r="C4368" i="12"/>
  <c r="C4369" i="12"/>
  <c r="C4370" i="12"/>
  <c r="C4371" i="12"/>
  <c r="C4372" i="12"/>
  <c r="C4373" i="12"/>
  <c r="C4374" i="12"/>
  <c r="C4375" i="12"/>
  <c r="C4376" i="12"/>
  <c r="C4377" i="12"/>
  <c r="C4378" i="12"/>
  <c r="C4379" i="12"/>
  <c r="C4380" i="12"/>
  <c r="C4381" i="12"/>
  <c r="C4382" i="12"/>
  <c r="C4383" i="12"/>
  <c r="C4384" i="12"/>
  <c r="C4385" i="12"/>
  <c r="C4386" i="12"/>
  <c r="C4387" i="12"/>
  <c r="C4388" i="12"/>
  <c r="C4389" i="12"/>
  <c r="C4390" i="12"/>
  <c r="C4391" i="12"/>
  <c r="C4392" i="12"/>
  <c r="C4393" i="12"/>
  <c r="C4394" i="12"/>
  <c r="C4395" i="12"/>
  <c r="C4396" i="12"/>
  <c r="C4397" i="12"/>
  <c r="C4398" i="12"/>
  <c r="C4399" i="12"/>
  <c r="C4400" i="12"/>
  <c r="C4401" i="12"/>
  <c r="C4402" i="12"/>
  <c r="C4403" i="12"/>
  <c r="C4404" i="12"/>
  <c r="C4405" i="12"/>
  <c r="C4406" i="12"/>
  <c r="C4407" i="12"/>
  <c r="C4408" i="12"/>
  <c r="C4409" i="12"/>
  <c r="C4410" i="12"/>
  <c r="C4411" i="12"/>
  <c r="C4412" i="12"/>
  <c r="C4413" i="12"/>
  <c r="C4414" i="12"/>
  <c r="C4415" i="12"/>
  <c r="C4416" i="12"/>
  <c r="C4417" i="12"/>
  <c r="C4418" i="12"/>
  <c r="C4419" i="12"/>
  <c r="C4420" i="12"/>
  <c r="C4421" i="12"/>
  <c r="C4422" i="12"/>
  <c r="C4423" i="12"/>
  <c r="C4424" i="12"/>
  <c r="C4425" i="12"/>
  <c r="C4426" i="12"/>
  <c r="C4427" i="12"/>
  <c r="C4428" i="12"/>
  <c r="C4429" i="12"/>
  <c r="C4430" i="12"/>
  <c r="C4431" i="12"/>
  <c r="C4432" i="12"/>
  <c r="C4433" i="12"/>
  <c r="C4434" i="12"/>
  <c r="C4435" i="12"/>
  <c r="C4436" i="12"/>
  <c r="C4437" i="12"/>
  <c r="C4438" i="12"/>
  <c r="C4439" i="12"/>
  <c r="C4440" i="12"/>
  <c r="C4441" i="12"/>
  <c r="C4442" i="12"/>
  <c r="C4443" i="12"/>
  <c r="C4444" i="12"/>
  <c r="C4445" i="12"/>
  <c r="C4446" i="12"/>
  <c r="C4447" i="12"/>
  <c r="C4448" i="12"/>
  <c r="C4449" i="12"/>
  <c r="C4450" i="12"/>
  <c r="C4451" i="12"/>
  <c r="C4452" i="12"/>
  <c r="C4453" i="12"/>
  <c r="C4454" i="12"/>
  <c r="C4455" i="12"/>
  <c r="C4456" i="12"/>
  <c r="C4457" i="12"/>
  <c r="C4458" i="12"/>
  <c r="C4459" i="12"/>
  <c r="C4460" i="12"/>
  <c r="C4461" i="12"/>
  <c r="C4462" i="12"/>
  <c r="C4463" i="12"/>
  <c r="C4464" i="12"/>
  <c r="C4465" i="12"/>
  <c r="C4466" i="12"/>
  <c r="C4467" i="12"/>
  <c r="C4468" i="12"/>
  <c r="C4469" i="12"/>
  <c r="C4470" i="12"/>
  <c r="C4471" i="12"/>
  <c r="C4472" i="12"/>
  <c r="C4473" i="12"/>
  <c r="C4474" i="12"/>
  <c r="C4475" i="12"/>
  <c r="C4476" i="12"/>
  <c r="C4477" i="12"/>
  <c r="C4478" i="12"/>
  <c r="C4479" i="12"/>
  <c r="C4480" i="12"/>
  <c r="C4481" i="12"/>
  <c r="C4482" i="12"/>
  <c r="C4483" i="12"/>
  <c r="C4484" i="12"/>
  <c r="C4485" i="12"/>
  <c r="C4486" i="12"/>
  <c r="C4487" i="12"/>
  <c r="C4488" i="12"/>
  <c r="C4489" i="12"/>
  <c r="C4490" i="12"/>
  <c r="C4491" i="12"/>
  <c r="C4492" i="12"/>
  <c r="C4493" i="12"/>
  <c r="C4494" i="12"/>
  <c r="C4495" i="12"/>
  <c r="C4496" i="12"/>
  <c r="C4497" i="12"/>
  <c r="C4498" i="12"/>
  <c r="C4499" i="12"/>
  <c r="C4500" i="12"/>
  <c r="C4501" i="12"/>
  <c r="C4502" i="12"/>
  <c r="C4503" i="12"/>
  <c r="C4504" i="12"/>
  <c r="C4505" i="12"/>
  <c r="C4506" i="12"/>
  <c r="C4507" i="12"/>
  <c r="C4508" i="12"/>
  <c r="C4509" i="12"/>
  <c r="C4510" i="12"/>
  <c r="C4511" i="12"/>
  <c r="C4512" i="12"/>
  <c r="C4513" i="12"/>
  <c r="C4514" i="12"/>
  <c r="C4515" i="12"/>
  <c r="C4516" i="12"/>
  <c r="C4517" i="12"/>
  <c r="C4518" i="12"/>
  <c r="C4519" i="12"/>
  <c r="C4520" i="12"/>
  <c r="C4521" i="12"/>
  <c r="C4522" i="12"/>
  <c r="C4523" i="12"/>
  <c r="C4524" i="12"/>
  <c r="C4525" i="12"/>
  <c r="C4526" i="12"/>
  <c r="C4527" i="12"/>
  <c r="C4528" i="12"/>
  <c r="C4529" i="12"/>
  <c r="C4530" i="12"/>
  <c r="C4531" i="12"/>
  <c r="C4532" i="12"/>
  <c r="C4533" i="12"/>
  <c r="C4534" i="12"/>
  <c r="C4535" i="12"/>
  <c r="C4536" i="12"/>
  <c r="C4537" i="12"/>
  <c r="C4538" i="12"/>
  <c r="C4539" i="12"/>
  <c r="C4540" i="12"/>
  <c r="C4541" i="12"/>
  <c r="C4542" i="12"/>
  <c r="C4543" i="12"/>
  <c r="C4544" i="12"/>
  <c r="C4545" i="12"/>
  <c r="C4546" i="12"/>
  <c r="C4547" i="12"/>
  <c r="C4548" i="12"/>
  <c r="C4549" i="12"/>
  <c r="C4550" i="12"/>
  <c r="C4551" i="12"/>
  <c r="C4552" i="12"/>
  <c r="C4553" i="12"/>
  <c r="C4554" i="12"/>
  <c r="C4555" i="12"/>
  <c r="C4556" i="12"/>
  <c r="C4557" i="12"/>
  <c r="C4558" i="12"/>
  <c r="C4559" i="12"/>
  <c r="C4560" i="12"/>
  <c r="C4561" i="12"/>
  <c r="C4562" i="12"/>
  <c r="C4563" i="12"/>
  <c r="C4564" i="12"/>
  <c r="C4565" i="12"/>
  <c r="C4566" i="12"/>
  <c r="C4567" i="12"/>
  <c r="C4568" i="12"/>
  <c r="C4569" i="12"/>
  <c r="C4570" i="12"/>
  <c r="C4571" i="12"/>
  <c r="C4572" i="12"/>
  <c r="C4573" i="12"/>
  <c r="C4574" i="12"/>
  <c r="C4575" i="12"/>
  <c r="C4576" i="12"/>
  <c r="C4577" i="12"/>
  <c r="C4578" i="12"/>
  <c r="C4579" i="12"/>
  <c r="C4580" i="12"/>
  <c r="C4581" i="12"/>
  <c r="C4582" i="12"/>
  <c r="C4583" i="12"/>
  <c r="C4584" i="12"/>
  <c r="C4585" i="12"/>
  <c r="C4586" i="12"/>
  <c r="C4587" i="12"/>
  <c r="C4588" i="12"/>
  <c r="C4589" i="12"/>
  <c r="C4590" i="12"/>
  <c r="C4591" i="12"/>
  <c r="C4592" i="12"/>
  <c r="C4593" i="12"/>
  <c r="C4594" i="12"/>
  <c r="C4595" i="12"/>
  <c r="C4596" i="12"/>
  <c r="C4597" i="12"/>
  <c r="C4598" i="12"/>
  <c r="C4599" i="12"/>
  <c r="C4600" i="12"/>
  <c r="C4601" i="12"/>
  <c r="C4602" i="12"/>
  <c r="C4603" i="12"/>
  <c r="C4604" i="12"/>
  <c r="C4605" i="12"/>
  <c r="C4606" i="12"/>
  <c r="C4607" i="12"/>
  <c r="C4608" i="12"/>
  <c r="C4609" i="12"/>
  <c r="C4610" i="12"/>
  <c r="C4611" i="12"/>
  <c r="C4612" i="12"/>
  <c r="C4613" i="12"/>
  <c r="C4614" i="12"/>
  <c r="C4615" i="12"/>
  <c r="C4616" i="12"/>
  <c r="C4617" i="12"/>
  <c r="C4618" i="12"/>
  <c r="C4619" i="12"/>
  <c r="C4620" i="12"/>
  <c r="C4621" i="12"/>
  <c r="C4622" i="12"/>
  <c r="C4623" i="12"/>
  <c r="C4624" i="12"/>
  <c r="C4625" i="12"/>
  <c r="C4626" i="12"/>
  <c r="C4627" i="12"/>
  <c r="C4628" i="12"/>
  <c r="C4629" i="12"/>
  <c r="C4630" i="12"/>
  <c r="C4631" i="12"/>
  <c r="C4632" i="12"/>
  <c r="C4633" i="12"/>
  <c r="C4634" i="12"/>
  <c r="C4635" i="12"/>
  <c r="C4636" i="12"/>
  <c r="C4637" i="12"/>
  <c r="C4638" i="12"/>
  <c r="C4639" i="12"/>
  <c r="C4640" i="12"/>
  <c r="C4641" i="12"/>
  <c r="C4642" i="12"/>
  <c r="C4643" i="12"/>
  <c r="C4644" i="12"/>
  <c r="C4645" i="12"/>
  <c r="C4646" i="12"/>
  <c r="C4647" i="12"/>
  <c r="C4648" i="12"/>
  <c r="C4649" i="12"/>
  <c r="C4650" i="12"/>
  <c r="C4651" i="12"/>
  <c r="C4652" i="12"/>
  <c r="C4653" i="12"/>
  <c r="C4654" i="12"/>
  <c r="C4655" i="12"/>
  <c r="C4656" i="12"/>
  <c r="C4657" i="12"/>
  <c r="C4658" i="12"/>
  <c r="C4659" i="12"/>
  <c r="C4660" i="12"/>
  <c r="C4661" i="12"/>
  <c r="C4662" i="12"/>
  <c r="C4663" i="12"/>
  <c r="C4664" i="12"/>
  <c r="C4665" i="12"/>
  <c r="C4666" i="12"/>
  <c r="C4667" i="12"/>
  <c r="C4668" i="12"/>
  <c r="C4669" i="12"/>
  <c r="C4670" i="12"/>
  <c r="C4671" i="12"/>
  <c r="C4672" i="12"/>
  <c r="C4673" i="12"/>
  <c r="C4674" i="12"/>
  <c r="C4675" i="12"/>
  <c r="C4676" i="12"/>
  <c r="C4677" i="12"/>
  <c r="C4678" i="12"/>
  <c r="C4679" i="12"/>
  <c r="C4680" i="12"/>
  <c r="C4681" i="12"/>
  <c r="C4682" i="12"/>
  <c r="C4683" i="12"/>
  <c r="C4684" i="12"/>
  <c r="C4685" i="12"/>
  <c r="C4686" i="12"/>
  <c r="C4687" i="12"/>
  <c r="C4688" i="12"/>
  <c r="C4689" i="12"/>
  <c r="C4690" i="12"/>
  <c r="C4691" i="12"/>
  <c r="C4692" i="12"/>
  <c r="C4693" i="12"/>
  <c r="C4694" i="12"/>
  <c r="C4695" i="12"/>
  <c r="C4696" i="12"/>
  <c r="C4697" i="12"/>
  <c r="C4698" i="12"/>
  <c r="C4699" i="12"/>
  <c r="C4700" i="12"/>
  <c r="C4701" i="12"/>
  <c r="C4702" i="12"/>
  <c r="C4703" i="12"/>
  <c r="C4704" i="12"/>
  <c r="C4705" i="12"/>
  <c r="C4706" i="12"/>
  <c r="C4707" i="12"/>
  <c r="C4708" i="12"/>
  <c r="C4709" i="12"/>
  <c r="C4710" i="12"/>
  <c r="C4711" i="12"/>
  <c r="C4712" i="12"/>
  <c r="C4713" i="12"/>
  <c r="C4714" i="12"/>
  <c r="C4715" i="12"/>
  <c r="C4716" i="12"/>
  <c r="C4717" i="12"/>
  <c r="C4718" i="12"/>
  <c r="C4719" i="12"/>
  <c r="C4720" i="12"/>
  <c r="C4721" i="12"/>
  <c r="C4722" i="12"/>
  <c r="C4723" i="12"/>
  <c r="C4724" i="12"/>
  <c r="C4725" i="12"/>
  <c r="C4726" i="12"/>
  <c r="C4727" i="12"/>
  <c r="C4728" i="12"/>
  <c r="C4729" i="12"/>
  <c r="C4730" i="12"/>
  <c r="C4731" i="12"/>
  <c r="C4732" i="12"/>
  <c r="C4733" i="12"/>
  <c r="C4734" i="12"/>
  <c r="C4735" i="12"/>
  <c r="C4736" i="12"/>
  <c r="C4737" i="12"/>
  <c r="C4738" i="12"/>
  <c r="C4739" i="12"/>
  <c r="C4740" i="12"/>
  <c r="C4741" i="12"/>
  <c r="C4742" i="12"/>
  <c r="C4743" i="12"/>
  <c r="C4744" i="12"/>
  <c r="C4745" i="12"/>
  <c r="C4746" i="12"/>
  <c r="C4747" i="12"/>
  <c r="C4748" i="12"/>
  <c r="C4749" i="12"/>
  <c r="C4750" i="12"/>
  <c r="C4751" i="12"/>
  <c r="C4752" i="12"/>
  <c r="C4753" i="12"/>
  <c r="C4754" i="12"/>
  <c r="C4755" i="12"/>
  <c r="C4756" i="12"/>
  <c r="C4757" i="12"/>
  <c r="C4758" i="12"/>
  <c r="C4759" i="12"/>
  <c r="C4760" i="12"/>
  <c r="C4761" i="12"/>
  <c r="C4762" i="12"/>
  <c r="C4763" i="12"/>
  <c r="C4764" i="12"/>
  <c r="C4765" i="12"/>
  <c r="C4766" i="12"/>
  <c r="C4767" i="12"/>
  <c r="C4768" i="12"/>
  <c r="C4769" i="12"/>
  <c r="C4770" i="12"/>
  <c r="C4771" i="12"/>
  <c r="C4772" i="12"/>
  <c r="C4773" i="12"/>
  <c r="C4774" i="12"/>
  <c r="C4775" i="12"/>
  <c r="C4776" i="12"/>
  <c r="C4777" i="12"/>
  <c r="C4778" i="12"/>
  <c r="C4779" i="12"/>
  <c r="C4780" i="12"/>
  <c r="C4781" i="12"/>
  <c r="C4782" i="12"/>
  <c r="C4783" i="12"/>
  <c r="C4784" i="12"/>
  <c r="C4785" i="12"/>
  <c r="C4786" i="12"/>
  <c r="C4787" i="12"/>
  <c r="C4788" i="12"/>
  <c r="C4789" i="12"/>
  <c r="C4790" i="12"/>
  <c r="C4791" i="12"/>
  <c r="C4792" i="12"/>
  <c r="C4793" i="12"/>
  <c r="C4794" i="12"/>
  <c r="C4795" i="12"/>
  <c r="C4796" i="12"/>
  <c r="C4797" i="12"/>
  <c r="C4798" i="12"/>
  <c r="C4799" i="12"/>
  <c r="C4800" i="12"/>
  <c r="C4801" i="12"/>
  <c r="C4802" i="12"/>
  <c r="C4803" i="12"/>
  <c r="C4804" i="12"/>
  <c r="C4805" i="12"/>
  <c r="C4806" i="12"/>
  <c r="C4807" i="12"/>
  <c r="C4808" i="12"/>
  <c r="C4809" i="12"/>
  <c r="C4810" i="12"/>
  <c r="C4811" i="12"/>
  <c r="C4812" i="12"/>
  <c r="C4813" i="12"/>
  <c r="C4814" i="12"/>
  <c r="C4815" i="12"/>
  <c r="C4816" i="12"/>
  <c r="C4817" i="12"/>
  <c r="C4818" i="12"/>
  <c r="C2" i="12"/>
  <c r="B8" i="14"/>
  <c r="B7" i="14"/>
  <c r="B6" i="14"/>
  <c r="B15" i="14" s="1"/>
  <c r="B5" i="14"/>
  <c r="B14" i="14" s="1"/>
  <c r="B4" i="14"/>
  <c r="B3" i="14"/>
  <c r="H64" i="10"/>
  <c r="E64" i="10"/>
  <c r="F64" i="10"/>
  <c r="C63" i="10"/>
  <c r="C2" i="10"/>
  <c r="H64" i="9"/>
  <c r="E64" i="9"/>
  <c r="F64" i="9" s="1"/>
  <c r="C63" i="9"/>
  <c r="H64" i="8"/>
  <c r="E64" i="8"/>
  <c r="F64" i="8"/>
  <c r="C63" i="8"/>
  <c r="E63" i="10"/>
  <c r="H63" i="10" s="1"/>
  <c r="E62" i="10"/>
  <c r="H62" i="10" s="1"/>
  <c r="E61" i="10"/>
  <c r="H61" i="10" s="1"/>
  <c r="E60" i="10"/>
  <c r="H60" i="10" s="1"/>
  <c r="E59" i="10"/>
  <c r="H59" i="10" s="1"/>
  <c r="E58" i="10"/>
  <c r="H58" i="10" s="1"/>
  <c r="E57" i="10"/>
  <c r="H57" i="10" s="1"/>
  <c r="E56" i="10"/>
  <c r="H56" i="10" s="1"/>
  <c r="E55" i="10"/>
  <c r="H55" i="10" s="1"/>
  <c r="E54" i="10"/>
  <c r="H54" i="10" s="1"/>
  <c r="E53" i="10"/>
  <c r="H53" i="10" s="1"/>
  <c r="E52" i="10"/>
  <c r="H52" i="10" s="1"/>
  <c r="E51" i="10"/>
  <c r="H51" i="10" s="1"/>
  <c r="E50" i="10"/>
  <c r="H50" i="10" s="1"/>
  <c r="E49" i="10"/>
  <c r="H49" i="10" s="1"/>
  <c r="E48" i="10"/>
  <c r="H48" i="10" s="1"/>
  <c r="E47" i="10"/>
  <c r="H47" i="10" s="1"/>
  <c r="E46" i="10"/>
  <c r="H46" i="10" s="1"/>
  <c r="E45" i="10"/>
  <c r="H45" i="10" s="1"/>
  <c r="E44" i="10"/>
  <c r="H44" i="10" s="1"/>
  <c r="E43" i="10"/>
  <c r="H43" i="10" s="1"/>
  <c r="E42" i="10"/>
  <c r="H42" i="10" s="1"/>
  <c r="E41" i="10"/>
  <c r="H41" i="10" s="1"/>
  <c r="E40" i="10"/>
  <c r="H40" i="10" s="1"/>
  <c r="E39" i="10"/>
  <c r="H39" i="10" s="1"/>
  <c r="E38" i="10"/>
  <c r="H38" i="10" s="1"/>
  <c r="E37" i="10"/>
  <c r="H37" i="10" s="1"/>
  <c r="E36" i="10"/>
  <c r="H36" i="10" s="1"/>
  <c r="E35" i="10"/>
  <c r="H35" i="10" s="1"/>
  <c r="E34" i="10"/>
  <c r="H34" i="10" s="1"/>
  <c r="E33" i="10"/>
  <c r="H33" i="10" s="1"/>
  <c r="E32" i="10"/>
  <c r="H32" i="10" s="1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H16" i="10" s="1"/>
  <c r="E15" i="10"/>
  <c r="H15" i="10" s="1"/>
  <c r="E14" i="10"/>
  <c r="H14" i="10" s="1"/>
  <c r="E13" i="10"/>
  <c r="H13" i="10" s="1"/>
  <c r="E12" i="10"/>
  <c r="H12" i="10" s="1"/>
  <c r="E11" i="10"/>
  <c r="H11" i="10" s="1"/>
  <c r="E10" i="10"/>
  <c r="H10" i="10" s="1"/>
  <c r="E9" i="10"/>
  <c r="H9" i="10" s="1"/>
  <c r="E8" i="10"/>
  <c r="H8" i="10" s="1"/>
  <c r="E7" i="10"/>
  <c r="H7" i="10" s="1"/>
  <c r="E6" i="10"/>
  <c r="H6" i="10" s="1"/>
  <c r="E5" i="10"/>
  <c r="H5" i="10" s="1"/>
  <c r="E4" i="10"/>
  <c r="H4" i="10" s="1"/>
  <c r="E3" i="10"/>
  <c r="H3" i="10" s="1"/>
  <c r="E2" i="10"/>
  <c r="H2" i="10" s="1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2" i="13"/>
  <c r="E2" i="13"/>
  <c r="F2" i="13"/>
  <c r="H2" i="13"/>
  <c r="C3" i="13"/>
  <c r="E3" i="13"/>
  <c r="F3" i="13"/>
  <c r="H3" i="13"/>
  <c r="C4" i="13"/>
  <c r="E4" i="13"/>
  <c r="F4" i="13"/>
  <c r="H4" i="13"/>
  <c r="C5" i="13"/>
  <c r="E5" i="13"/>
  <c r="F5" i="13"/>
  <c r="H5" i="13"/>
  <c r="C6" i="13"/>
  <c r="E6" i="13"/>
  <c r="F6" i="13" s="1"/>
  <c r="H6" i="13"/>
  <c r="C7" i="13"/>
  <c r="E7" i="13"/>
  <c r="F7" i="13"/>
  <c r="H7" i="13"/>
  <c r="C8" i="13"/>
  <c r="E8" i="13"/>
  <c r="F8" i="13"/>
  <c r="H8" i="13"/>
  <c r="C9" i="13"/>
  <c r="E9" i="13"/>
  <c r="F9" i="13"/>
  <c r="H9" i="13"/>
  <c r="C10" i="13"/>
  <c r="E10" i="13"/>
  <c r="F10" i="13"/>
  <c r="H10" i="13"/>
  <c r="C11" i="13"/>
  <c r="E11" i="13"/>
  <c r="F11" i="13"/>
  <c r="H11" i="13"/>
  <c r="C12" i="13"/>
  <c r="E12" i="13"/>
  <c r="F12" i="13"/>
  <c r="H12" i="13"/>
  <c r="C13" i="13"/>
  <c r="E13" i="13"/>
  <c r="F13" i="13"/>
  <c r="H13" i="13"/>
  <c r="C14" i="13"/>
  <c r="E14" i="13"/>
  <c r="F14" i="13"/>
  <c r="H14" i="13"/>
  <c r="C15" i="13"/>
  <c r="E15" i="13"/>
  <c r="F15" i="13"/>
  <c r="H15" i="13"/>
  <c r="C16" i="13"/>
  <c r="E16" i="13"/>
  <c r="F16" i="13"/>
  <c r="H16" i="13"/>
  <c r="C17" i="13"/>
  <c r="E17" i="13"/>
  <c r="F17" i="13"/>
  <c r="H17" i="13"/>
  <c r="C18" i="13"/>
  <c r="E18" i="13"/>
  <c r="F18" i="13"/>
  <c r="H18" i="13"/>
  <c r="C19" i="13"/>
  <c r="E19" i="13"/>
  <c r="F19" i="13"/>
  <c r="H19" i="13"/>
  <c r="C20" i="13"/>
  <c r="E20" i="13"/>
  <c r="F20" i="13"/>
  <c r="H20" i="13"/>
  <c r="C21" i="13"/>
  <c r="E21" i="13"/>
  <c r="F21" i="13"/>
  <c r="H21" i="13"/>
  <c r="C22" i="13"/>
  <c r="E22" i="13"/>
  <c r="H22" i="13" s="1"/>
  <c r="F22" i="13"/>
  <c r="C23" i="13"/>
  <c r="E23" i="13"/>
  <c r="F23" i="13"/>
  <c r="H23" i="13"/>
  <c r="C24" i="13"/>
  <c r="E24" i="13"/>
  <c r="F24" i="13"/>
  <c r="H24" i="13"/>
  <c r="C25" i="13"/>
  <c r="E25" i="13"/>
  <c r="F25" i="13"/>
  <c r="H25" i="13"/>
  <c r="C26" i="13"/>
  <c r="E26" i="13"/>
  <c r="F26" i="13"/>
  <c r="H26" i="13"/>
  <c r="C27" i="13"/>
  <c r="E27" i="13"/>
  <c r="F27" i="13"/>
  <c r="H27" i="13"/>
  <c r="C28" i="13"/>
  <c r="E28" i="13"/>
  <c r="F28" i="13"/>
  <c r="H28" i="13"/>
  <c r="C29" i="13"/>
  <c r="E29" i="13"/>
  <c r="F29" i="13"/>
  <c r="H29" i="13"/>
  <c r="C30" i="13"/>
  <c r="E30" i="13"/>
  <c r="F30" i="13"/>
  <c r="H30" i="13"/>
  <c r="C31" i="13"/>
  <c r="E31" i="13"/>
  <c r="F31" i="13"/>
  <c r="H31" i="13"/>
  <c r="C32" i="13"/>
  <c r="E32" i="13"/>
  <c r="F32" i="13"/>
  <c r="H32" i="13"/>
  <c r="C33" i="13"/>
  <c r="E33" i="13"/>
  <c r="F33" i="13"/>
  <c r="H33" i="13"/>
  <c r="C34" i="13"/>
  <c r="E34" i="13"/>
  <c r="F34" i="13"/>
  <c r="H34" i="13"/>
  <c r="C35" i="13"/>
  <c r="E35" i="13"/>
  <c r="F35" i="13"/>
  <c r="H35" i="13"/>
  <c r="C36" i="13"/>
  <c r="E36" i="13"/>
  <c r="C37" i="13"/>
  <c r="E37" i="13"/>
  <c r="F37" i="13"/>
  <c r="H37" i="13"/>
  <c r="C38" i="13"/>
  <c r="E38" i="13"/>
  <c r="F38" i="13"/>
  <c r="H38" i="13"/>
  <c r="C39" i="13"/>
  <c r="E39" i="13"/>
  <c r="F39" i="13"/>
  <c r="H39" i="13"/>
  <c r="C40" i="13"/>
  <c r="E40" i="13"/>
  <c r="F40" i="13"/>
  <c r="H40" i="13"/>
  <c r="C41" i="13"/>
  <c r="E41" i="13"/>
  <c r="F41" i="13"/>
  <c r="H41" i="13"/>
  <c r="C42" i="13"/>
  <c r="E42" i="13"/>
  <c r="F42" i="13"/>
  <c r="H42" i="13"/>
  <c r="C43" i="13"/>
  <c r="E43" i="13"/>
  <c r="F43" i="13" s="1"/>
  <c r="H43" i="13"/>
  <c r="C44" i="13"/>
  <c r="E44" i="13"/>
  <c r="F44" i="13"/>
  <c r="H44" i="13"/>
  <c r="C45" i="13"/>
  <c r="E45" i="13"/>
  <c r="F45" i="13"/>
  <c r="H45" i="13"/>
  <c r="C46" i="13"/>
  <c r="E46" i="13"/>
  <c r="F46" i="13"/>
  <c r="H46" i="13"/>
  <c r="C47" i="13"/>
  <c r="E47" i="13"/>
  <c r="F47" i="13"/>
  <c r="H47" i="13"/>
  <c r="C48" i="13"/>
  <c r="E48" i="13"/>
  <c r="F48" i="13"/>
  <c r="H48" i="13"/>
  <c r="C49" i="13"/>
  <c r="E49" i="13"/>
  <c r="F49" i="13"/>
  <c r="H49" i="13"/>
  <c r="C50" i="13"/>
  <c r="E50" i="13"/>
  <c r="F50" i="13"/>
  <c r="H50" i="13"/>
  <c r="C51" i="13"/>
  <c r="E51" i="13"/>
  <c r="F51" i="13" s="1"/>
  <c r="H51" i="13"/>
  <c r="C52" i="13"/>
  <c r="E52" i="13"/>
  <c r="F52" i="13"/>
  <c r="H52" i="13"/>
  <c r="C53" i="13"/>
  <c r="E53" i="13"/>
  <c r="F53" i="13"/>
  <c r="H53" i="13"/>
  <c r="C54" i="13"/>
  <c r="E54" i="13"/>
  <c r="F54" i="13" s="1"/>
  <c r="H54" i="13"/>
  <c r="C55" i="13"/>
  <c r="E55" i="13"/>
  <c r="F55" i="13"/>
  <c r="H55" i="13"/>
  <c r="C56" i="13"/>
  <c r="E56" i="13"/>
  <c r="F56" i="13"/>
  <c r="H56" i="13"/>
  <c r="C57" i="13"/>
  <c r="E57" i="13"/>
  <c r="F57" i="13"/>
  <c r="H57" i="13"/>
  <c r="C58" i="13"/>
  <c r="E58" i="13"/>
  <c r="F58" i="13"/>
  <c r="H58" i="13"/>
  <c r="C59" i="13"/>
  <c r="E59" i="13"/>
  <c r="F59" i="13"/>
  <c r="H59" i="13"/>
  <c r="C60" i="13"/>
  <c r="E60" i="13"/>
  <c r="F60" i="13"/>
  <c r="H60" i="13"/>
  <c r="C61" i="13"/>
  <c r="E61" i="13"/>
  <c r="F61" i="13"/>
  <c r="H61" i="13"/>
  <c r="C62" i="13"/>
  <c r="E62" i="13"/>
  <c r="F62" i="13"/>
  <c r="H62" i="13"/>
  <c r="C63" i="13"/>
  <c r="E63" i="13"/>
  <c r="F63" i="13"/>
  <c r="H63" i="13"/>
  <c r="E64" i="13"/>
  <c r="F64" i="13"/>
  <c r="H64" i="13"/>
  <c r="B9" i="22" l="1"/>
  <c r="B9" i="21"/>
  <c r="B9" i="20"/>
  <c r="F31" i="10"/>
  <c r="H31" i="10"/>
  <c r="F30" i="10"/>
  <c r="H30" i="10"/>
  <c r="F29" i="10"/>
  <c r="H29" i="10"/>
  <c r="F28" i="10"/>
  <c r="H28" i="10"/>
  <c r="F27" i="10"/>
  <c r="H27" i="10"/>
  <c r="F26" i="10"/>
  <c r="H26" i="10"/>
  <c r="F25" i="10"/>
  <c r="H25" i="10"/>
  <c r="F24" i="10"/>
  <c r="H24" i="10"/>
  <c r="F23" i="10"/>
  <c r="H23" i="10"/>
  <c r="F22" i="10"/>
  <c r="H22" i="10"/>
  <c r="F21" i="10"/>
  <c r="H21" i="10"/>
  <c r="F20" i="10"/>
  <c r="H20" i="10"/>
  <c r="F19" i="10"/>
  <c r="H19" i="10"/>
  <c r="F18" i="10"/>
  <c r="H18" i="10"/>
  <c r="F17" i="10"/>
  <c r="H17" i="10"/>
  <c r="F44" i="9"/>
  <c r="H44" i="9"/>
  <c r="F43" i="9"/>
  <c r="H43" i="9"/>
  <c r="F42" i="9"/>
  <c r="H42" i="9"/>
  <c r="F41" i="9"/>
  <c r="H41" i="9"/>
  <c r="F40" i="9"/>
  <c r="H40" i="9"/>
  <c r="F39" i="9"/>
  <c r="H39" i="9"/>
  <c r="F38" i="9"/>
  <c r="H38" i="9"/>
  <c r="F37" i="9"/>
  <c r="H37" i="9"/>
  <c r="F36" i="9"/>
  <c r="H36" i="9"/>
  <c r="F35" i="9"/>
  <c r="H35" i="9"/>
  <c r="F34" i="9"/>
  <c r="H34" i="9"/>
  <c r="F33" i="9"/>
  <c r="H33" i="9"/>
  <c r="F32" i="9"/>
  <c r="H32" i="9"/>
  <c r="F31" i="9"/>
  <c r="H31" i="9"/>
  <c r="F30" i="9"/>
  <c r="H30" i="9"/>
  <c r="F29" i="9"/>
  <c r="H29" i="9"/>
  <c r="F28" i="9"/>
  <c r="H28" i="9"/>
  <c r="F27" i="9"/>
  <c r="H27" i="9"/>
  <c r="F26" i="9"/>
  <c r="H26" i="9"/>
  <c r="F25" i="9"/>
  <c r="H25" i="9"/>
  <c r="F24" i="9"/>
  <c r="H24" i="9"/>
  <c r="F23" i="9"/>
  <c r="H23" i="9"/>
  <c r="F22" i="9"/>
  <c r="H22" i="9"/>
  <c r="F21" i="9"/>
  <c r="H21" i="9"/>
  <c r="F20" i="9"/>
  <c r="H20" i="9"/>
  <c r="F19" i="9"/>
  <c r="H19" i="9"/>
  <c r="F18" i="9"/>
  <c r="H18" i="9"/>
  <c r="F17" i="9"/>
  <c r="H17" i="9"/>
  <c r="F16" i="9"/>
  <c r="H16" i="9"/>
  <c r="F15" i="9"/>
  <c r="H15" i="9"/>
  <c r="F14" i="9"/>
  <c r="H14" i="9"/>
  <c r="F13" i="9"/>
  <c r="H13" i="9"/>
  <c r="F12" i="9"/>
  <c r="H12" i="9"/>
  <c r="F11" i="9"/>
  <c r="H11" i="9"/>
  <c r="F10" i="9"/>
  <c r="H10" i="9"/>
  <c r="F9" i="9"/>
  <c r="H9" i="9"/>
  <c r="F8" i="9"/>
  <c r="H8" i="9"/>
  <c r="F7" i="9"/>
  <c r="H7" i="9"/>
  <c r="F6" i="9"/>
  <c r="H6" i="9"/>
  <c r="F5" i="9"/>
  <c r="H5" i="9"/>
  <c r="F4" i="9"/>
  <c r="H4" i="9"/>
  <c r="F3" i="9"/>
  <c r="H3" i="9"/>
  <c r="F2" i="9"/>
  <c r="H2" i="9"/>
  <c r="F39" i="8"/>
  <c r="H39" i="8"/>
  <c r="H57" i="8"/>
  <c r="F57" i="8"/>
  <c r="H56" i="8"/>
  <c r="F56" i="8"/>
  <c r="H55" i="8"/>
  <c r="F55" i="8"/>
  <c r="H54" i="8"/>
  <c r="F54" i="8"/>
  <c r="H53" i="8"/>
  <c r="F53" i="8"/>
  <c r="H52" i="8"/>
  <c r="F52" i="8"/>
  <c r="H43" i="8"/>
  <c r="F43" i="8"/>
  <c r="F42" i="8"/>
  <c r="H42" i="8"/>
  <c r="H41" i="8"/>
  <c r="F41" i="8"/>
  <c r="F40" i="8"/>
  <c r="H40" i="8"/>
  <c r="F38" i="8"/>
  <c r="H38" i="8"/>
  <c r="H37" i="8"/>
  <c r="F37" i="8"/>
  <c r="H36" i="8"/>
  <c r="F36" i="8"/>
  <c r="H35" i="8"/>
  <c r="F35" i="8"/>
  <c r="F34" i="8"/>
  <c r="H34" i="8"/>
  <c r="F33" i="8"/>
  <c r="H33" i="8"/>
  <c r="H32" i="8"/>
  <c r="F32" i="8"/>
  <c r="H31" i="8"/>
  <c r="F31" i="8"/>
  <c r="F30" i="8"/>
  <c r="H30" i="8"/>
  <c r="F29" i="8"/>
  <c r="H29" i="8"/>
  <c r="H28" i="8"/>
  <c r="F28" i="8"/>
  <c r="H27" i="8"/>
  <c r="F27" i="8"/>
  <c r="H26" i="8"/>
  <c r="F26" i="8"/>
  <c r="F25" i="8"/>
  <c r="H25" i="8"/>
  <c r="F24" i="8"/>
  <c r="H24" i="8"/>
  <c r="H23" i="8"/>
  <c r="F23" i="8"/>
  <c r="H22" i="8"/>
  <c r="F22" i="8"/>
  <c r="H21" i="8"/>
  <c r="F21" i="8"/>
  <c r="H20" i="8"/>
  <c r="F20" i="8"/>
  <c r="F19" i="8"/>
  <c r="H19" i="8"/>
  <c r="H18" i="8"/>
  <c r="F18" i="8"/>
  <c r="F17" i="8"/>
  <c r="H17" i="8"/>
  <c r="H16" i="8"/>
  <c r="F16" i="8"/>
  <c r="F15" i="8"/>
  <c r="H15" i="8"/>
  <c r="H14" i="8"/>
  <c r="F14" i="8"/>
  <c r="H13" i="8"/>
  <c r="F13" i="8"/>
  <c r="H12" i="8"/>
  <c r="F12" i="8"/>
  <c r="F11" i="8"/>
  <c r="H11" i="8"/>
  <c r="F10" i="8"/>
  <c r="H10" i="8"/>
  <c r="H9" i="8"/>
  <c r="F9" i="8"/>
  <c r="F8" i="8"/>
  <c r="H8" i="8"/>
  <c r="H7" i="8"/>
  <c r="F7" i="8"/>
  <c r="F6" i="8"/>
  <c r="H6" i="8"/>
  <c r="F5" i="8"/>
  <c r="H5" i="8"/>
  <c r="F4" i="8"/>
  <c r="H4" i="8"/>
  <c r="F3" i="8"/>
  <c r="H3" i="8"/>
  <c r="F2" i="8"/>
  <c r="H2" i="8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63" i="9"/>
  <c r="H63" i="9"/>
  <c r="F62" i="9"/>
  <c r="H62" i="9"/>
  <c r="F61" i="9"/>
  <c r="H61" i="9"/>
  <c r="F60" i="9"/>
  <c r="H60" i="9"/>
  <c r="F59" i="9"/>
  <c r="H59" i="9"/>
  <c r="F58" i="9"/>
  <c r="H58" i="9"/>
  <c r="F57" i="9"/>
  <c r="H57" i="9"/>
  <c r="F56" i="9"/>
  <c r="H56" i="9"/>
  <c r="F55" i="9"/>
  <c r="H55" i="9"/>
  <c r="F54" i="9"/>
  <c r="H54" i="9"/>
  <c r="F53" i="9"/>
  <c r="H53" i="9"/>
  <c r="F52" i="9"/>
  <c r="H52" i="9"/>
  <c r="H51" i="9"/>
  <c r="F51" i="9"/>
  <c r="F50" i="9"/>
  <c r="H50" i="9"/>
  <c r="H49" i="9"/>
  <c r="F49" i="9"/>
  <c r="F48" i="9"/>
  <c r="H48" i="9"/>
  <c r="F47" i="9"/>
  <c r="H47" i="9"/>
  <c r="F46" i="9"/>
  <c r="H46" i="9"/>
  <c r="F45" i="9"/>
  <c r="H45" i="9"/>
  <c r="F63" i="8"/>
  <c r="H63" i="8"/>
  <c r="F62" i="8"/>
  <c r="H62" i="8"/>
  <c r="H61" i="8"/>
  <c r="F61" i="8"/>
  <c r="H60" i="8"/>
  <c r="F60" i="8"/>
  <c r="F59" i="8"/>
  <c r="H59" i="8"/>
  <c r="H58" i="8"/>
  <c r="F58" i="8"/>
  <c r="H51" i="8"/>
  <c r="F51" i="8"/>
  <c r="H50" i="8"/>
  <c r="F50" i="8"/>
  <c r="H49" i="8"/>
  <c r="F49" i="8"/>
  <c r="F48" i="8"/>
  <c r="H48" i="8"/>
  <c r="H47" i="8"/>
  <c r="F47" i="8"/>
  <c r="F46" i="8"/>
  <c r="H46" i="8"/>
  <c r="H45" i="8"/>
  <c r="F45" i="8"/>
  <c r="H44" i="8"/>
  <c r="F44" i="8"/>
  <c r="H36" i="13"/>
  <c r="F36" i="13"/>
</calcChain>
</file>

<file path=xl/sharedStrings.xml><?xml version="1.0" encoding="utf-8"?>
<sst xmlns="http://schemas.openxmlformats.org/spreadsheetml/2006/main" count="226" uniqueCount="50">
  <si>
    <t>Date</t>
  </si>
  <si>
    <t>Last Price  (R1)</t>
  </si>
  <si>
    <t>Net Debt  (R2)</t>
  </si>
  <si>
    <t>Current Market Cap  (L2)</t>
  </si>
  <si>
    <t>Price</t>
  </si>
  <si>
    <t>OpEx</t>
  </si>
  <si>
    <t>EBITDA</t>
  </si>
  <si>
    <t>COGS Margin</t>
  </si>
  <si>
    <t>COGS</t>
  </si>
  <si>
    <t xml:space="preserve">Gross Profit </t>
  </si>
  <si>
    <t>Log-Growth</t>
  </si>
  <si>
    <t>Revenue</t>
  </si>
  <si>
    <t>Quarter</t>
  </si>
  <si>
    <t>Calibration Model</t>
  </si>
  <si>
    <t>R_0</t>
  </si>
  <si>
    <t>mu_0</t>
  </si>
  <si>
    <t>sigma</t>
  </si>
  <si>
    <t>theta</t>
  </si>
  <si>
    <t>gamma</t>
  </si>
  <si>
    <t>F</t>
  </si>
  <si>
    <t>sigma_stock</t>
  </si>
  <si>
    <t>Simulation Model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</si>
  <si>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</si>
  <si>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</si>
  <si>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</si>
  <si>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</si>
  <si>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</si>
  <si>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</si>
  <si>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</si>
  <si>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</si>
  <si>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</si>
  <si>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</si>
  <si>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</si>
  <si>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</si>
  <si>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</si>
  <si>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</si>
  <si>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</si>
  <si>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</si>
  <si>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</si>
  <si>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</si>
  <si>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</si>
  <si>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</si>
  <si>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</si>
  <si>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</si>
  <si>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</si>
  <si>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</si>
  <si>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Log-Returns</t>
  </si>
  <si>
    <t>eta</t>
  </si>
  <si>
    <t>R2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</si>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</sst>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1"/>
    <xf numFmtId="14" fontId="1" fillId="0" borderId="0" xfId="1" applyNumberFormat="1"/>
    <xf numFmtId="0" fontId="0" fillId="0" borderId="1" xfId="0" applyBorder="1"/>
    <xf numFmtId="0" fontId="0" fillId="0" borderId="2" xfId="0" applyBorder="1"/>
    <xf numFmtId="10" fontId="0" fillId="0" borderId="1" xfId="0" applyNumberFormat="1" applyBorder="1"/>
    <xf numFmtId="14" fontId="0" fillId="0" borderId="3" xfId="0" applyNumberFormat="1" applyBorder="1"/>
    <xf numFmtId="0" fontId="0" fillId="0" borderId="4" xfId="0" applyBorder="1"/>
    <xf numFmtId="10" fontId="0" fillId="0" borderId="4" xfId="0" applyNumberFormat="1" applyBorder="1"/>
    <xf numFmtId="14" fontId="0" fillId="0" borderId="5" xfId="0" applyNumberForma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10" fontId="0" fillId="0" borderId="0" xfId="0" applyNumberFormat="1"/>
    <xf numFmtId="0" fontId="0" fillId="0" borderId="6" xfId="0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Continuous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6" xfId="0" applyNumberFormat="1" applyBorder="1"/>
    <xf numFmtId="2" fontId="0" fillId="0" borderId="6" xfId="0" applyNumberFormat="1" applyBorder="1"/>
  </cellXfs>
  <cellStyles count="2">
    <cellStyle name="Normal" xfId="0" builtinId="0"/>
    <cellStyle name="Normal 2" xfId="1" xr:uid="{378EDF17-4CE1-5349-BF87-4385A43E1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8782-D622-0B40-A04B-2F9663E54575}">
  <dimension ref="A1:C4819"/>
  <sheetViews>
    <sheetView zoomScale="97" workbookViewId="0">
      <selection activeCell="D10" sqref="D10"/>
    </sheetView>
  </sheetViews>
  <sheetFormatPr baseColWidth="10" defaultRowHeight="16" x14ac:dyDescent="0.2"/>
  <cols>
    <col min="1" max="16384" width="10.83203125" style="2"/>
  </cols>
  <sheetData>
    <row r="1" spans="1:3" x14ac:dyDescent="0.2">
      <c r="A1" s="2" t="s">
        <v>0</v>
      </c>
      <c r="B1" s="2" t="s">
        <v>4</v>
      </c>
      <c r="C1" s="2" t="s">
        <v>46</v>
      </c>
    </row>
    <row r="2" spans="1:3" x14ac:dyDescent="0.2">
      <c r="A2" s="3">
        <v>46063</v>
      </c>
      <c r="B2" s="2">
        <v>50.5</v>
      </c>
      <c r="C2" s="2">
        <f>+LN(B2/B3)</f>
        <v>8.9508305200845777E-3</v>
      </c>
    </row>
    <row r="3" spans="1:3" x14ac:dyDescent="0.2">
      <c r="A3" s="3">
        <v>46062</v>
      </c>
      <c r="B3" s="2">
        <v>50.05</v>
      </c>
      <c r="C3" s="2">
        <f t="shared" ref="C3:C66" si="0">+LN(B3/B4)</f>
        <v>1.3072081567352701E-2</v>
      </c>
    </row>
    <row r="4" spans="1:3" x14ac:dyDescent="0.2">
      <c r="A4" s="3">
        <v>46059</v>
      </c>
      <c r="B4" s="2">
        <v>49.4</v>
      </c>
      <c r="C4" s="2">
        <f t="shared" si="0"/>
        <v>1.0582109330536788E-2</v>
      </c>
    </row>
    <row r="5" spans="1:3" x14ac:dyDescent="0.2">
      <c r="A5" s="3">
        <v>46058</v>
      </c>
      <c r="B5" s="2">
        <v>48.88</v>
      </c>
      <c r="C5" s="2">
        <f t="shared" si="0"/>
        <v>1.6380020042385914E-3</v>
      </c>
    </row>
    <row r="6" spans="1:3" x14ac:dyDescent="0.2">
      <c r="A6" s="3">
        <v>46057</v>
      </c>
      <c r="B6" s="2">
        <v>48.8</v>
      </c>
      <c r="C6" s="2">
        <f t="shared" si="0"/>
        <v>2.1960691948417314E-2</v>
      </c>
    </row>
    <row r="7" spans="1:3" x14ac:dyDescent="0.2">
      <c r="A7" s="3">
        <v>46056</v>
      </c>
      <c r="B7" s="2">
        <v>47.74</v>
      </c>
      <c r="C7" s="2">
        <f t="shared" si="0"/>
        <v>-3.0936680405568781E-2</v>
      </c>
    </row>
    <row r="8" spans="1:3" x14ac:dyDescent="0.2">
      <c r="A8" s="3">
        <v>46055</v>
      </c>
      <c r="B8" s="2">
        <v>49.24</v>
      </c>
      <c r="C8" s="2">
        <f t="shared" si="0"/>
        <v>7.3379864529127909E-3</v>
      </c>
    </row>
    <row r="9" spans="1:3" x14ac:dyDescent="0.2">
      <c r="A9" s="3">
        <v>46052</v>
      </c>
      <c r="B9" s="2">
        <v>48.88</v>
      </c>
      <c r="C9" s="2">
        <f t="shared" si="0"/>
        <v>6.9801145648846841E-3</v>
      </c>
    </row>
    <row r="10" spans="1:3" x14ac:dyDescent="0.2">
      <c r="A10" s="3">
        <v>46051</v>
      </c>
      <c r="B10" s="2">
        <v>48.54</v>
      </c>
      <c r="C10" s="2">
        <f t="shared" si="0"/>
        <v>4.1211622260589218E-4</v>
      </c>
    </row>
    <row r="11" spans="1:3" x14ac:dyDescent="0.2">
      <c r="A11" s="3">
        <v>46050</v>
      </c>
      <c r="B11" s="2">
        <v>48.52</v>
      </c>
      <c r="C11" s="2">
        <f t="shared" si="0"/>
        <v>5.5510967009350071E-2</v>
      </c>
    </row>
    <row r="12" spans="1:3" x14ac:dyDescent="0.2">
      <c r="A12" s="3">
        <v>46049</v>
      </c>
      <c r="B12" s="2">
        <v>45.9</v>
      </c>
      <c r="C12" s="2">
        <f t="shared" si="0"/>
        <v>-1.98453449962653E-2</v>
      </c>
    </row>
    <row r="13" spans="1:3" x14ac:dyDescent="0.2">
      <c r="A13" s="3">
        <v>46048</v>
      </c>
      <c r="B13" s="2">
        <v>46.82</v>
      </c>
      <c r="C13" s="2">
        <f t="shared" si="0"/>
        <v>-3.8371396472939188E-3</v>
      </c>
    </row>
    <row r="14" spans="1:3" x14ac:dyDescent="0.2">
      <c r="A14" s="3">
        <v>46045</v>
      </c>
      <c r="B14" s="2">
        <v>47</v>
      </c>
      <c r="C14" s="2">
        <f t="shared" si="0"/>
        <v>-1.1844470112522513E-2</v>
      </c>
    </row>
    <row r="15" spans="1:3" x14ac:dyDescent="0.2">
      <c r="A15" s="3">
        <v>46044</v>
      </c>
      <c r="B15" s="2">
        <v>47.56</v>
      </c>
      <c r="C15" s="2">
        <f t="shared" si="0"/>
        <v>2.0391530690980819E-2</v>
      </c>
    </row>
    <row r="16" spans="1:3" x14ac:dyDescent="0.2">
      <c r="A16" s="3">
        <v>46043</v>
      </c>
      <c r="B16" s="2">
        <v>46.6</v>
      </c>
      <c r="C16" s="2">
        <f t="shared" si="0"/>
        <v>6.8906388061244503E-3</v>
      </c>
    </row>
    <row r="17" spans="1:3" x14ac:dyDescent="0.2">
      <c r="A17" s="3">
        <v>46042</v>
      </c>
      <c r="B17" s="2">
        <v>46.28</v>
      </c>
      <c r="C17" s="2">
        <f t="shared" si="0"/>
        <v>-1.245453075417379E-2</v>
      </c>
    </row>
    <row r="18" spans="1:3" x14ac:dyDescent="0.2">
      <c r="A18" s="3">
        <v>46041</v>
      </c>
      <c r="B18" s="2">
        <v>46.86</v>
      </c>
      <c r="C18" s="2">
        <f t="shared" si="0"/>
        <v>-2.943862711723606E-2</v>
      </c>
    </row>
    <row r="19" spans="1:3" x14ac:dyDescent="0.2">
      <c r="A19" s="3">
        <v>46038</v>
      </c>
      <c r="B19" s="2">
        <v>48.26</v>
      </c>
      <c r="C19" s="2">
        <f t="shared" si="0"/>
        <v>1.2440391403310493E-3</v>
      </c>
    </row>
    <row r="20" spans="1:3" x14ac:dyDescent="0.2">
      <c r="A20" s="3">
        <v>46037</v>
      </c>
      <c r="B20" s="2">
        <v>48.2</v>
      </c>
      <c r="C20" s="2">
        <f t="shared" si="0"/>
        <v>2.3086020034182551E-2</v>
      </c>
    </row>
    <row r="21" spans="1:3" x14ac:dyDescent="0.2">
      <c r="A21" s="3">
        <v>46036</v>
      </c>
      <c r="B21" s="2">
        <v>47.1</v>
      </c>
      <c r="C21" s="2">
        <f t="shared" si="0"/>
        <v>1.7131039930183774E-2</v>
      </c>
    </row>
    <row r="22" spans="1:3" x14ac:dyDescent="0.2">
      <c r="A22" s="3">
        <v>46035</v>
      </c>
      <c r="B22" s="2">
        <v>46.3</v>
      </c>
      <c r="C22" s="2">
        <f t="shared" si="0"/>
        <v>-6.4585800394119314E-3</v>
      </c>
    </row>
    <row r="23" spans="1:3" x14ac:dyDescent="0.2">
      <c r="A23" s="3">
        <v>46034</v>
      </c>
      <c r="B23" s="2">
        <v>46.6</v>
      </c>
      <c r="C23" s="2">
        <f t="shared" si="0"/>
        <v>-1.9970920800447621E-2</v>
      </c>
    </row>
    <row r="24" spans="1:3" x14ac:dyDescent="0.2">
      <c r="A24" s="3">
        <v>46031</v>
      </c>
      <c r="B24" s="2">
        <v>47.54</v>
      </c>
      <c r="C24" s="2">
        <f t="shared" si="0"/>
        <v>8.4175089145242224E-4</v>
      </c>
    </row>
    <row r="25" spans="1:3" x14ac:dyDescent="0.2">
      <c r="A25" s="3">
        <v>46030</v>
      </c>
      <c r="B25" s="2">
        <v>47.5</v>
      </c>
      <c r="C25" s="2">
        <f t="shared" si="0"/>
        <v>8.4567100182234584E-3</v>
      </c>
    </row>
    <row r="26" spans="1:3" x14ac:dyDescent="0.2">
      <c r="A26" s="3">
        <v>46029</v>
      </c>
      <c r="B26" s="2">
        <v>47.1</v>
      </c>
      <c r="C26" s="2">
        <f t="shared" si="0"/>
        <v>-4.2453832095906653E-4</v>
      </c>
    </row>
    <row r="27" spans="1:3" x14ac:dyDescent="0.2">
      <c r="A27" s="3">
        <v>46028</v>
      </c>
      <c r="B27" s="2">
        <v>47.12</v>
      </c>
      <c r="C27" s="2">
        <f t="shared" si="0"/>
        <v>9.3817319249760861E-3</v>
      </c>
    </row>
    <row r="28" spans="1:3" x14ac:dyDescent="0.2">
      <c r="A28" s="3">
        <v>46027</v>
      </c>
      <c r="B28" s="2">
        <v>46.68</v>
      </c>
      <c r="C28" s="2">
        <f t="shared" si="0"/>
        <v>1.076900349200597E-2</v>
      </c>
    </row>
    <row r="29" spans="1:3" x14ac:dyDescent="0.2">
      <c r="A29" s="3">
        <v>46024</v>
      </c>
      <c r="B29" s="2">
        <v>46.18</v>
      </c>
      <c r="C29" s="2">
        <f t="shared" si="0"/>
        <v>-1.2908957229683644E-2</v>
      </c>
    </row>
    <row r="30" spans="1:3" x14ac:dyDescent="0.2">
      <c r="A30" s="3">
        <v>46021</v>
      </c>
      <c r="B30" s="2">
        <v>46.78</v>
      </c>
      <c r="C30" s="2">
        <f t="shared" si="0"/>
        <v>8.5543204532112168E-4</v>
      </c>
    </row>
    <row r="31" spans="1:3" x14ac:dyDescent="0.2">
      <c r="A31" s="3">
        <v>46020</v>
      </c>
      <c r="B31" s="2">
        <v>46.74</v>
      </c>
      <c r="C31" s="2">
        <f t="shared" si="0"/>
        <v>1.6828876130156885E-2</v>
      </c>
    </row>
    <row r="32" spans="1:3" x14ac:dyDescent="0.2">
      <c r="A32" s="3">
        <v>46014</v>
      </c>
      <c r="B32" s="2">
        <v>45.96</v>
      </c>
      <c r="C32" s="2">
        <f t="shared" si="0"/>
        <v>-9.9589478657360307E-3</v>
      </c>
    </row>
    <row r="33" spans="1:3" x14ac:dyDescent="0.2">
      <c r="A33" s="3">
        <v>46013</v>
      </c>
      <c r="B33" s="2">
        <v>46.42</v>
      </c>
      <c r="C33" s="2">
        <f t="shared" si="0"/>
        <v>-4.2992327613199472E-3</v>
      </c>
    </row>
    <row r="34" spans="1:3" x14ac:dyDescent="0.2">
      <c r="A34" s="3">
        <v>46010</v>
      </c>
      <c r="B34" s="2">
        <v>46.62</v>
      </c>
      <c r="C34" s="2">
        <f t="shared" si="0"/>
        <v>5.5926151360599866E-3</v>
      </c>
    </row>
    <row r="35" spans="1:3" x14ac:dyDescent="0.2">
      <c r="A35" s="3">
        <v>46009</v>
      </c>
      <c r="B35" s="2">
        <v>46.36</v>
      </c>
      <c r="C35" s="2">
        <f t="shared" si="0"/>
        <v>1.2589703947130257E-2</v>
      </c>
    </row>
    <row r="36" spans="1:3" x14ac:dyDescent="0.2">
      <c r="A36" s="3">
        <v>46008</v>
      </c>
      <c r="B36" s="2">
        <v>45.78</v>
      </c>
      <c r="C36" s="2">
        <f t="shared" si="0"/>
        <v>-2.2463147538344101E-2</v>
      </c>
    </row>
    <row r="37" spans="1:3" x14ac:dyDescent="0.2">
      <c r="A37" s="3">
        <v>46007</v>
      </c>
      <c r="B37" s="2">
        <v>46.82</v>
      </c>
      <c r="C37" s="2">
        <f t="shared" si="0"/>
        <v>0</v>
      </c>
    </row>
    <row r="38" spans="1:3" x14ac:dyDescent="0.2">
      <c r="A38" s="3">
        <v>46006</v>
      </c>
      <c r="B38" s="2">
        <v>46.82</v>
      </c>
      <c r="C38" s="2">
        <f t="shared" si="0"/>
        <v>1.6799878209082911E-2</v>
      </c>
    </row>
    <row r="39" spans="1:3" x14ac:dyDescent="0.2">
      <c r="A39" s="3">
        <v>46003</v>
      </c>
      <c r="B39" s="2">
        <v>46.04</v>
      </c>
      <c r="C39" s="2">
        <f t="shared" si="0"/>
        <v>1.1798257896777253E-2</v>
      </c>
    </row>
    <row r="40" spans="1:3" x14ac:dyDescent="0.2">
      <c r="A40" s="3">
        <v>46002</v>
      </c>
      <c r="B40" s="2">
        <v>45.5</v>
      </c>
      <c r="C40" s="2">
        <f t="shared" si="0"/>
        <v>2.6727648905814819E-2</v>
      </c>
    </row>
    <row r="41" spans="1:3" x14ac:dyDescent="0.2">
      <c r="A41" s="3">
        <v>46001</v>
      </c>
      <c r="B41" s="2">
        <v>44.3</v>
      </c>
      <c r="C41" s="2">
        <f t="shared" si="0"/>
        <v>-1.5677812719229904E-2</v>
      </c>
    </row>
    <row r="42" spans="1:3" x14ac:dyDescent="0.2">
      <c r="A42" s="3">
        <v>46000</v>
      </c>
      <c r="B42" s="2">
        <v>45</v>
      </c>
      <c r="C42" s="2">
        <f t="shared" si="0"/>
        <v>1.207258123426924E-2</v>
      </c>
    </row>
    <row r="43" spans="1:3" x14ac:dyDescent="0.2">
      <c r="A43" s="3">
        <v>45999</v>
      </c>
      <c r="B43" s="2">
        <v>44.46</v>
      </c>
      <c r="C43" s="2">
        <f t="shared" si="0"/>
        <v>-1.4292337972582116E-2</v>
      </c>
    </row>
    <row r="44" spans="1:3" x14ac:dyDescent="0.2">
      <c r="A44" s="3">
        <v>45996</v>
      </c>
      <c r="B44" s="2">
        <v>45.1</v>
      </c>
      <c r="C44" s="2">
        <f t="shared" si="0"/>
        <v>-1.3294927728285306E-3</v>
      </c>
    </row>
    <row r="45" spans="1:3" x14ac:dyDescent="0.2">
      <c r="A45" s="3">
        <v>45995</v>
      </c>
      <c r="B45" s="2">
        <v>45.16</v>
      </c>
      <c r="C45" s="2">
        <f t="shared" si="0"/>
        <v>3.8370764453177636E-2</v>
      </c>
    </row>
    <row r="46" spans="1:3" x14ac:dyDescent="0.2">
      <c r="A46" s="3">
        <v>45994</v>
      </c>
      <c r="B46" s="2">
        <v>43.46</v>
      </c>
      <c r="C46" s="2">
        <f t="shared" si="0"/>
        <v>-2.2983232364761469E-3</v>
      </c>
    </row>
    <row r="47" spans="1:3" x14ac:dyDescent="0.2">
      <c r="A47" s="3">
        <v>45993</v>
      </c>
      <c r="B47" s="2">
        <v>43.56</v>
      </c>
      <c r="C47" s="2">
        <f t="shared" si="0"/>
        <v>-1.0959013789719431E-2</v>
      </c>
    </row>
    <row r="48" spans="1:3" x14ac:dyDescent="0.2">
      <c r="A48" s="3">
        <v>45992</v>
      </c>
      <c r="B48" s="2">
        <v>44.04</v>
      </c>
      <c r="C48" s="2">
        <f t="shared" si="0"/>
        <v>5.4644944720787453E-3</v>
      </c>
    </row>
    <row r="49" spans="1:3" x14ac:dyDescent="0.2">
      <c r="A49" s="3">
        <v>45989</v>
      </c>
      <c r="B49" s="2">
        <v>43.8</v>
      </c>
      <c r="C49" s="2">
        <f t="shared" si="0"/>
        <v>7.7928425541168109E-3</v>
      </c>
    </row>
    <row r="50" spans="1:3" x14ac:dyDescent="0.2">
      <c r="A50" s="3">
        <v>45988</v>
      </c>
      <c r="B50" s="2">
        <v>43.46</v>
      </c>
      <c r="C50" s="2">
        <f t="shared" si="0"/>
        <v>4.6029920260360751E-4</v>
      </c>
    </row>
    <row r="51" spans="1:3" x14ac:dyDescent="0.2">
      <c r="A51" s="3">
        <v>45987</v>
      </c>
      <c r="B51" s="2">
        <v>43.44</v>
      </c>
      <c r="C51" s="2">
        <f t="shared" si="0"/>
        <v>-3.2176538907938059E-3</v>
      </c>
    </row>
    <row r="52" spans="1:3" x14ac:dyDescent="0.2">
      <c r="A52" s="3">
        <v>45986</v>
      </c>
      <c r="B52" s="2">
        <v>43.58</v>
      </c>
      <c r="C52" s="2">
        <f t="shared" si="0"/>
        <v>9.2209044298124671E-3</v>
      </c>
    </row>
    <row r="53" spans="1:3" x14ac:dyDescent="0.2">
      <c r="A53" s="3">
        <v>45985</v>
      </c>
      <c r="B53" s="2">
        <v>43.18</v>
      </c>
      <c r="C53" s="2">
        <f t="shared" si="0"/>
        <v>3.3917523437606553E-2</v>
      </c>
    </row>
    <row r="54" spans="1:3" x14ac:dyDescent="0.2">
      <c r="A54" s="3">
        <v>45982</v>
      </c>
      <c r="B54" s="2">
        <v>41.74</v>
      </c>
      <c r="C54" s="2">
        <f t="shared" si="0"/>
        <v>-2.3929181076127494E-3</v>
      </c>
    </row>
    <row r="55" spans="1:3" x14ac:dyDescent="0.2">
      <c r="A55" s="3">
        <v>45981</v>
      </c>
      <c r="B55" s="2">
        <v>41.84</v>
      </c>
      <c r="C55" s="2">
        <f t="shared" si="0"/>
        <v>-5.2443505178862565E-3</v>
      </c>
    </row>
    <row r="56" spans="1:3" x14ac:dyDescent="0.2">
      <c r="A56" s="3">
        <v>45980</v>
      </c>
      <c r="B56" s="2">
        <v>42.06</v>
      </c>
      <c r="C56" s="2">
        <f t="shared" si="0"/>
        <v>9.5147485769941638E-4</v>
      </c>
    </row>
    <row r="57" spans="1:3" x14ac:dyDescent="0.2">
      <c r="A57" s="3">
        <v>45979</v>
      </c>
      <c r="B57" s="2">
        <v>42.02</v>
      </c>
      <c r="C57" s="2">
        <f t="shared" si="0"/>
        <v>-2.3769918489202251E-3</v>
      </c>
    </row>
    <row r="58" spans="1:3" x14ac:dyDescent="0.2">
      <c r="A58" s="3">
        <v>45978</v>
      </c>
      <c r="B58" s="2">
        <v>42.12</v>
      </c>
      <c r="C58" s="2">
        <f t="shared" si="0"/>
        <v>-1.7416302779656199E-2</v>
      </c>
    </row>
    <row r="59" spans="1:3" x14ac:dyDescent="0.2">
      <c r="A59" s="3">
        <v>45975</v>
      </c>
      <c r="B59" s="2">
        <v>42.86</v>
      </c>
      <c r="C59" s="2">
        <f t="shared" si="0"/>
        <v>-1.2520451060928242E-2</v>
      </c>
    </row>
    <row r="60" spans="1:3" x14ac:dyDescent="0.2">
      <c r="A60" s="3">
        <v>45974</v>
      </c>
      <c r="B60" s="2">
        <v>43.4</v>
      </c>
      <c r="C60" s="2">
        <f t="shared" si="0"/>
        <v>-1.0087201533401032E-2</v>
      </c>
    </row>
    <row r="61" spans="1:3" x14ac:dyDescent="0.2">
      <c r="A61" s="3">
        <v>45973</v>
      </c>
      <c r="B61" s="2">
        <v>43.84</v>
      </c>
      <c r="C61" s="2">
        <f t="shared" si="0"/>
        <v>2.2836273911383152E-3</v>
      </c>
    </row>
    <row r="62" spans="1:3" x14ac:dyDescent="0.2">
      <c r="A62" s="3">
        <v>45972</v>
      </c>
      <c r="B62" s="2">
        <v>43.74</v>
      </c>
      <c r="C62" s="2">
        <f t="shared" si="0"/>
        <v>1.1959664169881893E-2</v>
      </c>
    </row>
    <row r="63" spans="1:3" x14ac:dyDescent="0.2">
      <c r="A63" s="3">
        <v>45971</v>
      </c>
      <c r="B63" s="2">
        <v>43.22</v>
      </c>
      <c r="C63" s="2">
        <f t="shared" si="0"/>
        <v>2.0571085372020615E-2</v>
      </c>
    </row>
    <row r="64" spans="1:3" x14ac:dyDescent="0.2">
      <c r="A64" s="3">
        <v>45968</v>
      </c>
      <c r="B64" s="2">
        <v>42.34</v>
      </c>
      <c r="C64" s="2">
        <f t="shared" si="0"/>
        <v>-3.4358068460601313E-2</v>
      </c>
    </row>
    <row r="65" spans="1:3" x14ac:dyDescent="0.2">
      <c r="A65" s="3">
        <v>45967</v>
      </c>
      <c r="B65" s="2">
        <v>43.82</v>
      </c>
      <c r="C65" s="2">
        <f t="shared" si="0"/>
        <v>-1.7643524858697926E-2</v>
      </c>
    </row>
    <row r="66" spans="1:3" x14ac:dyDescent="0.2">
      <c r="A66" s="3">
        <v>45966</v>
      </c>
      <c r="B66" s="2">
        <v>44.6</v>
      </c>
      <c r="C66" s="2">
        <f t="shared" si="0"/>
        <v>1.1274076573218161E-2</v>
      </c>
    </row>
    <row r="67" spans="1:3" x14ac:dyDescent="0.2">
      <c r="A67" s="3">
        <v>45965</v>
      </c>
      <c r="B67" s="2">
        <v>44.1</v>
      </c>
      <c r="C67" s="2">
        <f t="shared" ref="C67:C130" si="1">+LN(B67/B68)</f>
        <v>-9.066183757899767E-4</v>
      </c>
    </row>
    <row r="68" spans="1:3" x14ac:dyDescent="0.2">
      <c r="A68" s="3">
        <v>45964</v>
      </c>
      <c r="B68" s="2">
        <v>44.14</v>
      </c>
      <c r="C68" s="2">
        <f t="shared" si="1"/>
        <v>-1.2607100790932841E-2</v>
      </c>
    </row>
    <row r="69" spans="1:3" x14ac:dyDescent="0.2">
      <c r="A69" s="3">
        <v>45961</v>
      </c>
      <c r="B69" s="2">
        <v>44.7</v>
      </c>
      <c r="C69" s="2">
        <f t="shared" si="1"/>
        <v>4.2034511574092173E-2</v>
      </c>
    </row>
    <row r="70" spans="1:3" x14ac:dyDescent="0.2">
      <c r="A70" s="3">
        <v>45960</v>
      </c>
      <c r="B70" s="2">
        <v>42.86</v>
      </c>
      <c r="C70" s="2">
        <f t="shared" si="1"/>
        <v>9.8476762996486007E-3</v>
      </c>
    </row>
    <row r="71" spans="1:3" x14ac:dyDescent="0.2">
      <c r="A71" s="3">
        <v>45959</v>
      </c>
      <c r="B71" s="2">
        <v>42.44</v>
      </c>
      <c r="C71" s="2">
        <f t="shared" si="1"/>
        <v>4.2503015578717251E-3</v>
      </c>
    </row>
    <row r="72" spans="1:3" x14ac:dyDescent="0.2">
      <c r="A72" s="3">
        <v>45958</v>
      </c>
      <c r="B72" s="2">
        <v>42.26</v>
      </c>
      <c r="C72" s="2">
        <f t="shared" si="1"/>
        <v>-1.8753479748306438E-2</v>
      </c>
    </row>
    <row r="73" spans="1:3" x14ac:dyDescent="0.2">
      <c r="A73" s="3">
        <v>45957</v>
      </c>
      <c r="B73" s="2">
        <v>43.06</v>
      </c>
      <c r="C73" s="2">
        <f t="shared" si="1"/>
        <v>2.790699485582181E-3</v>
      </c>
    </row>
    <row r="74" spans="1:3" x14ac:dyDescent="0.2">
      <c r="A74" s="3">
        <v>45954</v>
      </c>
      <c r="B74" s="2">
        <v>42.94</v>
      </c>
      <c r="C74" s="2">
        <f t="shared" si="1"/>
        <v>1.6436153052628744E-2</v>
      </c>
    </row>
    <row r="75" spans="1:3" x14ac:dyDescent="0.2">
      <c r="A75" s="3">
        <v>45953</v>
      </c>
      <c r="B75" s="2">
        <v>42.24</v>
      </c>
      <c r="C75" s="2">
        <f t="shared" si="1"/>
        <v>8.0818124699139991E-3</v>
      </c>
    </row>
    <row r="76" spans="1:3" x14ac:dyDescent="0.2">
      <c r="A76" s="3">
        <v>45951</v>
      </c>
      <c r="B76" s="2">
        <v>41.9</v>
      </c>
      <c r="C76" s="2">
        <f t="shared" si="1"/>
        <v>3.8259252790372525E-3</v>
      </c>
    </row>
    <row r="77" spans="1:3" x14ac:dyDescent="0.2">
      <c r="A77" s="3">
        <v>45950</v>
      </c>
      <c r="B77" s="2">
        <v>41.74</v>
      </c>
      <c r="C77" s="2">
        <f t="shared" si="1"/>
        <v>1.7887834944746901E-2</v>
      </c>
    </row>
    <row r="78" spans="1:3" x14ac:dyDescent="0.2">
      <c r="A78" s="3">
        <v>45947</v>
      </c>
      <c r="B78" s="2">
        <v>41</v>
      </c>
      <c r="C78" s="2">
        <f t="shared" si="1"/>
        <v>-1.0674531246919737E-2</v>
      </c>
    </row>
    <row r="79" spans="1:3" x14ac:dyDescent="0.2">
      <c r="A79" s="3">
        <v>45946</v>
      </c>
      <c r="B79" s="2">
        <v>41.44</v>
      </c>
      <c r="C79" s="2">
        <f t="shared" si="1"/>
        <v>2.9882213606721553E-2</v>
      </c>
    </row>
    <row r="80" spans="1:3" x14ac:dyDescent="0.2">
      <c r="A80" s="3">
        <v>45945</v>
      </c>
      <c r="B80" s="2">
        <v>40.22</v>
      </c>
      <c r="C80" s="2">
        <f t="shared" si="1"/>
        <v>2.9265458895973109E-2</v>
      </c>
    </row>
    <row r="81" spans="1:3" x14ac:dyDescent="0.2">
      <c r="A81" s="3">
        <v>45944</v>
      </c>
      <c r="B81" s="2">
        <v>39.06</v>
      </c>
      <c r="C81" s="2">
        <f t="shared" si="1"/>
        <v>-1.3225014725886646E-2</v>
      </c>
    </row>
    <row r="82" spans="1:3" x14ac:dyDescent="0.2">
      <c r="A82" s="3">
        <v>45943</v>
      </c>
      <c r="B82" s="2">
        <v>39.58</v>
      </c>
      <c r="C82" s="2">
        <f t="shared" si="1"/>
        <v>2.6108470432074711E-2</v>
      </c>
    </row>
    <row r="83" spans="1:3" x14ac:dyDescent="0.2">
      <c r="A83" s="3">
        <v>45940</v>
      </c>
      <c r="B83" s="2">
        <v>38.56</v>
      </c>
      <c r="C83" s="2">
        <f t="shared" si="1"/>
        <v>-3.6163859329909058E-2</v>
      </c>
    </row>
    <row r="84" spans="1:3" x14ac:dyDescent="0.2">
      <c r="A84" s="3">
        <v>45939</v>
      </c>
      <c r="B84" s="2">
        <v>39.979999999999997</v>
      </c>
      <c r="C84" s="2">
        <f t="shared" si="1"/>
        <v>-5.0012504168235388E-4</v>
      </c>
    </row>
    <row r="85" spans="1:3" x14ac:dyDescent="0.2">
      <c r="A85" s="3">
        <v>45938</v>
      </c>
      <c r="B85" s="2">
        <v>40</v>
      </c>
      <c r="C85" s="2">
        <f t="shared" si="1"/>
        <v>6.5212169902655517E-3</v>
      </c>
    </row>
    <row r="86" spans="1:3" x14ac:dyDescent="0.2">
      <c r="A86" s="3">
        <v>45937</v>
      </c>
      <c r="B86" s="2">
        <v>39.74</v>
      </c>
      <c r="C86" s="2">
        <f t="shared" si="1"/>
        <v>-6.0210919485831219E-3</v>
      </c>
    </row>
    <row r="87" spans="1:3" x14ac:dyDescent="0.2">
      <c r="A87" s="3">
        <v>45936</v>
      </c>
      <c r="B87" s="2">
        <v>39.979999999999997</v>
      </c>
      <c r="C87" s="2">
        <f t="shared" si="1"/>
        <v>-1.0450455894850391E-2</v>
      </c>
    </row>
    <row r="88" spans="1:3" x14ac:dyDescent="0.2">
      <c r="A88" s="3">
        <v>45933</v>
      </c>
      <c r="B88" s="2">
        <v>40.4</v>
      </c>
      <c r="C88" s="2">
        <f t="shared" si="1"/>
        <v>7.9523281904950154E-3</v>
      </c>
    </row>
    <row r="89" spans="1:3" x14ac:dyDescent="0.2">
      <c r="A89" s="3">
        <v>45932</v>
      </c>
      <c r="B89" s="2">
        <v>40.08</v>
      </c>
      <c r="C89" s="2">
        <f t="shared" si="1"/>
        <v>1.71116404727213E-2</v>
      </c>
    </row>
    <row r="90" spans="1:3" x14ac:dyDescent="0.2">
      <c r="A90" s="3">
        <v>45931</v>
      </c>
      <c r="B90" s="2">
        <v>39.4</v>
      </c>
      <c r="C90" s="2">
        <f t="shared" si="1"/>
        <v>1.0717122224473347E-2</v>
      </c>
    </row>
    <row r="91" spans="1:3" x14ac:dyDescent="0.2">
      <c r="A91" s="3">
        <v>45930</v>
      </c>
      <c r="B91" s="2">
        <v>38.979999999999997</v>
      </c>
      <c r="C91" s="2">
        <f t="shared" si="1"/>
        <v>1.5404367616103031E-3</v>
      </c>
    </row>
    <row r="92" spans="1:3" x14ac:dyDescent="0.2">
      <c r="A92" s="3">
        <v>45929</v>
      </c>
      <c r="B92" s="2">
        <v>38.92</v>
      </c>
      <c r="C92" s="2">
        <f t="shared" si="1"/>
        <v>8.2559808470190777E-3</v>
      </c>
    </row>
    <row r="93" spans="1:3" x14ac:dyDescent="0.2">
      <c r="A93" s="3">
        <v>45926</v>
      </c>
      <c r="B93" s="2">
        <v>38.6</v>
      </c>
      <c r="C93" s="2">
        <f t="shared" si="1"/>
        <v>5.1826899320233624E-4</v>
      </c>
    </row>
    <row r="94" spans="1:3" x14ac:dyDescent="0.2">
      <c r="A94" s="3">
        <v>45925</v>
      </c>
      <c r="B94" s="2">
        <v>38.58</v>
      </c>
      <c r="C94" s="2">
        <f t="shared" si="1"/>
        <v>-2.3566664429493248E-2</v>
      </c>
    </row>
    <row r="95" spans="1:3" x14ac:dyDescent="0.2">
      <c r="A95" s="3">
        <v>45924</v>
      </c>
      <c r="B95" s="2">
        <v>39.5</v>
      </c>
      <c r="C95" s="2">
        <f t="shared" si="1"/>
        <v>-2.2529113060028222E-2</v>
      </c>
    </row>
    <row r="96" spans="1:3" x14ac:dyDescent="0.2">
      <c r="A96" s="3">
        <v>45923</v>
      </c>
      <c r="B96" s="2">
        <v>40.4</v>
      </c>
      <c r="C96" s="2">
        <f t="shared" si="1"/>
        <v>1.6974945790132586E-2</v>
      </c>
    </row>
    <row r="97" spans="1:3" x14ac:dyDescent="0.2">
      <c r="A97" s="3">
        <v>45922</v>
      </c>
      <c r="B97" s="2">
        <v>39.72</v>
      </c>
      <c r="C97" s="2">
        <f t="shared" si="1"/>
        <v>4.0363324224603316E-3</v>
      </c>
    </row>
    <row r="98" spans="1:3" x14ac:dyDescent="0.2">
      <c r="A98" s="3">
        <v>45919</v>
      </c>
      <c r="B98" s="2">
        <v>39.56</v>
      </c>
      <c r="C98" s="2">
        <f t="shared" si="1"/>
        <v>-1.5550852632276959E-2</v>
      </c>
    </row>
    <row r="99" spans="1:3" x14ac:dyDescent="0.2">
      <c r="A99" s="3">
        <v>45918</v>
      </c>
      <c r="B99" s="2">
        <v>40.18</v>
      </c>
      <c r="C99" s="2">
        <f t="shared" si="1"/>
        <v>7.4944142931506648E-3</v>
      </c>
    </row>
    <row r="100" spans="1:3" x14ac:dyDescent="0.2">
      <c r="A100" s="3">
        <v>45917</v>
      </c>
      <c r="B100" s="2">
        <v>39.880000000000003</v>
      </c>
      <c r="C100" s="2">
        <f t="shared" si="1"/>
        <v>-6.996530289836057E-3</v>
      </c>
    </row>
    <row r="101" spans="1:3" x14ac:dyDescent="0.2">
      <c r="A101" s="3">
        <v>45916</v>
      </c>
      <c r="B101" s="2">
        <v>40.159999999999997</v>
      </c>
      <c r="C101" s="2">
        <f t="shared" si="1"/>
        <v>-1.2865095796885479E-2</v>
      </c>
    </row>
    <row r="102" spans="1:3" x14ac:dyDescent="0.2">
      <c r="A102" s="3">
        <v>45915</v>
      </c>
      <c r="B102" s="2">
        <v>40.68</v>
      </c>
      <c r="C102" s="2">
        <f t="shared" si="1"/>
        <v>-8.8106296821549197E-3</v>
      </c>
    </row>
    <row r="103" spans="1:3" x14ac:dyDescent="0.2">
      <c r="A103" s="3">
        <v>45912</v>
      </c>
      <c r="B103" s="2">
        <v>41.04</v>
      </c>
      <c r="C103" s="2">
        <f t="shared" si="1"/>
        <v>-7.2833533911081582E-3</v>
      </c>
    </row>
    <row r="104" spans="1:3" x14ac:dyDescent="0.2">
      <c r="A104" s="3">
        <v>45911</v>
      </c>
      <c r="B104" s="2">
        <v>41.34</v>
      </c>
      <c r="C104" s="2">
        <f t="shared" si="1"/>
        <v>2.0034874873139635E-2</v>
      </c>
    </row>
    <row r="105" spans="1:3" x14ac:dyDescent="0.2">
      <c r="A105" s="3">
        <v>45910</v>
      </c>
      <c r="B105" s="2">
        <v>40.520000000000003</v>
      </c>
      <c r="C105" s="2">
        <f t="shared" si="1"/>
        <v>-4.4324130680666986E-3</v>
      </c>
    </row>
    <row r="106" spans="1:3" x14ac:dyDescent="0.2">
      <c r="A106" s="3">
        <v>45909</v>
      </c>
      <c r="B106" s="2">
        <v>40.700000000000003</v>
      </c>
      <c r="C106" s="2">
        <f t="shared" si="1"/>
        <v>-1.9465334788103236E-2</v>
      </c>
    </row>
    <row r="107" spans="1:3" x14ac:dyDescent="0.2">
      <c r="A107" s="3">
        <v>45908</v>
      </c>
      <c r="B107" s="2">
        <v>41.5</v>
      </c>
      <c r="C107" s="2">
        <f t="shared" si="1"/>
        <v>1.9956856056293382E-2</v>
      </c>
    </row>
    <row r="108" spans="1:3" x14ac:dyDescent="0.2">
      <c r="A108" s="3">
        <v>45905</v>
      </c>
      <c r="B108" s="2">
        <v>40.68</v>
      </c>
      <c r="C108" s="2">
        <f t="shared" si="1"/>
        <v>2.4889288763687109E-2</v>
      </c>
    </row>
    <row r="109" spans="1:3" x14ac:dyDescent="0.2">
      <c r="A109" s="3">
        <v>45904</v>
      </c>
      <c r="B109" s="2">
        <v>39.68</v>
      </c>
      <c r="C109" s="2">
        <f t="shared" si="1"/>
        <v>-5.0390527647276766E-4</v>
      </c>
    </row>
    <row r="110" spans="1:3" x14ac:dyDescent="0.2">
      <c r="A110" s="3">
        <v>45903</v>
      </c>
      <c r="B110" s="2">
        <v>39.700000000000003</v>
      </c>
      <c r="C110" s="2">
        <f t="shared" si="1"/>
        <v>1.3184775176750027E-2</v>
      </c>
    </row>
    <row r="111" spans="1:3" x14ac:dyDescent="0.2">
      <c r="A111" s="3">
        <v>45902</v>
      </c>
      <c r="B111" s="2">
        <v>39.18</v>
      </c>
      <c r="C111" s="2">
        <f t="shared" si="1"/>
        <v>-4.0025352629914399E-2</v>
      </c>
    </row>
    <row r="112" spans="1:3" x14ac:dyDescent="0.2">
      <c r="A112" s="3">
        <v>45901</v>
      </c>
      <c r="B112" s="2">
        <v>40.78</v>
      </c>
      <c r="C112" s="2">
        <f t="shared" si="1"/>
        <v>4.4236985386221211E-3</v>
      </c>
    </row>
    <row r="113" spans="1:3" x14ac:dyDescent="0.2">
      <c r="A113" s="3">
        <v>45898</v>
      </c>
      <c r="B113" s="2">
        <v>40.6</v>
      </c>
      <c r="C113" s="2">
        <f t="shared" si="1"/>
        <v>-1.2726554539222664E-2</v>
      </c>
    </row>
    <row r="114" spans="1:3" x14ac:dyDescent="0.2">
      <c r="A114" s="3">
        <v>45897</v>
      </c>
      <c r="B114" s="2">
        <v>41.12</v>
      </c>
      <c r="C114" s="2">
        <f t="shared" si="1"/>
        <v>9.7752489046422468E-3</v>
      </c>
    </row>
    <row r="115" spans="1:3" x14ac:dyDescent="0.2">
      <c r="A115" s="3">
        <v>45896</v>
      </c>
      <c r="B115" s="2">
        <v>40.72</v>
      </c>
      <c r="C115" s="2">
        <f t="shared" si="1"/>
        <v>-4.899568841158536E-3</v>
      </c>
    </row>
    <row r="116" spans="1:3" x14ac:dyDescent="0.2">
      <c r="A116" s="3">
        <v>45895</v>
      </c>
      <c r="B116" s="2">
        <v>40.92</v>
      </c>
      <c r="C116" s="2">
        <f t="shared" si="1"/>
        <v>-7.3046343788872202E-3</v>
      </c>
    </row>
    <row r="117" spans="1:3" x14ac:dyDescent="0.2">
      <c r="A117" s="3">
        <v>45894</v>
      </c>
      <c r="B117" s="2">
        <v>41.22</v>
      </c>
      <c r="C117" s="2">
        <f t="shared" si="1"/>
        <v>-6.7698517743396943E-3</v>
      </c>
    </row>
    <row r="118" spans="1:3" x14ac:dyDescent="0.2">
      <c r="A118" s="3">
        <v>45891</v>
      </c>
      <c r="B118" s="2">
        <v>41.5</v>
      </c>
      <c r="C118" s="2">
        <f t="shared" si="1"/>
        <v>2.3897747856169885E-2</v>
      </c>
    </row>
    <row r="119" spans="1:3" x14ac:dyDescent="0.2">
      <c r="A119" s="3">
        <v>45890</v>
      </c>
      <c r="B119" s="2">
        <v>40.520000000000003</v>
      </c>
      <c r="C119" s="2">
        <f t="shared" si="1"/>
        <v>-7.8663139159821493E-3</v>
      </c>
    </row>
    <row r="120" spans="1:3" x14ac:dyDescent="0.2">
      <c r="A120" s="3">
        <v>45889</v>
      </c>
      <c r="B120" s="2">
        <v>40.840000000000003</v>
      </c>
      <c r="C120" s="2">
        <f t="shared" si="1"/>
        <v>-1.0716127876842394E-2</v>
      </c>
    </row>
    <row r="121" spans="1:3" x14ac:dyDescent="0.2">
      <c r="A121" s="3">
        <v>45888</v>
      </c>
      <c r="B121" s="2">
        <v>41.28</v>
      </c>
      <c r="C121" s="2">
        <f t="shared" si="1"/>
        <v>2.6511125548331863E-2</v>
      </c>
    </row>
    <row r="122" spans="1:3" x14ac:dyDescent="0.2">
      <c r="A122" s="3">
        <v>45887</v>
      </c>
      <c r="B122" s="2">
        <v>40.200000000000003</v>
      </c>
      <c r="C122" s="2">
        <f t="shared" si="1"/>
        <v>4.9763623818704862E-4</v>
      </c>
    </row>
    <row r="123" spans="1:3" x14ac:dyDescent="0.2">
      <c r="A123" s="3">
        <v>45883</v>
      </c>
      <c r="B123" s="2">
        <v>40.18</v>
      </c>
      <c r="C123" s="2">
        <f t="shared" si="1"/>
        <v>-9.9502495771755907E-4</v>
      </c>
    </row>
    <row r="124" spans="1:3" x14ac:dyDescent="0.2">
      <c r="A124" s="3">
        <v>45882</v>
      </c>
      <c r="B124" s="2">
        <v>40.22</v>
      </c>
      <c r="C124" s="2">
        <f t="shared" si="1"/>
        <v>-6.4436406347040233E-3</v>
      </c>
    </row>
    <row r="125" spans="1:3" x14ac:dyDescent="0.2">
      <c r="A125" s="3">
        <v>45881</v>
      </c>
      <c r="B125" s="2">
        <v>40.479999999999997</v>
      </c>
      <c r="C125" s="2">
        <f t="shared" si="1"/>
        <v>1.9456837286065152E-2</v>
      </c>
    </row>
    <row r="126" spans="1:3" x14ac:dyDescent="0.2">
      <c r="A126" s="3">
        <v>45880</v>
      </c>
      <c r="B126" s="2">
        <v>39.700000000000003</v>
      </c>
      <c r="C126" s="2">
        <f t="shared" si="1"/>
        <v>-1.2515807931830646E-2</v>
      </c>
    </row>
    <row r="127" spans="1:3" x14ac:dyDescent="0.2">
      <c r="A127" s="3">
        <v>45877</v>
      </c>
      <c r="B127" s="2">
        <v>40.200000000000003</v>
      </c>
      <c r="C127" s="2">
        <f t="shared" si="1"/>
        <v>-2.4844733276618335E-3</v>
      </c>
    </row>
    <row r="128" spans="1:3" x14ac:dyDescent="0.2">
      <c r="A128" s="3">
        <v>45876</v>
      </c>
      <c r="B128" s="2">
        <v>40.299999999999997</v>
      </c>
      <c r="C128" s="2">
        <f t="shared" si="1"/>
        <v>7.896801654377078E-2</v>
      </c>
    </row>
    <row r="129" spans="1:3" x14ac:dyDescent="0.2">
      <c r="A129" s="3">
        <v>45875</v>
      </c>
      <c r="B129" s="2">
        <v>37.24</v>
      </c>
      <c r="C129" s="2">
        <f t="shared" si="1"/>
        <v>3.3309112661056274E-2</v>
      </c>
    </row>
    <row r="130" spans="1:3" x14ac:dyDescent="0.2">
      <c r="A130" s="3">
        <v>45874</v>
      </c>
      <c r="B130" s="2">
        <v>36.020000000000003</v>
      </c>
      <c r="C130" s="2">
        <f t="shared" si="1"/>
        <v>1.397842162384081E-2</v>
      </c>
    </row>
    <row r="131" spans="1:3" x14ac:dyDescent="0.2">
      <c r="A131" s="3">
        <v>45873</v>
      </c>
      <c r="B131" s="2">
        <v>35.520000000000003</v>
      </c>
      <c r="C131" s="2">
        <f t="shared" ref="C131:C194" si="2">+LN(B131/B132)</f>
        <v>-5.6290460253583538E-4</v>
      </c>
    </row>
    <row r="132" spans="1:3" x14ac:dyDescent="0.2">
      <c r="A132" s="3">
        <v>45870</v>
      </c>
      <c r="B132" s="2">
        <v>35.54</v>
      </c>
      <c r="C132" s="2">
        <f t="shared" si="2"/>
        <v>-1.1748386876914261E-2</v>
      </c>
    </row>
    <row r="133" spans="1:3" x14ac:dyDescent="0.2">
      <c r="A133" s="3">
        <v>45869</v>
      </c>
      <c r="B133" s="2">
        <v>35.96</v>
      </c>
      <c r="C133" s="2">
        <f t="shared" si="2"/>
        <v>-3.4439041610685173E-2</v>
      </c>
    </row>
    <row r="134" spans="1:3" x14ac:dyDescent="0.2">
      <c r="A134" s="3">
        <v>45868</v>
      </c>
      <c r="B134" s="2">
        <v>37.22</v>
      </c>
      <c r="C134" s="2">
        <f t="shared" si="2"/>
        <v>-3.7543621465372014E-3</v>
      </c>
    </row>
    <row r="135" spans="1:3" x14ac:dyDescent="0.2">
      <c r="A135" s="3">
        <v>45867</v>
      </c>
      <c r="B135" s="2">
        <v>37.36</v>
      </c>
      <c r="C135" s="2">
        <f t="shared" si="2"/>
        <v>4.8296310673438788E-3</v>
      </c>
    </row>
    <row r="136" spans="1:3" x14ac:dyDescent="0.2">
      <c r="A136" s="3">
        <v>45866</v>
      </c>
      <c r="B136" s="2">
        <v>37.18</v>
      </c>
      <c r="C136" s="2">
        <f t="shared" si="2"/>
        <v>-3.7583936858451182E-3</v>
      </c>
    </row>
    <row r="137" spans="1:3" x14ac:dyDescent="0.2">
      <c r="A137" s="3">
        <v>45863</v>
      </c>
      <c r="B137" s="2">
        <v>37.32</v>
      </c>
      <c r="C137" s="2">
        <f t="shared" si="2"/>
        <v>4.9996679497772985E-2</v>
      </c>
    </row>
    <row r="138" spans="1:3" x14ac:dyDescent="0.2">
      <c r="A138" s="3">
        <v>45862</v>
      </c>
      <c r="B138" s="2">
        <v>35.5</v>
      </c>
      <c r="C138" s="2">
        <f t="shared" si="2"/>
        <v>-7.2972538239432791E-3</v>
      </c>
    </row>
    <row r="139" spans="1:3" x14ac:dyDescent="0.2">
      <c r="A139" s="3">
        <v>45861</v>
      </c>
      <c r="B139" s="2">
        <v>35.76</v>
      </c>
      <c r="C139" s="2">
        <f t="shared" si="2"/>
        <v>4.1101675685551779E-2</v>
      </c>
    </row>
    <row r="140" spans="1:3" x14ac:dyDescent="0.2">
      <c r="A140" s="3">
        <v>45860</v>
      </c>
      <c r="B140" s="2">
        <v>34.32</v>
      </c>
      <c r="C140" s="2">
        <f t="shared" si="2"/>
        <v>-1.0434877292579508E-2</v>
      </c>
    </row>
    <row r="141" spans="1:3" x14ac:dyDescent="0.2">
      <c r="A141" s="3">
        <v>45859</v>
      </c>
      <c r="B141" s="2">
        <v>34.68</v>
      </c>
      <c r="C141" s="2">
        <f t="shared" si="2"/>
        <v>2.3094698486624183E-3</v>
      </c>
    </row>
    <row r="142" spans="1:3" x14ac:dyDescent="0.2">
      <c r="A142" s="3">
        <v>45856</v>
      </c>
      <c r="B142" s="2">
        <v>34.6</v>
      </c>
      <c r="C142" s="2">
        <f t="shared" si="2"/>
        <v>-1.1554016305557627E-3</v>
      </c>
    </row>
    <row r="143" spans="1:3" x14ac:dyDescent="0.2">
      <c r="A143" s="3">
        <v>45855</v>
      </c>
      <c r="B143" s="2">
        <v>34.64</v>
      </c>
      <c r="C143" s="2">
        <f t="shared" si="2"/>
        <v>1.0446989964655375E-2</v>
      </c>
    </row>
    <row r="144" spans="1:3" x14ac:dyDescent="0.2">
      <c r="A144" s="3">
        <v>45854</v>
      </c>
      <c r="B144" s="2">
        <v>34.28</v>
      </c>
      <c r="C144" s="2">
        <f t="shared" si="2"/>
        <v>-3.4944706497735891E-3</v>
      </c>
    </row>
    <row r="145" spans="1:3" x14ac:dyDescent="0.2">
      <c r="A145" s="3">
        <v>45853</v>
      </c>
      <c r="B145" s="2">
        <v>34.4</v>
      </c>
      <c r="C145" s="2">
        <f t="shared" si="2"/>
        <v>8.7591800898815537E-3</v>
      </c>
    </row>
    <row r="146" spans="1:3" x14ac:dyDescent="0.2">
      <c r="A146" s="3">
        <v>45852</v>
      </c>
      <c r="B146" s="2">
        <v>34.1</v>
      </c>
      <c r="C146" s="2">
        <f t="shared" si="2"/>
        <v>-9.9212952700588625E-3</v>
      </c>
    </row>
    <row r="147" spans="1:3" x14ac:dyDescent="0.2">
      <c r="A147" s="3">
        <v>45849</v>
      </c>
      <c r="B147" s="2">
        <v>34.44</v>
      </c>
      <c r="C147" s="2">
        <f t="shared" si="2"/>
        <v>-3.1440143166975271E-2</v>
      </c>
    </row>
    <row r="148" spans="1:3" x14ac:dyDescent="0.2">
      <c r="A148" s="3">
        <v>45848</v>
      </c>
      <c r="B148" s="2">
        <v>35.54</v>
      </c>
      <c r="C148" s="2">
        <f t="shared" si="2"/>
        <v>1.1318739967554194E-2</v>
      </c>
    </row>
    <row r="149" spans="1:3" x14ac:dyDescent="0.2">
      <c r="A149" s="3">
        <v>45847</v>
      </c>
      <c r="B149" s="2">
        <v>35.14</v>
      </c>
      <c r="C149" s="2">
        <f t="shared" si="2"/>
        <v>3.9920212695374567E-3</v>
      </c>
    </row>
    <row r="150" spans="1:3" x14ac:dyDescent="0.2">
      <c r="A150" s="3">
        <v>45846</v>
      </c>
      <c r="B150" s="2">
        <v>35</v>
      </c>
      <c r="C150" s="2">
        <f t="shared" si="2"/>
        <v>1.4968615693921392E-2</v>
      </c>
    </row>
    <row r="151" spans="1:3" x14ac:dyDescent="0.2">
      <c r="A151" s="3">
        <v>45845</v>
      </c>
      <c r="B151" s="2">
        <v>34.479999999999997</v>
      </c>
      <c r="C151" s="2">
        <f t="shared" si="2"/>
        <v>-9.8124885445507164E-3</v>
      </c>
    </row>
    <row r="152" spans="1:3" x14ac:dyDescent="0.2">
      <c r="A152" s="3">
        <v>45842</v>
      </c>
      <c r="B152" s="2">
        <v>34.82</v>
      </c>
      <c r="C152" s="2">
        <f t="shared" si="2"/>
        <v>-1.255724262968108E-2</v>
      </c>
    </row>
    <row r="153" spans="1:3" x14ac:dyDescent="0.2">
      <c r="A153" s="3">
        <v>45841</v>
      </c>
      <c r="B153" s="2">
        <v>35.26</v>
      </c>
      <c r="C153" s="2">
        <f t="shared" si="2"/>
        <v>5.1180094657418971E-3</v>
      </c>
    </row>
    <row r="154" spans="1:3" x14ac:dyDescent="0.2">
      <c r="A154" s="3">
        <v>45840</v>
      </c>
      <c r="B154" s="2">
        <v>35.08</v>
      </c>
      <c r="C154" s="2">
        <f t="shared" si="2"/>
        <v>1.7118406462763936E-3</v>
      </c>
    </row>
    <row r="155" spans="1:3" x14ac:dyDescent="0.2">
      <c r="A155" s="3">
        <v>45839</v>
      </c>
      <c r="B155" s="2">
        <v>35.020000000000003</v>
      </c>
      <c r="C155" s="2">
        <f t="shared" si="2"/>
        <v>-9.09614003384452E-3</v>
      </c>
    </row>
    <row r="156" spans="1:3" x14ac:dyDescent="0.2">
      <c r="A156" s="3">
        <v>45838</v>
      </c>
      <c r="B156" s="2">
        <v>35.340000000000003</v>
      </c>
      <c r="C156" s="2">
        <f t="shared" si="2"/>
        <v>-2.2611654631370659E-3</v>
      </c>
    </row>
    <row r="157" spans="1:3" x14ac:dyDescent="0.2">
      <c r="A157" s="3">
        <v>45835</v>
      </c>
      <c r="B157" s="2">
        <v>35.42</v>
      </c>
      <c r="C157" s="2">
        <f t="shared" si="2"/>
        <v>2.4579688418832648E-2</v>
      </c>
    </row>
    <row r="158" spans="1:3" x14ac:dyDescent="0.2">
      <c r="A158" s="3">
        <v>45834</v>
      </c>
      <c r="B158" s="2">
        <v>34.56</v>
      </c>
      <c r="C158" s="2">
        <f t="shared" si="2"/>
        <v>1.281322131237664E-2</v>
      </c>
    </row>
    <row r="159" spans="1:3" x14ac:dyDescent="0.2">
      <c r="A159" s="3">
        <v>45833</v>
      </c>
      <c r="B159" s="2">
        <v>34.119999999999997</v>
      </c>
      <c r="C159" s="2">
        <f t="shared" si="2"/>
        <v>-1.2234350095054192E-2</v>
      </c>
    </row>
    <row r="160" spans="1:3" x14ac:dyDescent="0.2">
      <c r="A160" s="3">
        <v>45832</v>
      </c>
      <c r="B160" s="2">
        <v>34.54</v>
      </c>
      <c r="C160" s="2">
        <f t="shared" si="2"/>
        <v>2.343399560071022E-2</v>
      </c>
    </row>
    <row r="161" spans="1:3" x14ac:dyDescent="0.2">
      <c r="A161" s="3">
        <v>45831</v>
      </c>
      <c r="B161" s="2">
        <v>33.74</v>
      </c>
      <c r="C161" s="2">
        <f t="shared" si="2"/>
        <v>-1.4126191346225113E-2</v>
      </c>
    </row>
    <row r="162" spans="1:3" x14ac:dyDescent="0.2">
      <c r="A162" s="3">
        <v>45828</v>
      </c>
      <c r="B162" s="2">
        <v>34.22</v>
      </c>
      <c r="C162" s="2">
        <f t="shared" si="2"/>
        <v>2.4853350230358288E-2</v>
      </c>
    </row>
    <row r="163" spans="1:3" x14ac:dyDescent="0.2">
      <c r="A163" s="3">
        <v>45827</v>
      </c>
      <c r="B163" s="2">
        <v>33.380000000000003</v>
      </c>
      <c r="C163" s="2">
        <f t="shared" si="2"/>
        <v>-2.7188435938205073E-2</v>
      </c>
    </row>
    <row r="164" spans="1:3" x14ac:dyDescent="0.2">
      <c r="A164" s="3">
        <v>45825</v>
      </c>
      <c r="B164" s="2">
        <v>34.299999999999997</v>
      </c>
      <c r="C164" s="2">
        <f t="shared" si="2"/>
        <v>-1.3321946225297098E-2</v>
      </c>
    </row>
    <row r="165" spans="1:3" x14ac:dyDescent="0.2">
      <c r="A165" s="3">
        <v>45824</v>
      </c>
      <c r="B165" s="2">
        <v>34.76</v>
      </c>
      <c r="C165" s="2">
        <f t="shared" si="2"/>
        <v>1.4488807501217378E-2</v>
      </c>
    </row>
    <row r="166" spans="1:3" x14ac:dyDescent="0.2">
      <c r="A166" s="3">
        <v>45821</v>
      </c>
      <c r="B166" s="2">
        <v>34.26</v>
      </c>
      <c r="C166" s="2">
        <f t="shared" si="2"/>
        <v>-1.9653811809936615E-2</v>
      </c>
    </row>
    <row r="167" spans="1:3" x14ac:dyDescent="0.2">
      <c r="A167" s="3">
        <v>45820</v>
      </c>
      <c r="B167" s="2">
        <v>34.94</v>
      </c>
      <c r="C167" s="2">
        <f t="shared" si="2"/>
        <v>-2.2638205025371606E-2</v>
      </c>
    </row>
    <row r="168" spans="1:3" x14ac:dyDescent="0.2">
      <c r="A168" s="3">
        <v>45819</v>
      </c>
      <c r="B168" s="2">
        <v>35.74</v>
      </c>
      <c r="C168" s="2">
        <f t="shared" si="2"/>
        <v>-6.6927187911049266E-3</v>
      </c>
    </row>
    <row r="169" spans="1:3" x14ac:dyDescent="0.2">
      <c r="A169" s="3">
        <v>45818</v>
      </c>
      <c r="B169" s="2">
        <v>35.979999999999997</v>
      </c>
      <c r="C169" s="2">
        <f t="shared" si="2"/>
        <v>1.3994071081008363E-2</v>
      </c>
    </row>
    <row r="170" spans="1:3" x14ac:dyDescent="0.2">
      <c r="A170" s="3">
        <v>45817</v>
      </c>
      <c r="B170" s="2">
        <v>35.479999999999997</v>
      </c>
      <c r="C170" s="2">
        <f t="shared" si="2"/>
        <v>3.3879196719360434E-3</v>
      </c>
    </row>
    <row r="171" spans="1:3" x14ac:dyDescent="0.2">
      <c r="A171" s="3">
        <v>45814</v>
      </c>
      <c r="B171" s="2">
        <v>35.36</v>
      </c>
      <c r="C171" s="2">
        <f t="shared" si="2"/>
        <v>1.3667638728663615E-2</v>
      </c>
    </row>
    <row r="172" spans="1:3" x14ac:dyDescent="0.2">
      <c r="A172" s="3">
        <v>45813</v>
      </c>
      <c r="B172" s="2">
        <v>34.880000000000003</v>
      </c>
      <c r="C172" s="2">
        <f t="shared" si="2"/>
        <v>1.1474470564766996E-3</v>
      </c>
    </row>
    <row r="173" spans="1:3" x14ac:dyDescent="0.2">
      <c r="A173" s="3">
        <v>45812</v>
      </c>
      <c r="B173" s="2">
        <v>34.840000000000003</v>
      </c>
      <c r="C173" s="2">
        <f t="shared" si="2"/>
        <v>1.7955883520254678E-2</v>
      </c>
    </row>
    <row r="174" spans="1:3" x14ac:dyDescent="0.2">
      <c r="A174" s="3">
        <v>45811</v>
      </c>
      <c r="B174" s="2">
        <v>34.22</v>
      </c>
      <c r="C174" s="2">
        <f t="shared" si="2"/>
        <v>8.8054575403450058E-3</v>
      </c>
    </row>
    <row r="175" spans="1:3" x14ac:dyDescent="0.2">
      <c r="A175" s="3">
        <v>45810</v>
      </c>
      <c r="B175" s="2">
        <v>33.92</v>
      </c>
      <c r="C175" s="2">
        <f t="shared" si="2"/>
        <v>-1.2306044545627207E-2</v>
      </c>
    </row>
    <row r="176" spans="1:3" x14ac:dyDescent="0.2">
      <c r="A176" s="3">
        <v>45806</v>
      </c>
      <c r="B176" s="2">
        <v>34.340000000000003</v>
      </c>
      <c r="C176" s="2">
        <f t="shared" si="2"/>
        <v>4.6701777818847446E-3</v>
      </c>
    </row>
    <row r="177" spans="1:3" x14ac:dyDescent="0.2">
      <c r="A177" s="3">
        <v>45805</v>
      </c>
      <c r="B177" s="2">
        <v>34.18</v>
      </c>
      <c r="C177" s="2">
        <f t="shared" si="2"/>
        <v>-5.8496638111467597E-4</v>
      </c>
    </row>
    <row r="178" spans="1:3" x14ac:dyDescent="0.2">
      <c r="A178" s="3">
        <v>45804</v>
      </c>
      <c r="B178" s="2">
        <v>34.200000000000003</v>
      </c>
      <c r="C178" s="2">
        <f t="shared" si="2"/>
        <v>1.8890762469554026E-2</v>
      </c>
    </row>
    <row r="179" spans="1:3" x14ac:dyDescent="0.2">
      <c r="A179" s="3">
        <v>45803</v>
      </c>
      <c r="B179" s="2">
        <v>33.56</v>
      </c>
      <c r="C179" s="2">
        <f t="shared" si="2"/>
        <v>2.5959803695797597E-2</v>
      </c>
    </row>
    <row r="180" spans="1:3" x14ac:dyDescent="0.2">
      <c r="A180" s="3">
        <v>45800</v>
      </c>
      <c r="B180" s="2">
        <v>32.700000000000003</v>
      </c>
      <c r="C180" s="2">
        <f t="shared" si="2"/>
        <v>-3.1308999214614538E-2</v>
      </c>
    </row>
    <row r="181" spans="1:3" x14ac:dyDescent="0.2">
      <c r="A181" s="3">
        <v>45799</v>
      </c>
      <c r="B181" s="2">
        <v>33.74</v>
      </c>
      <c r="C181" s="2">
        <f t="shared" si="2"/>
        <v>-1.5294415778151537E-2</v>
      </c>
    </row>
    <row r="182" spans="1:3" x14ac:dyDescent="0.2">
      <c r="A182" s="3">
        <v>45798</v>
      </c>
      <c r="B182" s="2">
        <v>34.26</v>
      </c>
      <c r="C182" s="2">
        <f t="shared" si="2"/>
        <v>-1.6213441444069148E-2</v>
      </c>
    </row>
    <row r="183" spans="1:3" x14ac:dyDescent="0.2">
      <c r="A183" s="3">
        <v>45797</v>
      </c>
      <c r="B183" s="2">
        <v>34.82</v>
      </c>
      <c r="C183" s="2">
        <f t="shared" si="2"/>
        <v>1.3881078870713355E-2</v>
      </c>
    </row>
    <row r="184" spans="1:3" x14ac:dyDescent="0.2">
      <c r="A184" s="3">
        <v>45796</v>
      </c>
      <c r="B184" s="2">
        <v>34.340000000000003</v>
      </c>
      <c r="C184" s="2">
        <f t="shared" si="2"/>
        <v>-1.9608471388376313E-2</v>
      </c>
    </row>
    <row r="185" spans="1:3" x14ac:dyDescent="0.2">
      <c r="A185" s="3">
        <v>45793</v>
      </c>
      <c r="B185" s="2">
        <v>35.020000000000003</v>
      </c>
      <c r="C185" s="2">
        <f t="shared" si="2"/>
        <v>3.4324976493243951E-3</v>
      </c>
    </row>
    <row r="186" spans="1:3" x14ac:dyDescent="0.2">
      <c r="A186" s="3">
        <v>45792</v>
      </c>
      <c r="B186" s="2">
        <v>34.9</v>
      </c>
      <c r="C186" s="2">
        <f t="shared" si="2"/>
        <v>6.3236772960402893E-3</v>
      </c>
    </row>
    <row r="187" spans="1:3" x14ac:dyDescent="0.2">
      <c r="A187" s="3">
        <v>45791</v>
      </c>
      <c r="B187" s="2">
        <v>34.68</v>
      </c>
      <c r="C187" s="2">
        <f t="shared" si="2"/>
        <v>-5.750447128437826E-3</v>
      </c>
    </row>
    <row r="188" spans="1:3" x14ac:dyDescent="0.2">
      <c r="A188" s="3">
        <v>45790</v>
      </c>
      <c r="B188" s="2">
        <v>34.880000000000003</v>
      </c>
      <c r="C188" s="2">
        <f t="shared" si="2"/>
        <v>1.3275808257385639E-2</v>
      </c>
    </row>
    <row r="189" spans="1:3" x14ac:dyDescent="0.2">
      <c r="A189" s="3">
        <v>45789</v>
      </c>
      <c r="B189" s="2">
        <v>34.42</v>
      </c>
      <c r="C189" s="2">
        <f t="shared" si="2"/>
        <v>4.2736473651940582E-2</v>
      </c>
    </row>
    <row r="190" spans="1:3" x14ac:dyDescent="0.2">
      <c r="A190" s="3">
        <v>45786</v>
      </c>
      <c r="B190" s="2">
        <v>32.979999999999997</v>
      </c>
      <c r="C190" s="2">
        <f t="shared" si="2"/>
        <v>6.693058146584145E-3</v>
      </c>
    </row>
    <row r="191" spans="1:3" x14ac:dyDescent="0.2">
      <c r="A191" s="3">
        <v>45785</v>
      </c>
      <c r="B191" s="2">
        <v>32.76</v>
      </c>
      <c r="C191" s="2">
        <f t="shared" si="2"/>
        <v>2.1599111803461721E-2</v>
      </c>
    </row>
    <row r="192" spans="1:3" x14ac:dyDescent="0.2">
      <c r="A192" s="3">
        <v>45784</v>
      </c>
      <c r="B192" s="2">
        <v>32.06</v>
      </c>
      <c r="C192" s="2">
        <f t="shared" si="2"/>
        <v>-3.7359943828302123E-3</v>
      </c>
    </row>
    <row r="193" spans="1:3" x14ac:dyDescent="0.2">
      <c r="A193" s="3">
        <v>45783</v>
      </c>
      <c r="B193" s="2">
        <v>32.18</v>
      </c>
      <c r="C193" s="2">
        <f t="shared" si="2"/>
        <v>1.2437812548705546E-3</v>
      </c>
    </row>
    <row r="194" spans="1:3" x14ac:dyDescent="0.2">
      <c r="A194" s="3">
        <v>45782</v>
      </c>
      <c r="B194" s="2">
        <v>32.14</v>
      </c>
      <c r="C194" s="2">
        <f t="shared" si="2"/>
        <v>1.5679217409913411E-2</v>
      </c>
    </row>
    <row r="195" spans="1:3" x14ac:dyDescent="0.2">
      <c r="A195" s="3">
        <v>45779</v>
      </c>
      <c r="B195" s="2">
        <v>31.64</v>
      </c>
      <c r="C195" s="2">
        <f t="shared" ref="C195:C258" si="3">+LN(B195/B196)</f>
        <v>5.0561643817814195E-2</v>
      </c>
    </row>
    <row r="196" spans="1:3" x14ac:dyDescent="0.2">
      <c r="A196" s="3">
        <v>45777</v>
      </c>
      <c r="B196" s="2">
        <v>30.08</v>
      </c>
      <c r="C196" s="2">
        <f t="shared" si="3"/>
        <v>1.9966728763230737E-3</v>
      </c>
    </row>
    <row r="197" spans="1:3" x14ac:dyDescent="0.2">
      <c r="A197" s="3">
        <v>45776</v>
      </c>
      <c r="B197" s="2">
        <v>30.02</v>
      </c>
      <c r="C197" s="2">
        <f t="shared" si="3"/>
        <v>-9.283886310007608E-3</v>
      </c>
    </row>
    <row r="198" spans="1:3" x14ac:dyDescent="0.2">
      <c r="A198" s="3">
        <v>45775</v>
      </c>
      <c r="B198" s="2">
        <v>30.3</v>
      </c>
      <c r="C198" s="2">
        <f t="shared" si="3"/>
        <v>2.8114301480839255E-2</v>
      </c>
    </row>
    <row r="199" spans="1:3" x14ac:dyDescent="0.2">
      <c r="A199" s="3">
        <v>45772</v>
      </c>
      <c r="B199" s="2">
        <v>29.46</v>
      </c>
      <c r="C199" s="2">
        <f t="shared" si="3"/>
        <v>3.4002072881694576E-3</v>
      </c>
    </row>
    <row r="200" spans="1:3" x14ac:dyDescent="0.2">
      <c r="A200" s="3">
        <v>45771</v>
      </c>
      <c r="B200" s="2">
        <v>29.36</v>
      </c>
      <c r="C200" s="2">
        <f t="shared" si="3"/>
        <v>3.465350208238803E-2</v>
      </c>
    </row>
    <row r="201" spans="1:3" x14ac:dyDescent="0.2">
      <c r="A201" s="3">
        <v>45770</v>
      </c>
      <c r="B201" s="2">
        <v>28.36</v>
      </c>
      <c r="C201" s="2">
        <f t="shared" si="3"/>
        <v>1.7787733312267202E-2</v>
      </c>
    </row>
    <row r="202" spans="1:3" x14ac:dyDescent="0.2">
      <c r="A202" s="3">
        <v>45769</v>
      </c>
      <c r="B202" s="2">
        <v>27.86</v>
      </c>
      <c r="C202" s="2">
        <f t="shared" si="3"/>
        <v>-7.865610805950737E-3</v>
      </c>
    </row>
    <row r="203" spans="1:3" x14ac:dyDescent="0.2">
      <c r="A203" s="3">
        <v>45764</v>
      </c>
      <c r="B203" s="2">
        <v>28.08</v>
      </c>
      <c r="C203" s="2">
        <f t="shared" si="3"/>
        <v>-9.9221225063164768E-3</v>
      </c>
    </row>
    <row r="204" spans="1:3" x14ac:dyDescent="0.2">
      <c r="A204" s="3">
        <v>45763</v>
      </c>
      <c r="B204" s="2">
        <v>28.36</v>
      </c>
      <c r="C204" s="2">
        <f t="shared" si="3"/>
        <v>-2.3694488292668549E-2</v>
      </c>
    </row>
    <row r="205" spans="1:3" x14ac:dyDescent="0.2">
      <c r="A205" s="3">
        <v>45762</v>
      </c>
      <c r="B205" s="2">
        <v>29.04</v>
      </c>
      <c r="C205" s="2">
        <f t="shared" si="3"/>
        <v>1.6667052485211643E-2</v>
      </c>
    </row>
    <row r="206" spans="1:3" x14ac:dyDescent="0.2">
      <c r="A206" s="3">
        <v>45761</v>
      </c>
      <c r="B206" s="2">
        <v>28.56</v>
      </c>
      <c r="C206" s="2">
        <f t="shared" si="3"/>
        <v>2.6251950976086649E-2</v>
      </c>
    </row>
    <row r="207" spans="1:3" x14ac:dyDescent="0.2">
      <c r="A207" s="3">
        <v>45758</v>
      </c>
      <c r="B207" s="2">
        <v>27.82</v>
      </c>
      <c r="C207" s="2">
        <f t="shared" si="3"/>
        <v>-8.5898881790179328E-3</v>
      </c>
    </row>
    <row r="208" spans="1:3" x14ac:dyDescent="0.2">
      <c r="A208" s="3">
        <v>45757</v>
      </c>
      <c r="B208" s="2">
        <v>28.06</v>
      </c>
      <c r="C208" s="2">
        <f t="shared" si="3"/>
        <v>6.9349314192560921E-2</v>
      </c>
    </row>
    <row r="209" spans="1:3" x14ac:dyDescent="0.2">
      <c r="A209" s="3">
        <v>45756</v>
      </c>
      <c r="B209" s="2">
        <v>26.18</v>
      </c>
      <c r="C209" s="2">
        <f t="shared" si="3"/>
        <v>-4.481705937854899E-2</v>
      </c>
    </row>
    <row r="210" spans="1:3" x14ac:dyDescent="0.2">
      <c r="A210" s="3">
        <v>45755</v>
      </c>
      <c r="B210" s="2">
        <v>27.38</v>
      </c>
      <c r="C210" s="2">
        <f t="shared" si="3"/>
        <v>1.1756197117660754E-2</v>
      </c>
    </row>
    <row r="211" spans="1:3" x14ac:dyDescent="0.2">
      <c r="A211" s="3">
        <v>45754</v>
      </c>
      <c r="B211" s="2">
        <v>27.06</v>
      </c>
      <c r="C211" s="2">
        <f t="shared" si="3"/>
        <v>-6.7168098460695852E-2</v>
      </c>
    </row>
    <row r="212" spans="1:3" x14ac:dyDescent="0.2">
      <c r="A212" s="3">
        <v>45751</v>
      </c>
      <c r="B212" s="2">
        <v>28.94</v>
      </c>
      <c r="C212" s="2">
        <f t="shared" si="3"/>
        <v>-8.4762824628249578E-2</v>
      </c>
    </row>
    <row r="213" spans="1:3" x14ac:dyDescent="0.2">
      <c r="A213" s="3">
        <v>45750</v>
      </c>
      <c r="B213" s="2">
        <v>31.5</v>
      </c>
      <c r="C213" s="2">
        <f t="shared" si="3"/>
        <v>-4.6520015634892817E-2</v>
      </c>
    </row>
    <row r="214" spans="1:3" x14ac:dyDescent="0.2">
      <c r="A214" s="3">
        <v>45749</v>
      </c>
      <c r="B214" s="2">
        <v>33</v>
      </c>
      <c r="C214" s="2">
        <f t="shared" si="3"/>
        <v>-3.6297680505786127E-3</v>
      </c>
    </row>
    <row r="215" spans="1:3" x14ac:dyDescent="0.2">
      <c r="A215" s="3">
        <v>45748</v>
      </c>
      <c r="B215" s="2">
        <v>33.119999999999997</v>
      </c>
      <c r="C215" s="2">
        <f t="shared" si="3"/>
        <v>9.0992438551140888E-3</v>
      </c>
    </row>
    <row r="216" spans="1:3" x14ac:dyDescent="0.2">
      <c r="A216" s="3">
        <v>45747</v>
      </c>
      <c r="B216" s="2">
        <v>32.82</v>
      </c>
      <c r="C216" s="2">
        <f t="shared" si="3"/>
        <v>-3.4734030581841012E-2</v>
      </c>
    </row>
    <row r="217" spans="1:3" x14ac:dyDescent="0.2">
      <c r="A217" s="3">
        <v>45744</v>
      </c>
      <c r="B217" s="2">
        <v>33.979999999999997</v>
      </c>
      <c r="C217" s="2">
        <f t="shared" si="3"/>
        <v>-1.46073295517064E-2</v>
      </c>
    </row>
    <row r="218" spans="1:3" x14ac:dyDescent="0.2">
      <c r="A218" s="3">
        <v>45743</v>
      </c>
      <c r="B218" s="2">
        <v>34.479999999999997</v>
      </c>
      <c r="C218" s="2">
        <f t="shared" si="3"/>
        <v>-1.6110820272698369E-2</v>
      </c>
    </row>
    <row r="219" spans="1:3" x14ac:dyDescent="0.2">
      <c r="A219" s="3">
        <v>45742</v>
      </c>
      <c r="B219" s="2">
        <v>35.04</v>
      </c>
      <c r="C219" s="2">
        <f t="shared" si="3"/>
        <v>-9.0909717012519625E-3</v>
      </c>
    </row>
    <row r="220" spans="1:3" x14ac:dyDescent="0.2">
      <c r="A220" s="3">
        <v>45741</v>
      </c>
      <c r="B220" s="2">
        <v>35.36</v>
      </c>
      <c r="C220" s="2">
        <f t="shared" si="3"/>
        <v>3.3994367014637886E-3</v>
      </c>
    </row>
    <row r="221" spans="1:3" x14ac:dyDescent="0.2">
      <c r="A221" s="3">
        <v>45740</v>
      </c>
      <c r="B221" s="2">
        <v>35.24</v>
      </c>
      <c r="C221" s="2">
        <f t="shared" si="3"/>
        <v>5.6769799991878951E-4</v>
      </c>
    </row>
    <row r="222" spans="1:3" x14ac:dyDescent="0.2">
      <c r="A222" s="3">
        <v>45737</v>
      </c>
      <c r="B222" s="2">
        <v>35.22</v>
      </c>
      <c r="C222" s="2">
        <f t="shared" si="3"/>
        <v>-1.6333790338594438E-2</v>
      </c>
    </row>
    <row r="223" spans="1:3" x14ac:dyDescent="0.2">
      <c r="A223" s="3">
        <v>45736</v>
      </c>
      <c r="B223" s="2">
        <v>35.799999999999997</v>
      </c>
      <c r="C223" s="2">
        <f t="shared" si="3"/>
        <v>-6.1264463411556166E-3</v>
      </c>
    </row>
    <row r="224" spans="1:3" x14ac:dyDescent="0.2">
      <c r="A224" s="3">
        <v>45735</v>
      </c>
      <c r="B224" s="2">
        <v>36.020000000000003</v>
      </c>
      <c r="C224" s="2">
        <f t="shared" si="3"/>
        <v>-8.8447232202151591E-3</v>
      </c>
    </row>
    <row r="225" spans="1:3" x14ac:dyDescent="0.2">
      <c r="A225" s="3">
        <v>45734</v>
      </c>
      <c r="B225" s="2">
        <v>36.340000000000003</v>
      </c>
      <c r="C225" s="2">
        <f t="shared" si="3"/>
        <v>1.0511853364605677E-2</v>
      </c>
    </row>
    <row r="226" spans="1:3" x14ac:dyDescent="0.2">
      <c r="A226" s="3">
        <v>45733</v>
      </c>
      <c r="B226" s="2">
        <v>35.96</v>
      </c>
      <c r="C226" s="2">
        <f t="shared" si="3"/>
        <v>1.0623527365730473E-2</v>
      </c>
    </row>
    <row r="227" spans="1:3" x14ac:dyDescent="0.2">
      <c r="A227" s="3">
        <v>45730</v>
      </c>
      <c r="B227" s="2">
        <v>35.58</v>
      </c>
      <c r="C227" s="2">
        <f t="shared" si="3"/>
        <v>4.5070498830014514E-3</v>
      </c>
    </row>
    <row r="228" spans="1:3" x14ac:dyDescent="0.2">
      <c r="A228" s="3">
        <v>45729</v>
      </c>
      <c r="B228" s="2">
        <v>35.42</v>
      </c>
      <c r="C228" s="2">
        <f t="shared" si="3"/>
        <v>-1.6797707393122523E-2</v>
      </c>
    </row>
    <row r="229" spans="1:3" x14ac:dyDescent="0.2">
      <c r="A229" s="3">
        <v>45728</v>
      </c>
      <c r="B229" s="2">
        <v>36.020000000000003</v>
      </c>
      <c r="C229" s="2">
        <f t="shared" si="3"/>
        <v>1.3415517021304868E-2</v>
      </c>
    </row>
    <row r="230" spans="1:3" x14ac:dyDescent="0.2">
      <c r="A230" s="3">
        <v>45727</v>
      </c>
      <c r="B230" s="2">
        <v>35.54</v>
      </c>
      <c r="C230" s="2">
        <f t="shared" si="3"/>
        <v>-1.2860115729604726E-2</v>
      </c>
    </row>
    <row r="231" spans="1:3" x14ac:dyDescent="0.2">
      <c r="A231" s="3">
        <v>45726</v>
      </c>
      <c r="B231" s="2">
        <v>36</v>
      </c>
      <c r="C231" s="2">
        <f t="shared" si="3"/>
        <v>-2.7398974188114388E-2</v>
      </c>
    </row>
    <row r="232" spans="1:3" x14ac:dyDescent="0.2">
      <c r="A232" s="3">
        <v>45723</v>
      </c>
      <c r="B232" s="2">
        <v>37</v>
      </c>
      <c r="C232" s="2">
        <f t="shared" si="3"/>
        <v>1.9651287397288494E-2</v>
      </c>
    </row>
    <row r="233" spans="1:3" x14ac:dyDescent="0.2">
      <c r="A233" s="3">
        <v>45722</v>
      </c>
      <c r="B233" s="2">
        <v>36.28</v>
      </c>
      <c r="C233" s="2">
        <f t="shared" si="3"/>
        <v>4.4198966981512855E-3</v>
      </c>
    </row>
    <row r="234" spans="1:3" x14ac:dyDescent="0.2">
      <c r="A234" s="3">
        <v>45721</v>
      </c>
      <c r="B234" s="2">
        <v>36.119999999999997</v>
      </c>
      <c r="C234" s="2">
        <f t="shared" si="3"/>
        <v>4.9953631432730003E-2</v>
      </c>
    </row>
    <row r="235" spans="1:3" x14ac:dyDescent="0.2">
      <c r="A235" s="3">
        <v>45720</v>
      </c>
      <c r="B235" s="2">
        <v>34.36</v>
      </c>
      <c r="C235" s="2">
        <f t="shared" si="3"/>
        <v>-4.6625841340055395E-2</v>
      </c>
    </row>
    <row r="236" spans="1:3" x14ac:dyDescent="0.2">
      <c r="A236" s="3">
        <v>45719</v>
      </c>
      <c r="B236" s="2">
        <v>36</v>
      </c>
      <c r="C236" s="2">
        <f t="shared" si="3"/>
        <v>-1.2696830794406954E-2</v>
      </c>
    </row>
    <row r="237" spans="1:3" x14ac:dyDescent="0.2">
      <c r="A237" s="3">
        <v>45715</v>
      </c>
      <c r="B237" s="2">
        <v>36.46</v>
      </c>
      <c r="C237" s="2">
        <f t="shared" si="3"/>
        <v>-1.5242537894834492E-2</v>
      </c>
    </row>
    <row r="238" spans="1:3" x14ac:dyDescent="0.2">
      <c r="A238" s="3">
        <v>45714</v>
      </c>
      <c r="B238" s="2">
        <v>37.020000000000003</v>
      </c>
      <c r="C238" s="2">
        <f t="shared" si="3"/>
        <v>5.4039450112699692E-4</v>
      </c>
    </row>
    <row r="239" spans="1:3" x14ac:dyDescent="0.2">
      <c r="A239" s="3">
        <v>45713</v>
      </c>
      <c r="B239" s="2">
        <v>37</v>
      </c>
      <c r="C239" s="2">
        <f t="shared" si="3"/>
        <v>-1.8211537063937862E-2</v>
      </c>
    </row>
    <row r="240" spans="1:3" x14ac:dyDescent="0.2">
      <c r="A240" s="3">
        <v>45712</v>
      </c>
      <c r="B240" s="2">
        <v>37.68</v>
      </c>
      <c r="C240" s="2">
        <f t="shared" si="3"/>
        <v>-4.7656960730144571E-3</v>
      </c>
    </row>
    <row r="241" spans="1:3" x14ac:dyDescent="0.2">
      <c r="A241" s="3">
        <v>45709</v>
      </c>
      <c r="B241" s="2">
        <v>37.86</v>
      </c>
      <c r="C241" s="2">
        <f t="shared" si="3"/>
        <v>-2.637827960550405E-3</v>
      </c>
    </row>
    <row r="242" spans="1:3" x14ac:dyDescent="0.2">
      <c r="A242" s="3">
        <v>45708</v>
      </c>
      <c r="B242" s="2">
        <v>37.96</v>
      </c>
      <c r="C242" s="2">
        <f t="shared" si="3"/>
        <v>-8.3945928430263668E-3</v>
      </c>
    </row>
    <row r="243" spans="1:3" x14ac:dyDescent="0.2">
      <c r="A243" s="3">
        <v>45707</v>
      </c>
      <c r="B243" s="2">
        <v>38.28</v>
      </c>
      <c r="C243" s="2">
        <f t="shared" si="3"/>
        <v>-1.2461220437811889E-2</v>
      </c>
    </row>
    <row r="244" spans="1:3" x14ac:dyDescent="0.2">
      <c r="A244" s="3">
        <v>45706</v>
      </c>
      <c r="B244" s="2">
        <v>38.76</v>
      </c>
      <c r="C244" s="2">
        <f t="shared" si="3"/>
        <v>1.4553271410035758E-2</v>
      </c>
    </row>
    <row r="245" spans="1:3" x14ac:dyDescent="0.2">
      <c r="A245" s="3">
        <v>45705</v>
      </c>
      <c r="B245" s="2">
        <v>38.200000000000003</v>
      </c>
      <c r="C245" s="2">
        <f t="shared" si="3"/>
        <v>-3.1945014121905022E-2</v>
      </c>
    </row>
    <row r="246" spans="1:3" x14ac:dyDescent="0.2">
      <c r="A246" s="3">
        <v>45702</v>
      </c>
      <c r="B246" s="2">
        <v>39.44</v>
      </c>
      <c r="C246" s="2">
        <f t="shared" si="3"/>
        <v>-0.17791700960889659</v>
      </c>
    </row>
    <row r="247" spans="1:3" x14ac:dyDescent="0.2">
      <c r="A247" s="3">
        <v>45701</v>
      </c>
      <c r="B247" s="2">
        <v>47.12</v>
      </c>
      <c r="C247" s="2">
        <f t="shared" si="3"/>
        <v>3.0161700416721282E-2</v>
      </c>
    </row>
    <row r="248" spans="1:3" x14ac:dyDescent="0.2">
      <c r="A248" s="3">
        <v>45700</v>
      </c>
      <c r="B248" s="2">
        <v>45.72</v>
      </c>
      <c r="C248" s="2">
        <f t="shared" si="3"/>
        <v>1.1438752088424355E-2</v>
      </c>
    </row>
    <row r="249" spans="1:3" x14ac:dyDescent="0.2">
      <c r="A249" s="3">
        <v>45699</v>
      </c>
      <c r="B249" s="2">
        <v>45.2</v>
      </c>
      <c r="C249" s="2">
        <f t="shared" si="3"/>
        <v>-1.3265533672056642E-3</v>
      </c>
    </row>
    <row r="250" spans="1:3" x14ac:dyDescent="0.2">
      <c r="A250" s="3">
        <v>45698</v>
      </c>
      <c r="B250" s="2">
        <v>45.26</v>
      </c>
      <c r="C250" s="2">
        <f t="shared" si="3"/>
        <v>2.4151442213420207E-2</v>
      </c>
    </row>
    <row r="251" spans="1:3" x14ac:dyDescent="0.2">
      <c r="A251" s="3">
        <v>45695</v>
      </c>
      <c r="B251" s="2">
        <v>44.18</v>
      </c>
      <c r="C251" s="2">
        <f t="shared" si="3"/>
        <v>-2.0166491179604434E-2</v>
      </c>
    </row>
    <row r="252" spans="1:3" x14ac:dyDescent="0.2">
      <c r="A252" s="3">
        <v>45694</v>
      </c>
      <c r="B252" s="2">
        <v>45.08</v>
      </c>
      <c r="C252" s="2">
        <f t="shared" si="3"/>
        <v>1.4298724400146359E-2</v>
      </c>
    </row>
    <row r="253" spans="1:3" x14ac:dyDescent="0.2">
      <c r="A253" s="3">
        <v>45693</v>
      </c>
      <c r="B253" s="2">
        <v>44.44</v>
      </c>
      <c r="C253" s="2">
        <f t="shared" si="3"/>
        <v>4.962789342128876E-3</v>
      </c>
    </row>
    <row r="254" spans="1:3" x14ac:dyDescent="0.2">
      <c r="A254" s="3">
        <v>45692</v>
      </c>
      <c r="B254" s="2">
        <v>44.22</v>
      </c>
      <c r="C254" s="2">
        <f t="shared" si="3"/>
        <v>-8.5566835967182397E-3</v>
      </c>
    </row>
    <row r="255" spans="1:3" x14ac:dyDescent="0.2">
      <c r="A255" s="3">
        <v>45691</v>
      </c>
      <c r="B255" s="2">
        <v>44.6</v>
      </c>
      <c r="C255" s="2">
        <f t="shared" si="3"/>
        <v>-2.4801979900591502E-2</v>
      </c>
    </row>
    <row r="256" spans="1:3" x14ac:dyDescent="0.2">
      <c r="A256" s="3">
        <v>45688</v>
      </c>
      <c r="B256" s="2">
        <v>45.72</v>
      </c>
      <c r="C256" s="2">
        <f t="shared" si="3"/>
        <v>7.4643595749141339E-3</v>
      </c>
    </row>
    <row r="257" spans="1:3" x14ac:dyDescent="0.2">
      <c r="A257" s="3">
        <v>45687</v>
      </c>
      <c r="B257" s="2">
        <v>45.38</v>
      </c>
      <c r="C257" s="2">
        <f t="shared" si="3"/>
        <v>-1.3212950612001141E-3</v>
      </c>
    </row>
    <row r="258" spans="1:3" x14ac:dyDescent="0.2">
      <c r="A258" s="3">
        <v>45686</v>
      </c>
      <c r="B258" s="2">
        <v>45.44</v>
      </c>
      <c r="C258" s="2">
        <f t="shared" si="3"/>
        <v>-4.8298666887535433E-3</v>
      </c>
    </row>
    <row r="259" spans="1:3" x14ac:dyDescent="0.2">
      <c r="A259" s="3">
        <v>45685</v>
      </c>
      <c r="B259" s="2">
        <v>45.66</v>
      </c>
      <c r="C259" s="2">
        <f t="shared" ref="C259:C322" si="4">+LN(B259/B260)</f>
        <v>1.4560151331329652E-2</v>
      </c>
    </row>
    <row r="260" spans="1:3" x14ac:dyDescent="0.2">
      <c r="A260" s="3">
        <v>45684</v>
      </c>
      <c r="B260" s="2">
        <v>45</v>
      </c>
      <c r="C260" s="2">
        <f t="shared" si="4"/>
        <v>-1.1928570865273732E-2</v>
      </c>
    </row>
    <row r="261" spans="1:3" x14ac:dyDescent="0.2">
      <c r="A261" s="3">
        <v>45681</v>
      </c>
      <c r="B261" s="2">
        <v>45.54</v>
      </c>
      <c r="C261" s="2">
        <f t="shared" si="4"/>
        <v>1.6829449464984748E-2</v>
      </c>
    </row>
    <row r="262" spans="1:3" x14ac:dyDescent="0.2">
      <c r="A262" s="3">
        <v>45680</v>
      </c>
      <c r="B262" s="2">
        <v>44.78</v>
      </c>
      <c r="C262" s="2">
        <f t="shared" si="4"/>
        <v>-7.1206353380238816E-3</v>
      </c>
    </row>
    <row r="263" spans="1:3" x14ac:dyDescent="0.2">
      <c r="A263" s="3">
        <v>45679</v>
      </c>
      <c r="B263" s="2">
        <v>45.1</v>
      </c>
      <c r="C263" s="2">
        <f t="shared" si="4"/>
        <v>1.5642777070453764E-2</v>
      </c>
    </row>
    <row r="264" spans="1:3" x14ac:dyDescent="0.2">
      <c r="A264" s="3">
        <v>45678</v>
      </c>
      <c r="B264" s="2">
        <v>44.4</v>
      </c>
      <c r="C264" s="2">
        <f t="shared" si="4"/>
        <v>4.9672714462078707E-3</v>
      </c>
    </row>
    <row r="265" spans="1:3" x14ac:dyDescent="0.2">
      <c r="A265" s="3">
        <v>45677</v>
      </c>
      <c r="B265" s="2">
        <v>44.18</v>
      </c>
      <c r="C265" s="2">
        <f t="shared" si="4"/>
        <v>-6.3177105440794653E-3</v>
      </c>
    </row>
    <row r="266" spans="1:3" x14ac:dyDescent="0.2">
      <c r="A266" s="3">
        <v>45674</v>
      </c>
      <c r="B266" s="2">
        <v>44.46</v>
      </c>
      <c r="C266" s="2">
        <f t="shared" si="4"/>
        <v>1.8615747571180351E-2</v>
      </c>
    </row>
    <row r="267" spans="1:3" x14ac:dyDescent="0.2">
      <c r="A267" s="3">
        <v>45673</v>
      </c>
      <c r="B267" s="2">
        <v>43.64</v>
      </c>
      <c r="C267" s="2">
        <f t="shared" si="4"/>
        <v>1.7102335030898842E-2</v>
      </c>
    </row>
    <row r="268" spans="1:3" x14ac:dyDescent="0.2">
      <c r="A268" s="3">
        <v>45672</v>
      </c>
      <c r="B268" s="2">
        <v>42.9</v>
      </c>
      <c r="C268" s="2">
        <f t="shared" si="4"/>
        <v>8.8972724602239192E-3</v>
      </c>
    </row>
    <row r="269" spans="1:3" x14ac:dyDescent="0.2">
      <c r="A269" s="3">
        <v>45671</v>
      </c>
      <c r="B269" s="2">
        <v>42.52</v>
      </c>
      <c r="C269" s="2">
        <f t="shared" si="4"/>
        <v>7.0805110535728201E-3</v>
      </c>
    </row>
    <row r="270" spans="1:3" x14ac:dyDescent="0.2">
      <c r="A270" s="3">
        <v>45670</v>
      </c>
      <c r="B270" s="2">
        <v>42.22</v>
      </c>
      <c r="C270" s="2">
        <f t="shared" si="4"/>
        <v>-1.4578203159373528E-2</v>
      </c>
    </row>
    <row r="271" spans="1:3" x14ac:dyDescent="0.2">
      <c r="A271" s="3">
        <v>45667</v>
      </c>
      <c r="B271" s="2">
        <v>42.84</v>
      </c>
      <c r="C271" s="2">
        <f t="shared" si="4"/>
        <v>-2.1247912534177644E-2</v>
      </c>
    </row>
    <row r="272" spans="1:3" x14ac:dyDescent="0.2">
      <c r="A272" s="3">
        <v>45666</v>
      </c>
      <c r="B272" s="2">
        <v>43.76</v>
      </c>
      <c r="C272" s="2">
        <f t="shared" si="4"/>
        <v>8.7216527149974153E-3</v>
      </c>
    </row>
    <row r="273" spans="1:3" x14ac:dyDescent="0.2">
      <c r="A273" s="3">
        <v>45665</v>
      </c>
      <c r="B273" s="2">
        <v>43.38</v>
      </c>
      <c r="C273" s="2">
        <f t="shared" si="4"/>
        <v>-1.7367895429861963E-2</v>
      </c>
    </row>
    <row r="274" spans="1:3" x14ac:dyDescent="0.2">
      <c r="A274" s="3">
        <v>45664</v>
      </c>
      <c r="B274" s="2">
        <v>44.14</v>
      </c>
      <c r="C274" s="2">
        <f t="shared" si="4"/>
        <v>4.5413338721262833E-3</v>
      </c>
    </row>
    <row r="275" spans="1:3" x14ac:dyDescent="0.2">
      <c r="A275" s="3">
        <v>45663</v>
      </c>
      <c r="B275" s="2">
        <v>43.94</v>
      </c>
      <c r="C275" s="2">
        <f t="shared" si="4"/>
        <v>3.3791690022780832E-2</v>
      </c>
    </row>
    <row r="276" spans="1:3" x14ac:dyDescent="0.2">
      <c r="A276" s="3">
        <v>45660</v>
      </c>
      <c r="B276" s="2">
        <v>42.48</v>
      </c>
      <c r="C276" s="2">
        <f t="shared" si="4"/>
        <v>-1.8657257604542815E-2</v>
      </c>
    </row>
    <row r="277" spans="1:3" x14ac:dyDescent="0.2">
      <c r="A277" s="3">
        <v>45659</v>
      </c>
      <c r="B277" s="2">
        <v>43.28</v>
      </c>
      <c r="C277" s="2">
        <f t="shared" si="4"/>
        <v>1.4428921495021714E-2</v>
      </c>
    </row>
    <row r="278" spans="1:3" x14ac:dyDescent="0.2">
      <c r="A278" s="3">
        <v>45656</v>
      </c>
      <c r="B278" s="2">
        <v>42.66</v>
      </c>
      <c r="C278" s="2">
        <f t="shared" si="4"/>
        <v>-1.1652427346729357E-2</v>
      </c>
    </row>
    <row r="279" spans="1:3" x14ac:dyDescent="0.2">
      <c r="A279" s="3">
        <v>45653</v>
      </c>
      <c r="B279" s="2">
        <v>43.16</v>
      </c>
      <c r="C279" s="2">
        <f t="shared" si="4"/>
        <v>1.6351684114823871E-2</v>
      </c>
    </row>
    <row r="280" spans="1:3" x14ac:dyDescent="0.2">
      <c r="A280" s="3">
        <v>45649</v>
      </c>
      <c r="B280" s="2">
        <v>42.46</v>
      </c>
      <c r="C280" s="2">
        <f t="shared" si="4"/>
        <v>-8.4428268864266739E-3</v>
      </c>
    </row>
    <row r="281" spans="1:3" x14ac:dyDescent="0.2">
      <c r="A281" s="3">
        <v>45646</v>
      </c>
      <c r="B281" s="2">
        <v>42.82</v>
      </c>
      <c r="C281" s="2">
        <f t="shared" si="4"/>
        <v>6.5604733894455963E-3</v>
      </c>
    </row>
    <row r="282" spans="1:3" x14ac:dyDescent="0.2">
      <c r="A282" s="3">
        <v>45645</v>
      </c>
      <c r="B282" s="2">
        <v>42.54</v>
      </c>
      <c r="C282" s="2">
        <f t="shared" si="4"/>
        <v>-4.9081164428908891E-2</v>
      </c>
    </row>
    <row r="283" spans="1:3" x14ac:dyDescent="0.2">
      <c r="A283" s="3">
        <v>45644</v>
      </c>
      <c r="B283" s="2">
        <v>44.68</v>
      </c>
      <c r="C283" s="2">
        <f t="shared" si="4"/>
        <v>5.8361557347184224E-3</v>
      </c>
    </row>
    <row r="284" spans="1:3" x14ac:dyDescent="0.2">
      <c r="A284" s="3">
        <v>45643</v>
      </c>
      <c r="B284" s="2">
        <v>44.42</v>
      </c>
      <c r="C284" s="2">
        <f t="shared" si="4"/>
        <v>-2.049982661310161E-2</v>
      </c>
    </row>
    <row r="285" spans="1:3" x14ac:dyDescent="0.2">
      <c r="A285" s="3">
        <v>45642</v>
      </c>
      <c r="B285" s="2">
        <v>45.34</v>
      </c>
      <c r="C285" s="2">
        <f t="shared" si="4"/>
        <v>1.3242111844554507E-3</v>
      </c>
    </row>
    <row r="286" spans="1:3" x14ac:dyDescent="0.2">
      <c r="A286" s="3">
        <v>45639</v>
      </c>
      <c r="B286" s="2">
        <v>45.28</v>
      </c>
      <c r="C286" s="2">
        <f t="shared" si="4"/>
        <v>-7.9190910989473343E-3</v>
      </c>
    </row>
    <row r="287" spans="1:3" x14ac:dyDescent="0.2">
      <c r="A287" s="3">
        <v>45638</v>
      </c>
      <c r="B287" s="2">
        <v>45.64</v>
      </c>
      <c r="C287" s="2">
        <f t="shared" si="4"/>
        <v>-7.8568714952201319E-3</v>
      </c>
    </row>
    <row r="288" spans="1:3" x14ac:dyDescent="0.2">
      <c r="A288" s="3">
        <v>45637</v>
      </c>
      <c r="B288" s="2">
        <v>46</v>
      </c>
      <c r="C288" s="2">
        <f t="shared" si="4"/>
        <v>1.5334364000106742E-2</v>
      </c>
    </row>
    <row r="289" spans="1:3" x14ac:dyDescent="0.2">
      <c r="A289" s="3">
        <v>45636</v>
      </c>
      <c r="B289" s="2">
        <v>45.3</v>
      </c>
      <c r="C289" s="2">
        <f t="shared" si="4"/>
        <v>-3.5257859354088971E-3</v>
      </c>
    </row>
    <row r="290" spans="1:3" x14ac:dyDescent="0.2">
      <c r="A290" s="3">
        <v>45635</v>
      </c>
      <c r="B290" s="2">
        <v>45.46</v>
      </c>
      <c r="C290" s="2">
        <f t="shared" si="4"/>
        <v>-1.7582422111963897E-3</v>
      </c>
    </row>
    <row r="291" spans="1:3" x14ac:dyDescent="0.2">
      <c r="A291" s="3">
        <v>45632</v>
      </c>
      <c r="B291" s="2">
        <v>45.54</v>
      </c>
      <c r="C291" s="2">
        <f t="shared" si="4"/>
        <v>8.8222892462037922E-3</v>
      </c>
    </row>
    <row r="292" spans="1:3" x14ac:dyDescent="0.2">
      <c r="A292" s="3">
        <v>45631</v>
      </c>
      <c r="B292" s="2">
        <v>45.14</v>
      </c>
      <c r="C292" s="2">
        <f t="shared" si="4"/>
        <v>-8.8573965046761214E-4</v>
      </c>
    </row>
    <row r="293" spans="1:3" x14ac:dyDescent="0.2">
      <c r="A293" s="3">
        <v>45630</v>
      </c>
      <c r="B293" s="2">
        <v>45.18</v>
      </c>
      <c r="C293" s="2">
        <f t="shared" si="4"/>
        <v>9.7865549778735489E-3</v>
      </c>
    </row>
    <row r="294" spans="1:3" x14ac:dyDescent="0.2">
      <c r="A294" s="3">
        <v>45629</v>
      </c>
      <c r="B294" s="2">
        <v>44.74</v>
      </c>
      <c r="C294" s="2">
        <f t="shared" si="4"/>
        <v>1.5315614687786479E-2</v>
      </c>
    </row>
    <row r="295" spans="1:3" x14ac:dyDescent="0.2">
      <c r="A295" s="3">
        <v>45625</v>
      </c>
      <c r="B295" s="2">
        <v>44.06</v>
      </c>
      <c r="C295" s="2">
        <f t="shared" si="4"/>
        <v>5.9185239917968341E-3</v>
      </c>
    </row>
    <row r="296" spans="1:3" x14ac:dyDescent="0.2">
      <c r="A296" s="3">
        <v>45624</v>
      </c>
      <c r="B296" s="2">
        <v>43.8</v>
      </c>
      <c r="C296" s="2">
        <f t="shared" si="4"/>
        <v>1.3793322132335769E-2</v>
      </c>
    </row>
    <row r="297" spans="1:3" x14ac:dyDescent="0.2">
      <c r="A297" s="3">
        <v>45623</v>
      </c>
      <c r="B297" s="2">
        <v>43.2</v>
      </c>
      <c r="C297" s="2">
        <f t="shared" si="4"/>
        <v>3.2460033138475889E-3</v>
      </c>
    </row>
    <row r="298" spans="1:3" x14ac:dyDescent="0.2">
      <c r="A298" s="3">
        <v>45622</v>
      </c>
      <c r="B298" s="2">
        <v>43.06</v>
      </c>
      <c r="C298" s="2">
        <f t="shared" si="4"/>
        <v>-1.8864143470812583E-2</v>
      </c>
    </row>
    <row r="299" spans="1:3" x14ac:dyDescent="0.2">
      <c r="A299" s="3">
        <v>45621</v>
      </c>
      <c r="B299" s="2">
        <v>43.88</v>
      </c>
      <c r="C299" s="2">
        <f t="shared" si="4"/>
        <v>3.1954559476658477E-2</v>
      </c>
    </row>
    <row r="300" spans="1:3" x14ac:dyDescent="0.2">
      <c r="A300" s="3">
        <v>45618</v>
      </c>
      <c r="B300" s="2">
        <v>42.5</v>
      </c>
      <c r="C300" s="2">
        <f t="shared" si="4"/>
        <v>1.3741035917584328E-2</v>
      </c>
    </row>
    <row r="301" spans="1:3" x14ac:dyDescent="0.2">
      <c r="A301" s="3">
        <v>45617</v>
      </c>
      <c r="B301" s="2">
        <v>41.92</v>
      </c>
      <c r="C301" s="2">
        <f t="shared" si="4"/>
        <v>2.8667004820762637E-3</v>
      </c>
    </row>
    <row r="302" spans="1:3" x14ac:dyDescent="0.2">
      <c r="A302" s="3">
        <v>45616</v>
      </c>
      <c r="B302" s="2">
        <v>41.8</v>
      </c>
      <c r="C302" s="2">
        <f t="shared" si="4"/>
        <v>8.1672325230769827E-3</v>
      </c>
    </row>
    <row r="303" spans="1:3" x14ac:dyDescent="0.2">
      <c r="A303" s="3">
        <v>45615</v>
      </c>
      <c r="B303" s="2">
        <v>41.46</v>
      </c>
      <c r="C303" s="2">
        <f t="shared" si="4"/>
        <v>-9.1237127490339624E-3</v>
      </c>
    </row>
    <row r="304" spans="1:3" x14ac:dyDescent="0.2">
      <c r="A304" s="3">
        <v>45614</v>
      </c>
      <c r="B304" s="2">
        <v>41.84</v>
      </c>
      <c r="C304" s="2">
        <f t="shared" si="4"/>
        <v>-2.5019006177303675E-2</v>
      </c>
    </row>
    <row r="305" spans="1:3" x14ac:dyDescent="0.2">
      <c r="A305" s="3">
        <v>45611</v>
      </c>
      <c r="B305" s="2">
        <v>42.9</v>
      </c>
      <c r="C305" s="2">
        <f t="shared" si="4"/>
        <v>-2.5317807984289897E-2</v>
      </c>
    </row>
    <row r="306" spans="1:3" x14ac:dyDescent="0.2">
      <c r="A306" s="3">
        <v>45610</v>
      </c>
      <c r="B306" s="2">
        <v>44</v>
      </c>
      <c r="C306" s="2">
        <f t="shared" si="4"/>
        <v>3.7041271680349076E-2</v>
      </c>
    </row>
    <row r="307" spans="1:3" x14ac:dyDescent="0.2">
      <c r="A307" s="3">
        <v>45609</v>
      </c>
      <c r="B307" s="2">
        <v>42.4</v>
      </c>
      <c r="C307" s="2">
        <f t="shared" si="4"/>
        <v>4.7180939775896174E-4</v>
      </c>
    </row>
    <row r="308" spans="1:3" x14ac:dyDescent="0.2">
      <c r="A308" s="3">
        <v>45608</v>
      </c>
      <c r="B308" s="2">
        <v>42.38</v>
      </c>
      <c r="C308" s="2">
        <f t="shared" si="4"/>
        <v>-1.9163942409911622E-2</v>
      </c>
    </row>
    <row r="309" spans="1:3" x14ac:dyDescent="0.2">
      <c r="A309" s="3">
        <v>45607</v>
      </c>
      <c r="B309" s="2">
        <v>43.2</v>
      </c>
      <c r="C309" s="2">
        <f t="shared" si="4"/>
        <v>8.8352120885278867E-3</v>
      </c>
    </row>
    <row r="310" spans="1:3" x14ac:dyDescent="0.2">
      <c r="A310" s="3">
        <v>45604</v>
      </c>
      <c r="B310" s="2">
        <v>42.82</v>
      </c>
      <c r="C310" s="2">
        <f t="shared" si="4"/>
        <v>-1.2532073969854002E-2</v>
      </c>
    </row>
    <row r="311" spans="1:3" x14ac:dyDescent="0.2">
      <c r="A311" s="3">
        <v>45603</v>
      </c>
      <c r="B311" s="2">
        <v>43.36</v>
      </c>
      <c r="C311" s="2">
        <f t="shared" si="4"/>
        <v>5.7918416047964986E-2</v>
      </c>
    </row>
    <row r="312" spans="1:3" x14ac:dyDescent="0.2">
      <c r="A312" s="3">
        <v>45602</v>
      </c>
      <c r="B312" s="2">
        <v>40.92</v>
      </c>
      <c r="C312" s="2">
        <f t="shared" si="4"/>
        <v>-1.744230266334237E-2</v>
      </c>
    </row>
    <row r="313" spans="1:3" x14ac:dyDescent="0.2">
      <c r="A313" s="3">
        <v>45601</v>
      </c>
      <c r="B313" s="2">
        <v>41.64</v>
      </c>
      <c r="C313" s="2">
        <f t="shared" si="4"/>
        <v>1.7931180698012035E-2</v>
      </c>
    </row>
    <row r="314" spans="1:3" x14ac:dyDescent="0.2">
      <c r="A314" s="3">
        <v>45600</v>
      </c>
      <c r="B314" s="2">
        <v>40.9</v>
      </c>
      <c r="C314" s="2">
        <f t="shared" si="4"/>
        <v>-1.6008103182270691E-2</v>
      </c>
    </row>
    <row r="315" spans="1:3" x14ac:dyDescent="0.2">
      <c r="A315" s="3">
        <v>45597</v>
      </c>
      <c r="B315" s="2">
        <v>41.56</v>
      </c>
      <c r="C315" s="2">
        <f t="shared" si="4"/>
        <v>1.7476172934561808E-2</v>
      </c>
    </row>
    <row r="316" spans="1:3" x14ac:dyDescent="0.2">
      <c r="A316" s="3">
        <v>45596</v>
      </c>
      <c r="B316" s="2">
        <v>40.840000000000003</v>
      </c>
      <c r="C316" s="2">
        <f t="shared" si="4"/>
        <v>3.4339008479156077E-3</v>
      </c>
    </row>
    <row r="317" spans="1:3" x14ac:dyDescent="0.2">
      <c r="A317" s="3">
        <v>45595</v>
      </c>
      <c r="B317" s="2">
        <v>40.700000000000003</v>
      </c>
      <c r="C317" s="2">
        <f t="shared" si="4"/>
        <v>-1.0752791776261737E-2</v>
      </c>
    </row>
    <row r="318" spans="1:3" x14ac:dyDescent="0.2">
      <c r="A318" s="3">
        <v>45594</v>
      </c>
      <c r="B318" s="2">
        <v>41.14</v>
      </c>
      <c r="C318" s="2">
        <f t="shared" si="4"/>
        <v>9.7276272262214155E-4</v>
      </c>
    </row>
    <row r="319" spans="1:3" x14ac:dyDescent="0.2">
      <c r="A319" s="3">
        <v>45593</v>
      </c>
      <c r="B319" s="2">
        <v>41.1</v>
      </c>
      <c r="C319" s="2">
        <f t="shared" si="4"/>
        <v>1.1747565349950456E-2</v>
      </c>
    </row>
    <row r="320" spans="1:3" x14ac:dyDescent="0.2">
      <c r="A320" s="3">
        <v>45589</v>
      </c>
      <c r="B320" s="2">
        <v>40.619999999999997</v>
      </c>
      <c r="C320" s="2">
        <f t="shared" si="4"/>
        <v>4.9248954455159005E-4</v>
      </c>
    </row>
    <row r="321" spans="1:3" x14ac:dyDescent="0.2">
      <c r="A321" s="3">
        <v>45588</v>
      </c>
      <c r="B321" s="2">
        <v>40.6</v>
      </c>
      <c r="C321" s="2">
        <f t="shared" si="4"/>
        <v>-6.3835227817890172E-3</v>
      </c>
    </row>
    <row r="322" spans="1:3" x14ac:dyDescent="0.2">
      <c r="A322" s="3">
        <v>45587</v>
      </c>
      <c r="B322" s="2">
        <v>40.86</v>
      </c>
      <c r="C322" s="2">
        <f t="shared" si="4"/>
        <v>2.4503810349520085E-3</v>
      </c>
    </row>
    <row r="323" spans="1:3" x14ac:dyDescent="0.2">
      <c r="A323" s="3">
        <v>45586</v>
      </c>
      <c r="B323" s="2">
        <v>40.76</v>
      </c>
      <c r="C323" s="2">
        <f t="shared" ref="C323:C386" si="5">+LN(B323/B324)</f>
        <v>-1.3645435896913758E-2</v>
      </c>
    </row>
    <row r="324" spans="1:3" x14ac:dyDescent="0.2">
      <c r="A324" s="3">
        <v>45583</v>
      </c>
      <c r="B324" s="2">
        <v>41.32</v>
      </c>
      <c r="C324" s="2">
        <f t="shared" si="5"/>
        <v>2.9083878959570019E-3</v>
      </c>
    </row>
    <row r="325" spans="1:3" x14ac:dyDescent="0.2">
      <c r="A325" s="3">
        <v>45582</v>
      </c>
      <c r="B325" s="2">
        <v>41.2</v>
      </c>
      <c r="C325" s="2">
        <f t="shared" si="5"/>
        <v>1.1718884113213479E-2</v>
      </c>
    </row>
    <row r="326" spans="1:3" x14ac:dyDescent="0.2">
      <c r="A326" s="3">
        <v>45581</v>
      </c>
      <c r="B326" s="2">
        <v>40.72</v>
      </c>
      <c r="C326" s="2">
        <f t="shared" si="5"/>
        <v>-1.7044483725170898E-2</v>
      </c>
    </row>
    <row r="327" spans="1:3" x14ac:dyDescent="0.2">
      <c r="A327" s="3">
        <v>45580</v>
      </c>
      <c r="B327" s="2">
        <v>41.42</v>
      </c>
      <c r="C327" s="2">
        <f t="shared" si="5"/>
        <v>-4.8274198378937751E-4</v>
      </c>
    </row>
    <row r="328" spans="1:3" x14ac:dyDescent="0.2">
      <c r="A328" s="3">
        <v>45579</v>
      </c>
      <c r="B328" s="2">
        <v>41.44</v>
      </c>
      <c r="C328" s="2">
        <f t="shared" si="5"/>
        <v>1.213901771808412E-2</v>
      </c>
    </row>
    <row r="329" spans="1:3" x14ac:dyDescent="0.2">
      <c r="A329" s="3">
        <v>45576</v>
      </c>
      <c r="B329" s="2">
        <v>40.94</v>
      </c>
      <c r="C329" s="2">
        <f t="shared" si="5"/>
        <v>1.0805606120649913E-2</v>
      </c>
    </row>
    <row r="330" spans="1:3" x14ac:dyDescent="0.2">
      <c r="A330" s="3">
        <v>45575</v>
      </c>
      <c r="B330" s="2">
        <v>40.5</v>
      </c>
      <c r="C330" s="2">
        <f t="shared" si="5"/>
        <v>-1.373243747829413E-2</v>
      </c>
    </row>
    <row r="331" spans="1:3" x14ac:dyDescent="0.2">
      <c r="A331" s="3">
        <v>45574</v>
      </c>
      <c r="B331" s="2">
        <v>41.06</v>
      </c>
      <c r="C331" s="2">
        <f t="shared" si="5"/>
        <v>1.4623448864797101E-3</v>
      </c>
    </row>
    <row r="332" spans="1:3" x14ac:dyDescent="0.2">
      <c r="A332" s="3">
        <v>45573</v>
      </c>
      <c r="B332" s="2">
        <v>41</v>
      </c>
      <c r="C332" s="2">
        <f t="shared" si="5"/>
        <v>-4.8768593992683517E-4</v>
      </c>
    </row>
    <row r="333" spans="1:3" x14ac:dyDescent="0.2">
      <c r="A333" s="3">
        <v>45572</v>
      </c>
      <c r="B333" s="2">
        <v>41.02</v>
      </c>
      <c r="C333" s="2">
        <f t="shared" si="5"/>
        <v>-7.2868916072032176E-3</v>
      </c>
    </row>
    <row r="334" spans="1:3" x14ac:dyDescent="0.2">
      <c r="A334" s="3">
        <v>45569</v>
      </c>
      <c r="B334" s="2">
        <v>41.32</v>
      </c>
      <c r="C334" s="2">
        <f t="shared" si="5"/>
        <v>4.8520231045281123E-3</v>
      </c>
    </row>
    <row r="335" spans="1:3" x14ac:dyDescent="0.2">
      <c r="A335" s="3">
        <v>45568</v>
      </c>
      <c r="B335" s="2">
        <v>41.12</v>
      </c>
      <c r="C335" s="2">
        <f t="shared" si="5"/>
        <v>-1.7836095870944074E-2</v>
      </c>
    </row>
    <row r="336" spans="1:3" x14ac:dyDescent="0.2">
      <c r="A336" s="3">
        <v>45567</v>
      </c>
      <c r="B336" s="2">
        <v>41.86</v>
      </c>
      <c r="C336" s="2">
        <f t="shared" si="5"/>
        <v>1.0566861050415531E-2</v>
      </c>
    </row>
    <row r="337" spans="1:3" x14ac:dyDescent="0.2">
      <c r="A337" s="3">
        <v>45566</v>
      </c>
      <c r="B337" s="2">
        <v>41.42</v>
      </c>
      <c r="C337" s="2">
        <f t="shared" si="5"/>
        <v>-1.1044530034898019E-2</v>
      </c>
    </row>
    <row r="338" spans="1:3" x14ac:dyDescent="0.2">
      <c r="A338" s="3">
        <v>45565</v>
      </c>
      <c r="B338" s="2">
        <v>41.88</v>
      </c>
      <c r="C338" s="2">
        <f t="shared" si="5"/>
        <v>-1.4695689928034961E-2</v>
      </c>
    </row>
    <row r="339" spans="1:3" x14ac:dyDescent="0.2">
      <c r="A339" s="3">
        <v>45562</v>
      </c>
      <c r="B339" s="2">
        <v>42.5</v>
      </c>
      <c r="C339" s="2">
        <f t="shared" si="5"/>
        <v>3.2037164964522274E-2</v>
      </c>
    </row>
    <row r="340" spans="1:3" x14ac:dyDescent="0.2">
      <c r="A340" s="3">
        <v>45561</v>
      </c>
      <c r="B340" s="2">
        <v>41.16</v>
      </c>
      <c r="C340" s="2">
        <f t="shared" si="5"/>
        <v>3.6115723272704042E-2</v>
      </c>
    </row>
    <row r="341" spans="1:3" x14ac:dyDescent="0.2">
      <c r="A341" s="3">
        <v>45560</v>
      </c>
      <c r="B341" s="2">
        <v>39.700000000000003</v>
      </c>
      <c r="C341" s="2">
        <f t="shared" si="5"/>
        <v>1.0080646014950421E-3</v>
      </c>
    </row>
    <row r="342" spans="1:3" x14ac:dyDescent="0.2">
      <c r="A342" s="3">
        <v>45559</v>
      </c>
      <c r="B342" s="2">
        <v>39.659999999999997</v>
      </c>
      <c r="C342" s="2">
        <f t="shared" si="5"/>
        <v>1.1666376295232929E-2</v>
      </c>
    </row>
    <row r="343" spans="1:3" x14ac:dyDescent="0.2">
      <c r="A343" s="3">
        <v>45558</v>
      </c>
      <c r="B343" s="2">
        <v>39.200000000000003</v>
      </c>
      <c r="C343" s="2">
        <f t="shared" si="5"/>
        <v>8.1967672041784907E-3</v>
      </c>
    </row>
    <row r="344" spans="1:3" x14ac:dyDescent="0.2">
      <c r="A344" s="3">
        <v>45555</v>
      </c>
      <c r="B344" s="2">
        <v>38.880000000000003</v>
      </c>
      <c r="C344" s="2">
        <f t="shared" si="5"/>
        <v>-3.2889379794549936E-2</v>
      </c>
    </row>
    <row r="345" spans="1:3" x14ac:dyDescent="0.2">
      <c r="A345" s="3">
        <v>45554</v>
      </c>
      <c r="B345" s="2">
        <v>40.18</v>
      </c>
      <c r="C345" s="2">
        <f t="shared" si="5"/>
        <v>3.4433781645924082E-2</v>
      </c>
    </row>
    <row r="346" spans="1:3" x14ac:dyDescent="0.2">
      <c r="A346" s="3">
        <v>45553</v>
      </c>
      <c r="B346" s="2">
        <v>38.82</v>
      </c>
      <c r="C346" s="2">
        <f t="shared" si="5"/>
        <v>-1.0298662084298146E-3</v>
      </c>
    </row>
    <row r="347" spans="1:3" x14ac:dyDescent="0.2">
      <c r="A347" s="3">
        <v>45552</v>
      </c>
      <c r="B347" s="2">
        <v>38.86</v>
      </c>
      <c r="C347" s="2">
        <f t="shared" si="5"/>
        <v>1.6083355766093321E-2</v>
      </c>
    </row>
    <row r="348" spans="1:3" x14ac:dyDescent="0.2">
      <c r="A348" s="3">
        <v>45551</v>
      </c>
      <c r="B348" s="2">
        <v>38.24</v>
      </c>
      <c r="C348" s="2">
        <f t="shared" si="5"/>
        <v>-1.1957511852535636E-2</v>
      </c>
    </row>
    <row r="349" spans="1:3" x14ac:dyDescent="0.2">
      <c r="A349" s="3">
        <v>45548</v>
      </c>
      <c r="B349" s="2">
        <v>38.700000000000003</v>
      </c>
      <c r="C349" s="2">
        <f t="shared" si="5"/>
        <v>1.3527781738134629E-2</v>
      </c>
    </row>
    <row r="350" spans="1:3" x14ac:dyDescent="0.2">
      <c r="A350" s="3">
        <v>45547</v>
      </c>
      <c r="B350" s="2">
        <v>38.18</v>
      </c>
      <c r="C350" s="2">
        <f t="shared" si="5"/>
        <v>1.3182368589439188E-2</v>
      </c>
    </row>
    <row r="351" spans="1:3" x14ac:dyDescent="0.2">
      <c r="A351" s="3">
        <v>45546</v>
      </c>
      <c r="B351" s="2">
        <v>37.68</v>
      </c>
      <c r="C351" s="2">
        <f t="shared" si="5"/>
        <v>-7.4035240335648279E-3</v>
      </c>
    </row>
    <row r="352" spans="1:3" x14ac:dyDescent="0.2">
      <c r="A352" s="3">
        <v>45545</v>
      </c>
      <c r="B352" s="2">
        <v>37.96</v>
      </c>
      <c r="C352" s="2">
        <f t="shared" si="5"/>
        <v>-5.2548728383585855E-3</v>
      </c>
    </row>
    <row r="353" spans="1:3" x14ac:dyDescent="0.2">
      <c r="A353" s="3">
        <v>45544</v>
      </c>
      <c r="B353" s="2">
        <v>38.159999999999997</v>
      </c>
      <c r="C353" s="2">
        <f t="shared" si="5"/>
        <v>2.0652044552668739E-2</v>
      </c>
    </row>
    <row r="354" spans="1:3" x14ac:dyDescent="0.2">
      <c r="A354" s="3">
        <v>45541</v>
      </c>
      <c r="B354" s="2">
        <v>37.380000000000003</v>
      </c>
      <c r="C354" s="2">
        <f t="shared" si="5"/>
        <v>-1.855340789574772E-2</v>
      </c>
    </row>
    <row r="355" spans="1:3" x14ac:dyDescent="0.2">
      <c r="A355" s="3">
        <v>45539</v>
      </c>
      <c r="B355" s="2">
        <v>38.08</v>
      </c>
      <c r="C355" s="2">
        <f t="shared" si="5"/>
        <v>-1.511626385702022E-2</v>
      </c>
    </row>
    <row r="356" spans="1:3" x14ac:dyDescent="0.2">
      <c r="A356" s="3">
        <v>45538</v>
      </c>
      <c r="B356" s="2">
        <v>38.659999999999997</v>
      </c>
      <c r="C356" s="2">
        <f t="shared" si="5"/>
        <v>-1.489116091697768E-2</v>
      </c>
    </row>
    <row r="357" spans="1:3" x14ac:dyDescent="0.2">
      <c r="A357" s="3">
        <v>45537</v>
      </c>
      <c r="B357" s="2">
        <v>39.24</v>
      </c>
      <c r="C357" s="2">
        <f t="shared" si="5"/>
        <v>-1.2661602426508479E-2</v>
      </c>
    </row>
    <row r="358" spans="1:3" x14ac:dyDescent="0.2">
      <c r="A358" s="3">
        <v>45534</v>
      </c>
      <c r="B358" s="2">
        <v>39.74</v>
      </c>
      <c r="C358" s="2">
        <f t="shared" si="5"/>
        <v>1.4702419461361242E-2</v>
      </c>
    </row>
    <row r="359" spans="1:3" x14ac:dyDescent="0.2">
      <c r="A359" s="3">
        <v>45533</v>
      </c>
      <c r="B359" s="2">
        <v>39.159999999999997</v>
      </c>
      <c r="C359" s="2">
        <f t="shared" si="5"/>
        <v>2.1162080044810919E-2</v>
      </c>
    </row>
    <row r="360" spans="1:3" x14ac:dyDescent="0.2">
      <c r="A360" s="3">
        <v>45532</v>
      </c>
      <c r="B360" s="2">
        <v>38.340000000000003</v>
      </c>
      <c r="C360" s="2">
        <f t="shared" si="5"/>
        <v>5.217845148386374E-4</v>
      </c>
    </row>
    <row r="361" spans="1:3" x14ac:dyDescent="0.2">
      <c r="A361" s="3">
        <v>45531</v>
      </c>
      <c r="B361" s="2">
        <v>38.32</v>
      </c>
      <c r="C361" s="2">
        <f t="shared" si="5"/>
        <v>-1.0432969125776746E-3</v>
      </c>
    </row>
    <row r="362" spans="1:3" x14ac:dyDescent="0.2">
      <c r="A362" s="3">
        <v>45530</v>
      </c>
      <c r="B362" s="2">
        <v>38.36</v>
      </c>
      <c r="C362" s="2">
        <f t="shared" si="5"/>
        <v>-6.2370264555477728E-3</v>
      </c>
    </row>
    <row r="363" spans="1:3" x14ac:dyDescent="0.2">
      <c r="A363" s="3">
        <v>45527</v>
      </c>
      <c r="B363" s="2">
        <v>38.6</v>
      </c>
      <c r="C363" s="2">
        <f t="shared" si="5"/>
        <v>8.8473124586784125E-3</v>
      </c>
    </row>
    <row r="364" spans="1:3" x14ac:dyDescent="0.2">
      <c r="A364" s="3">
        <v>45526</v>
      </c>
      <c r="B364" s="2">
        <v>38.26</v>
      </c>
      <c r="C364" s="2">
        <f t="shared" si="5"/>
        <v>-5.2137761485269631E-3</v>
      </c>
    </row>
    <row r="365" spans="1:3" x14ac:dyDescent="0.2">
      <c r="A365" s="3">
        <v>45525</v>
      </c>
      <c r="B365" s="2">
        <v>38.46</v>
      </c>
      <c r="C365" s="2">
        <f t="shared" si="5"/>
        <v>1.1506403100350452E-2</v>
      </c>
    </row>
    <row r="366" spans="1:3" x14ac:dyDescent="0.2">
      <c r="A366" s="3">
        <v>45524</v>
      </c>
      <c r="B366" s="2">
        <v>38.020000000000003</v>
      </c>
      <c r="C366" s="2">
        <f t="shared" si="5"/>
        <v>-1.2545904233455373E-2</v>
      </c>
    </row>
    <row r="367" spans="1:3" x14ac:dyDescent="0.2">
      <c r="A367" s="3">
        <v>45523</v>
      </c>
      <c r="B367" s="2">
        <v>38.5</v>
      </c>
      <c r="C367" s="2">
        <f t="shared" si="5"/>
        <v>1.0443959161083314E-2</v>
      </c>
    </row>
    <row r="368" spans="1:3" x14ac:dyDescent="0.2">
      <c r="A368" s="3">
        <v>45520</v>
      </c>
      <c r="B368" s="2">
        <v>38.1</v>
      </c>
      <c r="C368" s="2">
        <f t="shared" si="5"/>
        <v>2.3368030918550678E-2</v>
      </c>
    </row>
    <row r="369" spans="1:3" x14ac:dyDescent="0.2">
      <c r="A369" s="3">
        <v>45518</v>
      </c>
      <c r="B369" s="2">
        <v>37.22</v>
      </c>
      <c r="C369" s="2">
        <f t="shared" si="5"/>
        <v>4.8478414361260097E-3</v>
      </c>
    </row>
    <row r="370" spans="1:3" x14ac:dyDescent="0.2">
      <c r="A370" s="3">
        <v>45517</v>
      </c>
      <c r="B370" s="2">
        <v>37.04</v>
      </c>
      <c r="C370" s="2">
        <f t="shared" si="5"/>
        <v>-1.0206911067965006E-2</v>
      </c>
    </row>
    <row r="371" spans="1:3" x14ac:dyDescent="0.2">
      <c r="A371" s="3">
        <v>45516</v>
      </c>
      <c r="B371" s="2">
        <v>37.42</v>
      </c>
      <c r="C371" s="2">
        <f t="shared" si="5"/>
        <v>1.1287408201719218E-2</v>
      </c>
    </row>
    <row r="372" spans="1:3" x14ac:dyDescent="0.2">
      <c r="A372" s="3">
        <v>45513</v>
      </c>
      <c r="B372" s="2">
        <v>37</v>
      </c>
      <c r="C372" s="2">
        <f t="shared" si="5"/>
        <v>-2.6990569691650581E-3</v>
      </c>
    </row>
    <row r="373" spans="1:3" x14ac:dyDescent="0.2">
      <c r="A373" s="3">
        <v>45512</v>
      </c>
      <c r="B373" s="2">
        <v>37.1</v>
      </c>
      <c r="C373" s="2">
        <f t="shared" si="5"/>
        <v>5.9475709249962715E-3</v>
      </c>
    </row>
    <row r="374" spans="1:3" x14ac:dyDescent="0.2">
      <c r="A374" s="3">
        <v>45511</v>
      </c>
      <c r="B374" s="2">
        <v>36.880000000000003</v>
      </c>
      <c r="C374" s="2">
        <f t="shared" si="5"/>
        <v>-2.7078272705855955E-3</v>
      </c>
    </row>
    <row r="375" spans="1:3" x14ac:dyDescent="0.2">
      <c r="A375" s="3">
        <v>45510</v>
      </c>
      <c r="B375" s="2">
        <v>36.979999999999997</v>
      </c>
      <c r="C375" s="2">
        <f t="shared" si="5"/>
        <v>-1.0223387401663162E-2</v>
      </c>
    </row>
    <row r="376" spans="1:3" x14ac:dyDescent="0.2">
      <c r="A376" s="3">
        <v>45509</v>
      </c>
      <c r="B376" s="2">
        <v>37.36</v>
      </c>
      <c r="C376" s="2">
        <f t="shared" si="5"/>
        <v>-1.6047074853017685E-3</v>
      </c>
    </row>
    <row r="377" spans="1:3" x14ac:dyDescent="0.2">
      <c r="A377" s="3">
        <v>45506</v>
      </c>
      <c r="B377" s="2">
        <v>37.42</v>
      </c>
      <c r="C377" s="2">
        <f t="shared" si="5"/>
        <v>-3.3634279189792643E-2</v>
      </c>
    </row>
    <row r="378" spans="1:3" x14ac:dyDescent="0.2">
      <c r="A378" s="3">
        <v>45505</v>
      </c>
      <c r="B378" s="2">
        <v>38.700000000000003</v>
      </c>
      <c r="C378" s="2">
        <f t="shared" si="5"/>
        <v>-3.5536734276787309E-2</v>
      </c>
    </row>
    <row r="379" spans="1:3" x14ac:dyDescent="0.2">
      <c r="A379" s="3">
        <v>45504</v>
      </c>
      <c r="B379" s="2">
        <v>40.1</v>
      </c>
      <c r="C379" s="2">
        <f t="shared" si="5"/>
        <v>1.103321122087369E-2</v>
      </c>
    </row>
    <row r="380" spans="1:3" x14ac:dyDescent="0.2">
      <c r="A380" s="3">
        <v>45503</v>
      </c>
      <c r="B380" s="2">
        <v>39.659999999999997</v>
      </c>
      <c r="C380" s="2">
        <f t="shared" si="5"/>
        <v>-2.5182586967234123E-3</v>
      </c>
    </row>
    <row r="381" spans="1:3" x14ac:dyDescent="0.2">
      <c r="A381" s="3">
        <v>45502</v>
      </c>
      <c r="B381" s="2">
        <v>39.76</v>
      </c>
      <c r="C381" s="2">
        <f t="shared" si="5"/>
        <v>-1.001009359510046E-2</v>
      </c>
    </row>
    <row r="382" spans="1:3" x14ac:dyDescent="0.2">
      <c r="A382" s="3">
        <v>45499</v>
      </c>
      <c r="B382" s="2">
        <v>40.159999999999997</v>
      </c>
      <c r="C382" s="2">
        <f t="shared" si="5"/>
        <v>2.4194728587056756E-2</v>
      </c>
    </row>
    <row r="383" spans="1:3" x14ac:dyDescent="0.2">
      <c r="A383" s="3">
        <v>45498</v>
      </c>
      <c r="B383" s="2">
        <v>39.200000000000003</v>
      </c>
      <c r="C383" s="2">
        <f t="shared" si="5"/>
        <v>-7.7527773936788794E-2</v>
      </c>
    </row>
    <row r="384" spans="1:3" x14ac:dyDescent="0.2">
      <c r="A384" s="3">
        <v>45497</v>
      </c>
      <c r="B384" s="2">
        <v>42.36</v>
      </c>
      <c r="C384" s="2">
        <f t="shared" si="5"/>
        <v>-1.0333581854545299E-2</v>
      </c>
    </row>
    <row r="385" spans="1:3" x14ac:dyDescent="0.2">
      <c r="A385" s="3">
        <v>45496</v>
      </c>
      <c r="B385" s="2">
        <v>42.8</v>
      </c>
      <c r="C385" s="2">
        <f t="shared" si="5"/>
        <v>9.8615497475978871E-3</v>
      </c>
    </row>
    <row r="386" spans="1:3" x14ac:dyDescent="0.2">
      <c r="A386" s="3">
        <v>45495</v>
      </c>
      <c r="B386" s="2">
        <v>42.38</v>
      </c>
      <c r="C386" s="2">
        <f t="shared" si="5"/>
        <v>9.959769312056669E-3</v>
      </c>
    </row>
    <row r="387" spans="1:3" x14ac:dyDescent="0.2">
      <c r="A387" s="3">
        <v>45492</v>
      </c>
      <c r="B387" s="2">
        <v>41.96</v>
      </c>
      <c r="C387" s="2">
        <f t="shared" ref="C387:C450" si="6">+LN(B387/B388)</f>
        <v>-1.2787292402274665E-2</v>
      </c>
    </row>
    <row r="388" spans="1:3" x14ac:dyDescent="0.2">
      <c r="A388" s="3">
        <v>45491</v>
      </c>
      <c r="B388" s="2">
        <v>42.5</v>
      </c>
      <c r="C388" s="2">
        <f t="shared" si="6"/>
        <v>-9.4073384171998507E-4</v>
      </c>
    </row>
    <row r="389" spans="1:3" x14ac:dyDescent="0.2">
      <c r="A389" s="3">
        <v>45490</v>
      </c>
      <c r="B389" s="2">
        <v>42.54</v>
      </c>
      <c r="C389" s="2">
        <f t="shared" si="6"/>
        <v>6.1306487700542945E-3</v>
      </c>
    </row>
    <row r="390" spans="1:3" x14ac:dyDescent="0.2">
      <c r="A390" s="3">
        <v>45489</v>
      </c>
      <c r="B390" s="2">
        <v>42.28</v>
      </c>
      <c r="C390" s="2">
        <f t="shared" si="6"/>
        <v>-4.7192159316464463E-3</v>
      </c>
    </row>
    <row r="391" spans="1:3" x14ac:dyDescent="0.2">
      <c r="A391" s="3">
        <v>45488</v>
      </c>
      <c r="B391" s="2">
        <v>42.48</v>
      </c>
      <c r="C391" s="2">
        <f t="shared" si="6"/>
        <v>-1.1236073266925954E-2</v>
      </c>
    </row>
    <row r="392" spans="1:3" x14ac:dyDescent="0.2">
      <c r="A392" s="3">
        <v>45485</v>
      </c>
      <c r="B392" s="2">
        <v>42.96</v>
      </c>
      <c r="C392" s="2">
        <f t="shared" si="6"/>
        <v>8.4151969252844981E-3</v>
      </c>
    </row>
    <row r="393" spans="1:3" x14ac:dyDescent="0.2">
      <c r="A393" s="3">
        <v>45484</v>
      </c>
      <c r="B393" s="2">
        <v>42.6</v>
      </c>
      <c r="C393" s="2">
        <f t="shared" si="6"/>
        <v>1.3232707266574341E-2</v>
      </c>
    </row>
    <row r="394" spans="1:3" x14ac:dyDescent="0.2">
      <c r="A394" s="3">
        <v>45483</v>
      </c>
      <c r="B394" s="2">
        <v>42.04</v>
      </c>
      <c r="C394" s="2">
        <f t="shared" si="6"/>
        <v>2.6025565277498032E-2</v>
      </c>
    </row>
    <row r="395" spans="1:3" x14ac:dyDescent="0.2">
      <c r="A395" s="3">
        <v>45482</v>
      </c>
      <c r="B395" s="2">
        <v>40.96</v>
      </c>
      <c r="C395" s="2">
        <f t="shared" si="6"/>
        <v>-1.3097446505400203E-2</v>
      </c>
    </row>
    <row r="396" spans="1:3" x14ac:dyDescent="0.2">
      <c r="A396" s="3">
        <v>45481</v>
      </c>
      <c r="B396" s="2">
        <v>41.5</v>
      </c>
      <c r="C396" s="2">
        <f t="shared" si="6"/>
        <v>-8.6372897812011015E-3</v>
      </c>
    </row>
    <row r="397" spans="1:3" x14ac:dyDescent="0.2">
      <c r="A397" s="3">
        <v>45478</v>
      </c>
      <c r="B397" s="2">
        <v>41.86</v>
      </c>
      <c r="C397" s="2">
        <f t="shared" si="6"/>
        <v>-4.7664532567001459E-3</v>
      </c>
    </row>
    <row r="398" spans="1:3" x14ac:dyDescent="0.2">
      <c r="A398" s="3">
        <v>45477</v>
      </c>
      <c r="B398" s="2">
        <v>42.06</v>
      </c>
      <c r="C398" s="2">
        <f t="shared" si="6"/>
        <v>1.3885786913227281E-2</v>
      </c>
    </row>
    <row r="399" spans="1:3" x14ac:dyDescent="0.2">
      <c r="A399" s="3">
        <v>45476</v>
      </c>
      <c r="B399" s="2">
        <v>41.48</v>
      </c>
      <c r="C399" s="2">
        <f t="shared" si="6"/>
        <v>7.7444723954777622E-3</v>
      </c>
    </row>
    <row r="400" spans="1:3" x14ac:dyDescent="0.2">
      <c r="A400" s="3">
        <v>45475</v>
      </c>
      <c r="B400" s="2">
        <v>41.16</v>
      </c>
      <c r="C400" s="2">
        <f t="shared" si="6"/>
        <v>-7.744472395477711E-3</v>
      </c>
    </row>
    <row r="401" spans="1:3" x14ac:dyDescent="0.2">
      <c r="A401" s="3">
        <v>45471</v>
      </c>
      <c r="B401" s="2">
        <v>41.48</v>
      </c>
      <c r="C401" s="2">
        <f t="shared" si="6"/>
        <v>2.4137110439294068E-3</v>
      </c>
    </row>
    <row r="402" spans="1:3" x14ac:dyDescent="0.2">
      <c r="A402" s="3">
        <v>45470</v>
      </c>
      <c r="B402" s="2">
        <v>41.38</v>
      </c>
      <c r="C402" s="2">
        <f t="shared" si="6"/>
        <v>8.7379196731624236E-3</v>
      </c>
    </row>
    <row r="403" spans="1:3" x14ac:dyDescent="0.2">
      <c r="A403" s="3">
        <v>45469</v>
      </c>
      <c r="B403" s="2">
        <v>41.02</v>
      </c>
      <c r="C403" s="2">
        <f t="shared" si="6"/>
        <v>-1.4521068321253688E-2</v>
      </c>
    </row>
    <row r="404" spans="1:3" x14ac:dyDescent="0.2">
      <c r="A404" s="3">
        <v>45468</v>
      </c>
      <c r="B404" s="2">
        <v>41.62</v>
      </c>
      <c r="C404" s="2">
        <f t="shared" si="6"/>
        <v>-2.6086373686451014E-2</v>
      </c>
    </row>
    <row r="405" spans="1:3" x14ac:dyDescent="0.2">
      <c r="A405" s="3">
        <v>45467</v>
      </c>
      <c r="B405" s="2">
        <v>42.72</v>
      </c>
      <c r="C405" s="2">
        <f t="shared" si="6"/>
        <v>1.9858808649603255E-2</v>
      </c>
    </row>
    <row r="406" spans="1:3" x14ac:dyDescent="0.2">
      <c r="A406" s="3">
        <v>45464</v>
      </c>
      <c r="B406" s="2">
        <v>41.88</v>
      </c>
      <c r="C406" s="2">
        <f t="shared" si="6"/>
        <v>-3.8131600064141534E-3</v>
      </c>
    </row>
    <row r="407" spans="1:3" x14ac:dyDescent="0.2">
      <c r="A407" s="3">
        <v>45463</v>
      </c>
      <c r="B407" s="2">
        <v>42.04</v>
      </c>
      <c r="C407" s="2">
        <f t="shared" si="6"/>
        <v>1.9697970546437436E-2</v>
      </c>
    </row>
    <row r="408" spans="1:3" x14ac:dyDescent="0.2">
      <c r="A408" s="3">
        <v>45462</v>
      </c>
      <c r="B408" s="2">
        <v>41.22</v>
      </c>
      <c r="C408" s="2">
        <f t="shared" si="6"/>
        <v>1.4566644964641641E-3</v>
      </c>
    </row>
    <row r="409" spans="1:3" x14ac:dyDescent="0.2">
      <c r="A409" s="3">
        <v>45461</v>
      </c>
      <c r="B409" s="2">
        <v>41.16</v>
      </c>
      <c r="C409" s="2">
        <f t="shared" si="6"/>
        <v>5.8479698824228992E-3</v>
      </c>
    </row>
    <row r="410" spans="1:3" x14ac:dyDescent="0.2">
      <c r="A410" s="3">
        <v>45460</v>
      </c>
      <c r="B410" s="2">
        <v>40.92</v>
      </c>
      <c r="C410" s="2">
        <f t="shared" si="6"/>
        <v>5.8823699030666129E-3</v>
      </c>
    </row>
    <row r="411" spans="1:3" x14ac:dyDescent="0.2">
      <c r="A411" s="3">
        <v>45457</v>
      </c>
      <c r="B411" s="2">
        <v>40.68</v>
      </c>
      <c r="C411" s="2">
        <f t="shared" si="6"/>
        <v>-2.5244058952212427E-2</v>
      </c>
    </row>
    <row r="412" spans="1:3" x14ac:dyDescent="0.2">
      <c r="A412" s="3">
        <v>45456</v>
      </c>
      <c r="B412" s="2">
        <v>41.72</v>
      </c>
      <c r="C412" s="2">
        <f t="shared" si="6"/>
        <v>-2.8357287629926044E-2</v>
      </c>
    </row>
    <row r="413" spans="1:3" x14ac:dyDescent="0.2">
      <c r="A413" s="3">
        <v>45455</v>
      </c>
      <c r="B413" s="2">
        <v>42.92</v>
      </c>
      <c r="C413" s="2">
        <f t="shared" si="6"/>
        <v>1.7391742711869239E-2</v>
      </c>
    </row>
    <row r="414" spans="1:3" x14ac:dyDescent="0.2">
      <c r="A414" s="3">
        <v>45454</v>
      </c>
      <c r="B414" s="2">
        <v>42.18</v>
      </c>
      <c r="C414" s="2">
        <f t="shared" si="6"/>
        <v>-2.7591182080762226E-2</v>
      </c>
    </row>
    <row r="415" spans="1:3" x14ac:dyDescent="0.2">
      <c r="A415" s="3">
        <v>45453</v>
      </c>
      <c r="B415" s="2">
        <v>43.36</v>
      </c>
      <c r="C415" s="2">
        <f t="shared" si="6"/>
        <v>-4.6019409333690727E-3</v>
      </c>
    </row>
    <row r="416" spans="1:3" x14ac:dyDescent="0.2">
      <c r="A416" s="3">
        <v>45450</v>
      </c>
      <c r="B416" s="2">
        <v>43.56</v>
      </c>
      <c r="C416" s="2">
        <f t="shared" si="6"/>
        <v>8.7618729780983857E-3</v>
      </c>
    </row>
    <row r="417" spans="1:3" x14ac:dyDescent="0.2">
      <c r="A417" s="3">
        <v>45449</v>
      </c>
      <c r="B417" s="2">
        <v>43.18</v>
      </c>
      <c r="C417" s="2">
        <f t="shared" si="6"/>
        <v>-4.62108031206712E-3</v>
      </c>
    </row>
    <row r="418" spans="1:3" x14ac:dyDescent="0.2">
      <c r="A418" s="3">
        <v>45448</v>
      </c>
      <c r="B418" s="2">
        <v>43.38</v>
      </c>
      <c r="C418" s="2">
        <f t="shared" si="6"/>
        <v>1.1126679464757053E-2</v>
      </c>
    </row>
    <row r="419" spans="1:3" x14ac:dyDescent="0.2">
      <c r="A419" s="3">
        <v>45447</v>
      </c>
      <c r="B419" s="2">
        <v>42.9</v>
      </c>
      <c r="C419" s="2">
        <f t="shared" si="6"/>
        <v>-1.8630652803930657E-3</v>
      </c>
    </row>
    <row r="420" spans="1:3" x14ac:dyDescent="0.2">
      <c r="A420" s="3">
        <v>45446</v>
      </c>
      <c r="B420" s="2">
        <v>42.98</v>
      </c>
      <c r="C420" s="2">
        <f t="shared" si="6"/>
        <v>-1.8596007218526602E-3</v>
      </c>
    </row>
    <row r="421" spans="1:3" x14ac:dyDescent="0.2">
      <c r="A421" s="3">
        <v>45443</v>
      </c>
      <c r="B421" s="2">
        <v>43.06</v>
      </c>
      <c r="C421" s="2">
        <f t="shared" si="6"/>
        <v>6.5237882819575311E-3</v>
      </c>
    </row>
    <row r="422" spans="1:3" x14ac:dyDescent="0.2">
      <c r="A422" s="3">
        <v>45442</v>
      </c>
      <c r="B422" s="2">
        <v>42.78</v>
      </c>
      <c r="C422" s="2">
        <f t="shared" si="6"/>
        <v>1.4035090023203122E-3</v>
      </c>
    </row>
    <row r="423" spans="1:3" x14ac:dyDescent="0.2">
      <c r="A423" s="3">
        <v>45441</v>
      </c>
      <c r="B423" s="2">
        <v>42.72</v>
      </c>
      <c r="C423" s="2">
        <f t="shared" si="6"/>
        <v>-3.7670967830226922E-2</v>
      </c>
    </row>
    <row r="424" spans="1:3" x14ac:dyDescent="0.2">
      <c r="A424" s="3">
        <v>45440</v>
      </c>
      <c r="B424" s="2">
        <v>44.36</v>
      </c>
      <c r="C424" s="2">
        <f t="shared" si="6"/>
        <v>4.9717616535759164E-3</v>
      </c>
    </row>
    <row r="425" spans="1:3" x14ac:dyDescent="0.2">
      <c r="A425" s="3">
        <v>45439</v>
      </c>
      <c r="B425" s="2">
        <v>44.14</v>
      </c>
      <c r="C425" s="2">
        <f t="shared" si="6"/>
        <v>5.4520807474648025E-3</v>
      </c>
    </row>
    <row r="426" spans="1:3" x14ac:dyDescent="0.2">
      <c r="A426" s="3">
        <v>45436</v>
      </c>
      <c r="B426" s="2">
        <v>43.9</v>
      </c>
      <c r="C426" s="2">
        <f t="shared" si="6"/>
        <v>-4.5454623716747224E-3</v>
      </c>
    </row>
    <row r="427" spans="1:3" x14ac:dyDescent="0.2">
      <c r="A427" s="3">
        <v>45435</v>
      </c>
      <c r="B427" s="2">
        <v>44.1</v>
      </c>
      <c r="C427" s="2">
        <f t="shared" si="6"/>
        <v>-3.1695747612790672E-3</v>
      </c>
    </row>
    <row r="428" spans="1:3" x14ac:dyDescent="0.2">
      <c r="A428" s="3">
        <v>45434</v>
      </c>
      <c r="B428" s="2">
        <v>44.24</v>
      </c>
      <c r="C428" s="2">
        <f t="shared" si="6"/>
        <v>4.5310453596001023E-3</v>
      </c>
    </row>
    <row r="429" spans="1:3" x14ac:dyDescent="0.2">
      <c r="A429" s="3">
        <v>45433</v>
      </c>
      <c r="B429" s="2">
        <v>44.04</v>
      </c>
      <c r="C429" s="2">
        <f t="shared" si="6"/>
        <v>-1.6663299316129591E-2</v>
      </c>
    </row>
    <row r="430" spans="1:3" x14ac:dyDescent="0.2">
      <c r="A430" s="3">
        <v>45432</v>
      </c>
      <c r="B430" s="2">
        <v>44.78</v>
      </c>
      <c r="C430" s="2">
        <f t="shared" si="6"/>
        <v>5.3739493413872373E-3</v>
      </c>
    </row>
    <row r="431" spans="1:3" x14ac:dyDescent="0.2">
      <c r="A431" s="3">
        <v>45429</v>
      </c>
      <c r="B431" s="2">
        <v>44.54</v>
      </c>
      <c r="C431" s="2">
        <f t="shared" si="6"/>
        <v>-2.5710636070937536E-2</v>
      </c>
    </row>
    <row r="432" spans="1:3" x14ac:dyDescent="0.2">
      <c r="A432" s="3">
        <v>45428</v>
      </c>
      <c r="B432" s="2">
        <v>45.7</v>
      </c>
      <c r="C432" s="2">
        <f t="shared" si="6"/>
        <v>-3.9309943610108889E-3</v>
      </c>
    </row>
    <row r="433" spans="1:3" x14ac:dyDescent="0.2">
      <c r="A433" s="3">
        <v>45427</v>
      </c>
      <c r="B433" s="2">
        <v>45.88</v>
      </c>
      <c r="C433" s="2">
        <f t="shared" si="6"/>
        <v>5.5109127811024138E-2</v>
      </c>
    </row>
    <row r="434" spans="1:3" x14ac:dyDescent="0.2">
      <c r="A434" s="3">
        <v>45426</v>
      </c>
      <c r="B434" s="2">
        <v>43.42</v>
      </c>
      <c r="C434" s="2">
        <f t="shared" si="6"/>
        <v>7.8613121619579979E-3</v>
      </c>
    </row>
    <row r="435" spans="1:3" x14ac:dyDescent="0.2">
      <c r="A435" s="3">
        <v>45425</v>
      </c>
      <c r="B435" s="2">
        <v>43.08</v>
      </c>
      <c r="C435" s="2">
        <f t="shared" si="6"/>
        <v>-4.6414482151439123E-4</v>
      </c>
    </row>
    <row r="436" spans="1:3" x14ac:dyDescent="0.2">
      <c r="A436" s="3">
        <v>45422</v>
      </c>
      <c r="B436" s="2">
        <v>43.1</v>
      </c>
      <c r="C436" s="2">
        <f t="shared" si="6"/>
        <v>1.5903047973165749E-2</v>
      </c>
    </row>
    <row r="437" spans="1:3" x14ac:dyDescent="0.2">
      <c r="A437" s="3">
        <v>45421</v>
      </c>
      <c r="B437" s="2">
        <v>42.42</v>
      </c>
      <c r="C437" s="2">
        <f t="shared" si="6"/>
        <v>-6.1104772970161959E-3</v>
      </c>
    </row>
    <row r="438" spans="1:3" x14ac:dyDescent="0.2">
      <c r="A438" s="3">
        <v>45420</v>
      </c>
      <c r="B438" s="2">
        <v>42.68</v>
      </c>
      <c r="C438" s="2">
        <f t="shared" si="6"/>
        <v>1.5108880424802216E-2</v>
      </c>
    </row>
    <row r="439" spans="1:3" x14ac:dyDescent="0.2">
      <c r="A439" s="3">
        <v>45419</v>
      </c>
      <c r="B439" s="2">
        <v>42.04</v>
      </c>
      <c r="C439" s="2">
        <f t="shared" si="6"/>
        <v>1.3410162647423915E-2</v>
      </c>
    </row>
    <row r="440" spans="1:3" x14ac:dyDescent="0.2">
      <c r="A440" s="3">
        <v>45415</v>
      </c>
      <c r="B440" s="2">
        <v>41.48</v>
      </c>
      <c r="C440" s="2">
        <f t="shared" si="6"/>
        <v>2.8363759598213304E-2</v>
      </c>
    </row>
    <row r="441" spans="1:3" x14ac:dyDescent="0.2">
      <c r="A441" s="3">
        <v>45414</v>
      </c>
      <c r="B441" s="2">
        <v>40.32</v>
      </c>
      <c r="C441" s="2">
        <f t="shared" si="6"/>
        <v>-1.8673761297244299E-2</v>
      </c>
    </row>
    <row r="442" spans="1:3" x14ac:dyDescent="0.2">
      <c r="A442" s="3">
        <v>45412</v>
      </c>
      <c r="B442" s="2">
        <v>41.08</v>
      </c>
      <c r="C442" s="2">
        <f t="shared" si="6"/>
        <v>-8.7252128908701758E-3</v>
      </c>
    </row>
    <row r="443" spans="1:3" x14ac:dyDescent="0.2">
      <c r="A443" s="3">
        <v>45411</v>
      </c>
      <c r="B443" s="2">
        <v>41.44</v>
      </c>
      <c r="C443" s="2">
        <f t="shared" si="6"/>
        <v>3.8684767779203319E-3</v>
      </c>
    </row>
    <row r="444" spans="1:3" x14ac:dyDescent="0.2">
      <c r="A444" s="3">
        <v>45408</v>
      </c>
      <c r="B444" s="2">
        <v>41.28</v>
      </c>
      <c r="C444" s="2">
        <f t="shared" si="6"/>
        <v>2.0064289433707881E-2</v>
      </c>
    </row>
    <row r="445" spans="1:3" x14ac:dyDescent="0.2">
      <c r="A445" s="3">
        <v>45407</v>
      </c>
      <c r="B445" s="2">
        <v>40.46</v>
      </c>
      <c r="C445" s="2">
        <f t="shared" si="6"/>
        <v>-1.9579675903506236E-2</v>
      </c>
    </row>
    <row r="446" spans="1:3" x14ac:dyDescent="0.2">
      <c r="A446" s="3">
        <v>45406</v>
      </c>
      <c r="B446" s="2">
        <v>41.26</v>
      </c>
      <c r="C446" s="2">
        <f t="shared" si="6"/>
        <v>-3.3873731881629275E-3</v>
      </c>
    </row>
    <row r="447" spans="1:3" x14ac:dyDescent="0.2">
      <c r="A447" s="3">
        <v>45405</v>
      </c>
      <c r="B447" s="2">
        <v>41.4</v>
      </c>
      <c r="C447" s="2">
        <f t="shared" si="6"/>
        <v>9.2211281870341263E-3</v>
      </c>
    </row>
    <row r="448" spans="1:3" x14ac:dyDescent="0.2">
      <c r="A448" s="3">
        <v>45404</v>
      </c>
      <c r="B448" s="2">
        <v>41.02</v>
      </c>
      <c r="C448" s="2">
        <f t="shared" si="6"/>
        <v>6.3585442897105462E-3</v>
      </c>
    </row>
    <row r="449" spans="1:3" x14ac:dyDescent="0.2">
      <c r="A449" s="3">
        <v>45401</v>
      </c>
      <c r="B449" s="2">
        <v>40.76</v>
      </c>
      <c r="C449" s="2">
        <f t="shared" si="6"/>
        <v>-8.7934127923855725E-3</v>
      </c>
    </row>
    <row r="450" spans="1:3" x14ac:dyDescent="0.2">
      <c r="A450" s="3">
        <v>45400</v>
      </c>
      <c r="B450" s="2">
        <v>41.12</v>
      </c>
      <c r="C450" s="2">
        <f t="shared" si="6"/>
        <v>4.8649964472072249E-4</v>
      </c>
    </row>
    <row r="451" spans="1:3" x14ac:dyDescent="0.2">
      <c r="A451" s="3">
        <v>45399</v>
      </c>
      <c r="B451" s="2">
        <v>41.1</v>
      </c>
      <c r="C451" s="2">
        <f t="shared" ref="C451:C514" si="7">+LN(B451/B452)</f>
        <v>-9.2032618591375952E-3</v>
      </c>
    </row>
    <row r="452" spans="1:3" x14ac:dyDescent="0.2">
      <c r="A452" s="3">
        <v>45398</v>
      </c>
      <c r="B452" s="2">
        <v>41.48</v>
      </c>
      <c r="C452" s="2">
        <f t="shared" si="7"/>
        <v>-1.9575702690905736E-2</v>
      </c>
    </row>
    <row r="453" spans="1:3" x14ac:dyDescent="0.2">
      <c r="A453" s="3">
        <v>45397</v>
      </c>
      <c r="B453" s="2">
        <v>42.3</v>
      </c>
      <c r="C453" s="2">
        <f t="shared" si="7"/>
        <v>8.5470605784583476E-3</v>
      </c>
    </row>
    <row r="454" spans="1:3" x14ac:dyDescent="0.2">
      <c r="A454" s="3">
        <v>45394</v>
      </c>
      <c r="B454" s="2">
        <v>41.94</v>
      </c>
      <c r="C454" s="2">
        <f t="shared" si="7"/>
        <v>-5.7899939297655356E-2</v>
      </c>
    </row>
    <row r="455" spans="1:3" x14ac:dyDescent="0.2">
      <c r="A455" s="3">
        <v>45393</v>
      </c>
      <c r="B455" s="2">
        <v>44.44</v>
      </c>
      <c r="C455" s="2">
        <f t="shared" si="7"/>
        <v>-1.7985616359149784E-3</v>
      </c>
    </row>
    <row r="456" spans="1:3" x14ac:dyDescent="0.2">
      <c r="A456" s="3">
        <v>45392</v>
      </c>
      <c r="B456" s="2">
        <v>44.52</v>
      </c>
      <c r="C456" s="2">
        <f t="shared" si="7"/>
        <v>1.4024206326218468E-2</v>
      </c>
    </row>
    <row r="457" spans="1:3" x14ac:dyDescent="0.2">
      <c r="A457" s="3">
        <v>45391</v>
      </c>
      <c r="B457" s="2">
        <v>43.9</v>
      </c>
      <c r="C457" s="2">
        <f t="shared" si="7"/>
        <v>-4.0918447635333753E-3</v>
      </c>
    </row>
    <row r="458" spans="1:3" x14ac:dyDescent="0.2">
      <c r="A458" s="3">
        <v>45390</v>
      </c>
      <c r="B458" s="2">
        <v>44.08</v>
      </c>
      <c r="C458" s="2">
        <f t="shared" si="7"/>
        <v>4.6908994570105292E-2</v>
      </c>
    </row>
    <row r="459" spans="1:3" x14ac:dyDescent="0.2">
      <c r="A459" s="3">
        <v>45387</v>
      </c>
      <c r="B459" s="2">
        <v>42.06</v>
      </c>
      <c r="C459" s="2">
        <f t="shared" si="7"/>
        <v>-1.1817674758835238E-2</v>
      </c>
    </row>
    <row r="460" spans="1:3" x14ac:dyDescent="0.2">
      <c r="A460" s="3">
        <v>45386</v>
      </c>
      <c r="B460" s="2">
        <v>42.56</v>
      </c>
      <c r="C460" s="2">
        <f t="shared" si="7"/>
        <v>-9.8200461809753482E-3</v>
      </c>
    </row>
    <row r="461" spans="1:3" x14ac:dyDescent="0.2">
      <c r="A461" s="3">
        <v>45385</v>
      </c>
      <c r="B461" s="2">
        <v>42.98</v>
      </c>
      <c r="C461" s="2">
        <f t="shared" si="7"/>
        <v>-5.0140932208823957E-2</v>
      </c>
    </row>
    <row r="462" spans="1:3" x14ac:dyDescent="0.2">
      <c r="A462" s="3">
        <v>45379</v>
      </c>
      <c r="B462" s="2">
        <v>45.19</v>
      </c>
      <c r="C462" s="2">
        <f t="shared" si="7"/>
        <v>1.2245505350132788E-2</v>
      </c>
    </row>
    <row r="463" spans="1:3" x14ac:dyDescent="0.2">
      <c r="A463" s="3">
        <v>45378</v>
      </c>
      <c r="B463" s="2">
        <v>44.64</v>
      </c>
      <c r="C463" s="2">
        <f t="shared" si="7"/>
        <v>-2.2398924945252029E-4</v>
      </c>
    </row>
    <row r="464" spans="1:3" x14ac:dyDescent="0.2">
      <c r="A464" s="3">
        <v>45377</v>
      </c>
      <c r="B464" s="2">
        <v>44.65</v>
      </c>
      <c r="C464" s="2">
        <f t="shared" si="7"/>
        <v>1.0355788179859526E-2</v>
      </c>
    </row>
    <row r="465" spans="1:3" x14ac:dyDescent="0.2">
      <c r="A465" s="3">
        <v>45376</v>
      </c>
      <c r="B465" s="2">
        <v>44.19</v>
      </c>
      <c r="C465" s="2">
        <f t="shared" si="7"/>
        <v>1.3586958611927161E-3</v>
      </c>
    </row>
    <row r="466" spans="1:3" x14ac:dyDescent="0.2">
      <c r="A466" s="3">
        <v>45373</v>
      </c>
      <c r="B466" s="2">
        <v>44.13</v>
      </c>
      <c r="C466" s="2">
        <f t="shared" si="7"/>
        <v>-3.8448537696340332E-3</v>
      </c>
    </row>
    <row r="467" spans="1:3" x14ac:dyDescent="0.2">
      <c r="A467" s="3">
        <v>45372</v>
      </c>
      <c r="B467" s="2">
        <v>44.3</v>
      </c>
      <c r="C467" s="2">
        <f t="shared" si="7"/>
        <v>1.661583692173909E-2</v>
      </c>
    </row>
    <row r="468" spans="1:3" x14ac:dyDescent="0.2">
      <c r="A468" s="3">
        <v>45371</v>
      </c>
      <c r="B468" s="2">
        <v>43.57</v>
      </c>
      <c r="C468" s="2">
        <f t="shared" si="7"/>
        <v>-6.1778025104094565E-3</v>
      </c>
    </row>
    <row r="469" spans="1:3" x14ac:dyDescent="0.2">
      <c r="A469" s="3">
        <v>45370</v>
      </c>
      <c r="B469" s="2">
        <v>43.84</v>
      </c>
      <c r="C469" s="2">
        <f t="shared" si="7"/>
        <v>8.7056678114766466E-3</v>
      </c>
    </row>
    <row r="470" spans="1:3" x14ac:dyDescent="0.2">
      <c r="A470" s="3">
        <v>45369</v>
      </c>
      <c r="B470" s="2">
        <v>43.46</v>
      </c>
      <c r="C470" s="2">
        <f t="shared" si="7"/>
        <v>-1.371136654591348E-2</v>
      </c>
    </row>
    <row r="471" spans="1:3" x14ac:dyDescent="0.2">
      <c r="A471" s="3">
        <v>45366</v>
      </c>
      <c r="B471" s="2">
        <v>44.06</v>
      </c>
      <c r="C471" s="2">
        <f t="shared" si="7"/>
        <v>-2.2693747969854068E-4</v>
      </c>
    </row>
    <row r="472" spans="1:3" x14ac:dyDescent="0.2">
      <c r="A472" s="3">
        <v>45365</v>
      </c>
      <c r="B472" s="2">
        <v>44.07</v>
      </c>
      <c r="C472" s="2">
        <f t="shared" si="7"/>
        <v>-2.0401231149441267E-3</v>
      </c>
    </row>
    <row r="473" spans="1:3" x14ac:dyDescent="0.2">
      <c r="A473" s="3">
        <v>45364</v>
      </c>
      <c r="B473" s="2">
        <v>44.16</v>
      </c>
      <c r="C473" s="2">
        <f t="shared" si="7"/>
        <v>8.6423098741228964E-3</v>
      </c>
    </row>
    <row r="474" spans="1:3" x14ac:dyDescent="0.2">
      <c r="A474" s="3">
        <v>45363</v>
      </c>
      <c r="B474" s="2">
        <v>43.78</v>
      </c>
      <c r="C474" s="2">
        <f t="shared" si="7"/>
        <v>9.140768460951449E-4</v>
      </c>
    </row>
    <row r="475" spans="1:3" x14ac:dyDescent="0.2">
      <c r="A475" s="3">
        <v>45362</v>
      </c>
      <c r="B475" s="2">
        <v>43.74</v>
      </c>
      <c r="C475" s="2">
        <f t="shared" si="7"/>
        <v>-1.0461773835030736E-2</v>
      </c>
    </row>
    <row r="476" spans="1:3" x14ac:dyDescent="0.2">
      <c r="A476" s="3">
        <v>45359</v>
      </c>
      <c r="B476" s="2">
        <v>44.2</v>
      </c>
      <c r="C476" s="2">
        <f t="shared" si="7"/>
        <v>3.8535693159899723E-3</v>
      </c>
    </row>
    <row r="477" spans="1:3" x14ac:dyDescent="0.2">
      <c r="A477" s="3">
        <v>45358</v>
      </c>
      <c r="B477" s="2">
        <v>44.03</v>
      </c>
      <c r="C477" s="2">
        <f t="shared" si="7"/>
        <v>-1.1349450769965223E-3</v>
      </c>
    </row>
    <row r="478" spans="1:3" x14ac:dyDescent="0.2">
      <c r="A478" s="3">
        <v>45357</v>
      </c>
      <c r="B478" s="2">
        <v>44.08</v>
      </c>
      <c r="C478" s="2">
        <f t="shared" si="7"/>
        <v>1.5086000394513186E-2</v>
      </c>
    </row>
    <row r="479" spans="1:3" x14ac:dyDescent="0.2">
      <c r="A479" s="3">
        <v>45356</v>
      </c>
      <c r="B479" s="2">
        <v>43.42</v>
      </c>
      <c r="C479" s="2">
        <f t="shared" si="7"/>
        <v>-1.3042170910482556E-2</v>
      </c>
    </row>
    <row r="480" spans="1:3" x14ac:dyDescent="0.2">
      <c r="A480" s="3">
        <v>45355</v>
      </c>
      <c r="B480" s="2">
        <v>43.99</v>
      </c>
      <c r="C480" s="2">
        <f t="shared" si="7"/>
        <v>-1.3630170215600029E-3</v>
      </c>
    </row>
    <row r="481" spans="1:3" x14ac:dyDescent="0.2">
      <c r="A481" s="3">
        <v>45352</v>
      </c>
      <c r="B481" s="2">
        <v>44.05</v>
      </c>
      <c r="C481" s="2">
        <f t="shared" si="7"/>
        <v>4.322609392446399E-3</v>
      </c>
    </row>
    <row r="482" spans="1:3" x14ac:dyDescent="0.2">
      <c r="A482" s="3">
        <v>45351</v>
      </c>
      <c r="B482" s="2">
        <v>43.86</v>
      </c>
      <c r="C482" s="2">
        <f t="shared" si="7"/>
        <v>-1.6282584967980598E-2</v>
      </c>
    </row>
    <row r="483" spans="1:3" x14ac:dyDescent="0.2">
      <c r="A483" s="3">
        <v>45350</v>
      </c>
      <c r="B483" s="2">
        <v>44.58</v>
      </c>
      <c r="C483" s="2">
        <f t="shared" si="7"/>
        <v>2.2434099925819446E-4</v>
      </c>
    </row>
    <row r="484" spans="1:3" x14ac:dyDescent="0.2">
      <c r="A484" s="3">
        <v>45349</v>
      </c>
      <c r="B484" s="2">
        <v>44.57</v>
      </c>
      <c r="C484" s="2">
        <f t="shared" si="7"/>
        <v>-7.1540658353762875E-3</v>
      </c>
    </row>
    <row r="485" spans="1:3" x14ac:dyDescent="0.2">
      <c r="A485" s="3">
        <v>45348</v>
      </c>
      <c r="B485" s="2">
        <v>44.89</v>
      </c>
      <c r="C485" s="2">
        <f t="shared" si="7"/>
        <v>9.175402851513895E-3</v>
      </c>
    </row>
    <row r="486" spans="1:3" x14ac:dyDescent="0.2">
      <c r="A486" s="3">
        <v>45345</v>
      </c>
      <c r="B486" s="2">
        <v>44.48</v>
      </c>
      <c r="C486" s="2">
        <f t="shared" si="7"/>
        <v>-4.933851677196309E-3</v>
      </c>
    </row>
    <row r="487" spans="1:3" x14ac:dyDescent="0.2">
      <c r="A487" s="3">
        <v>45344</v>
      </c>
      <c r="B487" s="2">
        <v>44.7</v>
      </c>
      <c r="C487" s="2">
        <f t="shared" si="7"/>
        <v>6.2836831532417517E-3</v>
      </c>
    </row>
    <row r="488" spans="1:3" x14ac:dyDescent="0.2">
      <c r="A488" s="3">
        <v>45343</v>
      </c>
      <c r="B488" s="2">
        <v>44.42</v>
      </c>
      <c r="C488" s="2">
        <f t="shared" si="7"/>
        <v>1.748653618067033E-2</v>
      </c>
    </row>
    <row r="489" spans="1:3" x14ac:dyDescent="0.2">
      <c r="A489" s="3">
        <v>45342</v>
      </c>
      <c r="B489" s="2">
        <v>43.65</v>
      </c>
      <c r="C489" s="2">
        <f t="shared" si="7"/>
        <v>-7.9863516326499333E-3</v>
      </c>
    </row>
    <row r="490" spans="1:3" x14ac:dyDescent="0.2">
      <c r="A490" s="3">
        <v>45341</v>
      </c>
      <c r="B490" s="2">
        <v>44</v>
      </c>
      <c r="C490" s="2">
        <f t="shared" si="7"/>
        <v>1.3645669617971738E-3</v>
      </c>
    </row>
    <row r="491" spans="1:3" x14ac:dyDescent="0.2">
      <c r="A491" s="3">
        <v>45338</v>
      </c>
      <c r="B491" s="2">
        <v>43.94</v>
      </c>
      <c r="C491" s="2">
        <f t="shared" si="7"/>
        <v>4.5620517078423725E-3</v>
      </c>
    </row>
    <row r="492" spans="1:3" x14ac:dyDescent="0.2">
      <c r="A492" s="3">
        <v>45337</v>
      </c>
      <c r="B492" s="2">
        <v>43.74</v>
      </c>
      <c r="C492" s="2">
        <f t="shared" si="7"/>
        <v>-3.9009653633713434E-2</v>
      </c>
    </row>
    <row r="493" spans="1:3" x14ac:dyDescent="0.2">
      <c r="A493" s="3">
        <v>45336</v>
      </c>
      <c r="B493" s="2">
        <v>45.48</v>
      </c>
      <c r="C493" s="2">
        <f t="shared" si="7"/>
        <v>5.1895243795673958E-2</v>
      </c>
    </row>
    <row r="494" spans="1:3" x14ac:dyDescent="0.2">
      <c r="A494" s="3">
        <v>45335</v>
      </c>
      <c r="B494" s="2">
        <v>43.18</v>
      </c>
      <c r="C494" s="2">
        <f t="shared" si="7"/>
        <v>-1.2885590161960565E-2</v>
      </c>
    </row>
    <row r="495" spans="1:3" x14ac:dyDescent="0.2">
      <c r="A495" s="3">
        <v>45334</v>
      </c>
      <c r="B495" s="2">
        <v>43.74</v>
      </c>
      <c r="C495" s="2">
        <f t="shared" si="7"/>
        <v>1.7528124034257544E-2</v>
      </c>
    </row>
    <row r="496" spans="1:3" x14ac:dyDescent="0.2">
      <c r="A496" s="3">
        <v>45331</v>
      </c>
      <c r="B496" s="2">
        <v>42.98</v>
      </c>
      <c r="C496" s="2">
        <f t="shared" si="7"/>
        <v>1.7604022268512175E-2</v>
      </c>
    </row>
    <row r="497" spans="1:3" x14ac:dyDescent="0.2">
      <c r="A497" s="3">
        <v>45330</v>
      </c>
      <c r="B497" s="2">
        <v>42.23</v>
      </c>
      <c r="C497" s="2">
        <f t="shared" si="7"/>
        <v>-9.4273618312669342E-3</v>
      </c>
    </row>
    <row r="498" spans="1:3" x14ac:dyDescent="0.2">
      <c r="A498" s="3">
        <v>45329</v>
      </c>
      <c r="B498" s="2">
        <v>42.63</v>
      </c>
      <c r="C498" s="2">
        <f t="shared" si="7"/>
        <v>-2.7532103390201467E-2</v>
      </c>
    </row>
    <row r="499" spans="1:3" x14ac:dyDescent="0.2">
      <c r="A499" s="3">
        <v>45328</v>
      </c>
      <c r="B499" s="2">
        <v>43.82</v>
      </c>
      <c r="C499" s="2">
        <f t="shared" si="7"/>
        <v>-7.1757948224755425E-2</v>
      </c>
    </row>
    <row r="500" spans="1:3" x14ac:dyDescent="0.2">
      <c r="A500" s="3">
        <v>45327</v>
      </c>
      <c r="B500" s="2">
        <v>47.08</v>
      </c>
      <c r="C500" s="2">
        <f t="shared" si="7"/>
        <v>-1.4340186692270723E-2</v>
      </c>
    </row>
    <row r="501" spans="1:3" x14ac:dyDescent="0.2">
      <c r="A501" s="3">
        <v>45324</v>
      </c>
      <c r="B501" s="2">
        <v>47.76</v>
      </c>
      <c r="C501" s="2">
        <f t="shared" si="7"/>
        <v>1.0312624279201571E-2</v>
      </c>
    </row>
    <row r="502" spans="1:3" x14ac:dyDescent="0.2">
      <c r="A502" s="3">
        <v>45323</v>
      </c>
      <c r="B502" s="2">
        <v>47.27</v>
      </c>
      <c r="C502" s="2">
        <f t="shared" si="7"/>
        <v>2.6365260951463233E-2</v>
      </c>
    </row>
    <row r="503" spans="1:3" x14ac:dyDescent="0.2">
      <c r="A503" s="3">
        <v>45322</v>
      </c>
      <c r="B503" s="2">
        <v>46.04</v>
      </c>
      <c r="C503" s="2">
        <f t="shared" si="7"/>
        <v>-5.4153711894972621E-3</v>
      </c>
    </row>
    <row r="504" spans="1:3" x14ac:dyDescent="0.2">
      <c r="A504" s="3">
        <v>45321</v>
      </c>
      <c r="B504" s="2">
        <v>46.29</v>
      </c>
      <c r="C504" s="2">
        <f t="shared" si="7"/>
        <v>2.1626306006651479E-3</v>
      </c>
    </row>
    <row r="505" spans="1:3" x14ac:dyDescent="0.2">
      <c r="A505" s="3">
        <v>45320</v>
      </c>
      <c r="B505" s="2">
        <v>46.19</v>
      </c>
      <c r="C505" s="2">
        <f t="shared" si="7"/>
        <v>-2.5014666133236219E-2</v>
      </c>
    </row>
    <row r="506" spans="1:3" x14ac:dyDescent="0.2">
      <c r="A506" s="3">
        <v>45317</v>
      </c>
      <c r="B506" s="2">
        <v>47.36</v>
      </c>
      <c r="C506" s="2">
        <f t="shared" si="7"/>
        <v>1.5105063282397465E-2</v>
      </c>
    </row>
    <row r="507" spans="1:3" x14ac:dyDescent="0.2">
      <c r="A507" s="3">
        <v>45316</v>
      </c>
      <c r="B507" s="2">
        <v>46.65</v>
      </c>
      <c r="C507" s="2">
        <f t="shared" si="7"/>
        <v>8.8277029292307581E-3</v>
      </c>
    </row>
    <row r="508" spans="1:3" x14ac:dyDescent="0.2">
      <c r="A508" s="3">
        <v>45315</v>
      </c>
      <c r="B508" s="2">
        <v>46.24</v>
      </c>
      <c r="C508" s="2">
        <f t="shared" si="7"/>
        <v>1.1965768788941922E-2</v>
      </c>
    </row>
    <row r="509" spans="1:3" x14ac:dyDescent="0.2">
      <c r="A509" s="3">
        <v>45314</v>
      </c>
      <c r="B509" s="2">
        <v>45.69</v>
      </c>
      <c r="C509" s="2">
        <f t="shared" si="7"/>
        <v>-4.3763676847297762E-4</v>
      </c>
    </row>
    <row r="510" spans="1:3" x14ac:dyDescent="0.2">
      <c r="A510" s="3">
        <v>45313</v>
      </c>
      <c r="B510" s="2">
        <v>45.71</v>
      </c>
      <c r="C510" s="2">
        <f t="shared" si="7"/>
        <v>6.584747233793228E-3</v>
      </c>
    </row>
    <row r="511" spans="1:3" x14ac:dyDescent="0.2">
      <c r="A511" s="3">
        <v>45310</v>
      </c>
      <c r="B511" s="2">
        <v>45.41</v>
      </c>
      <c r="C511" s="2">
        <f t="shared" si="7"/>
        <v>-1.9841488154880155E-2</v>
      </c>
    </row>
    <row r="512" spans="1:3" x14ac:dyDescent="0.2">
      <c r="A512" s="3">
        <v>45309</v>
      </c>
      <c r="B512" s="2">
        <v>46.32</v>
      </c>
      <c r="C512" s="2">
        <f t="shared" si="7"/>
        <v>2.1604768311981923E-2</v>
      </c>
    </row>
    <row r="513" spans="1:3" x14ac:dyDescent="0.2">
      <c r="A513" s="3">
        <v>45308</v>
      </c>
      <c r="B513" s="2">
        <v>45.33</v>
      </c>
      <c r="C513" s="2">
        <f t="shared" si="7"/>
        <v>-3.0837028841613034E-3</v>
      </c>
    </row>
    <row r="514" spans="1:3" x14ac:dyDescent="0.2">
      <c r="A514" s="3">
        <v>45307</v>
      </c>
      <c r="B514" s="2">
        <v>45.47</v>
      </c>
      <c r="C514" s="2">
        <f t="shared" si="7"/>
        <v>-1.959993056645026E-2</v>
      </c>
    </row>
    <row r="515" spans="1:3" x14ac:dyDescent="0.2">
      <c r="A515" s="3">
        <v>45306</v>
      </c>
      <c r="B515" s="2">
        <v>46.37</v>
      </c>
      <c r="C515" s="2">
        <f t="shared" ref="C515:C578" si="8">+LN(B515/B516)</f>
        <v>-1.5407965852093912E-2</v>
      </c>
    </row>
    <row r="516" spans="1:3" x14ac:dyDescent="0.2">
      <c r="A516" s="3">
        <v>45303</v>
      </c>
      <c r="B516" s="2">
        <v>47.09</v>
      </c>
      <c r="C516" s="2">
        <f t="shared" si="8"/>
        <v>1.9513860329114001E-2</v>
      </c>
    </row>
    <row r="517" spans="1:3" x14ac:dyDescent="0.2">
      <c r="A517" s="3">
        <v>45302</v>
      </c>
      <c r="B517" s="2">
        <v>46.18</v>
      </c>
      <c r="C517" s="2">
        <f t="shared" si="8"/>
        <v>-5.1835969199417265E-3</v>
      </c>
    </row>
    <row r="518" spans="1:3" x14ac:dyDescent="0.2">
      <c r="A518" s="3">
        <v>45301</v>
      </c>
      <c r="B518" s="2">
        <v>46.42</v>
      </c>
      <c r="C518" s="2">
        <f t="shared" si="8"/>
        <v>8.002638144975309E-3</v>
      </c>
    </row>
    <row r="519" spans="1:3" x14ac:dyDescent="0.2">
      <c r="A519" s="3">
        <v>45300</v>
      </c>
      <c r="B519" s="2">
        <v>46.05</v>
      </c>
      <c r="C519" s="2">
        <f t="shared" si="8"/>
        <v>-1.3020835172984134E-3</v>
      </c>
    </row>
    <row r="520" spans="1:3" x14ac:dyDescent="0.2">
      <c r="A520" s="3">
        <v>45299</v>
      </c>
      <c r="B520" s="2">
        <v>46.11</v>
      </c>
      <c r="C520" s="2">
        <f t="shared" si="8"/>
        <v>7.8380544970839423E-3</v>
      </c>
    </row>
    <row r="521" spans="1:3" x14ac:dyDescent="0.2">
      <c r="A521" s="3">
        <v>45296</v>
      </c>
      <c r="B521" s="2">
        <v>45.75</v>
      </c>
      <c r="C521" s="2">
        <f t="shared" si="8"/>
        <v>5.0400019034547898E-3</v>
      </c>
    </row>
    <row r="522" spans="1:3" x14ac:dyDescent="0.2">
      <c r="A522" s="3">
        <v>45295</v>
      </c>
      <c r="B522" s="2">
        <v>45.52</v>
      </c>
      <c r="C522" s="2">
        <f t="shared" si="8"/>
        <v>3.5211303985789606E-3</v>
      </c>
    </row>
    <row r="523" spans="1:3" x14ac:dyDescent="0.2">
      <c r="A523" s="3">
        <v>45294</v>
      </c>
      <c r="B523" s="2">
        <v>45.36</v>
      </c>
      <c r="C523" s="2">
        <f t="shared" si="8"/>
        <v>-3.2747152515118061E-2</v>
      </c>
    </row>
    <row r="524" spans="1:3" x14ac:dyDescent="0.2">
      <c r="A524" s="3">
        <v>45289</v>
      </c>
      <c r="B524" s="2">
        <v>46.87</v>
      </c>
      <c r="C524" s="2">
        <f t="shared" si="8"/>
        <v>8.5378873916441345E-4</v>
      </c>
    </row>
    <row r="525" spans="1:3" x14ac:dyDescent="0.2">
      <c r="A525" s="3">
        <v>45288</v>
      </c>
      <c r="B525" s="2">
        <v>46.83</v>
      </c>
      <c r="C525" s="2">
        <f t="shared" si="8"/>
        <v>-4.2616727615063365E-3</v>
      </c>
    </row>
    <row r="526" spans="1:3" x14ac:dyDescent="0.2">
      <c r="A526" s="3">
        <v>45287</v>
      </c>
      <c r="B526" s="2">
        <v>47.03</v>
      </c>
      <c r="C526" s="2">
        <f t="shared" si="8"/>
        <v>2.9812628554616145E-3</v>
      </c>
    </row>
    <row r="527" spans="1:3" x14ac:dyDescent="0.2">
      <c r="A527" s="3">
        <v>45282</v>
      </c>
      <c r="B527" s="2">
        <v>46.89</v>
      </c>
      <c r="C527" s="2">
        <f t="shared" si="8"/>
        <v>1.0668943719783586E-3</v>
      </c>
    </row>
    <row r="528" spans="1:3" x14ac:dyDescent="0.2">
      <c r="A528" s="3">
        <v>45281</v>
      </c>
      <c r="B528" s="2">
        <v>46.84</v>
      </c>
      <c r="C528" s="2">
        <f t="shared" si="8"/>
        <v>-1.4933336108499679E-3</v>
      </c>
    </row>
    <row r="529" spans="1:3" x14ac:dyDescent="0.2">
      <c r="A529" s="3">
        <v>45280</v>
      </c>
      <c r="B529" s="2">
        <v>46.91</v>
      </c>
      <c r="C529" s="2">
        <f t="shared" si="8"/>
        <v>4.700863357520923E-3</v>
      </c>
    </row>
    <row r="530" spans="1:3" x14ac:dyDescent="0.2">
      <c r="A530" s="3">
        <v>45279</v>
      </c>
      <c r="B530" s="2">
        <v>46.69</v>
      </c>
      <c r="C530" s="2">
        <f t="shared" si="8"/>
        <v>8.6040539396665273E-3</v>
      </c>
    </row>
    <row r="531" spans="1:3" x14ac:dyDescent="0.2">
      <c r="A531" s="3">
        <v>45278</v>
      </c>
      <c r="B531" s="2">
        <v>46.29</v>
      </c>
      <c r="C531" s="2">
        <f t="shared" si="8"/>
        <v>-9.4604016691556218E-3</v>
      </c>
    </row>
    <row r="532" spans="1:3" x14ac:dyDescent="0.2">
      <c r="A532" s="3">
        <v>45275</v>
      </c>
      <c r="B532" s="2">
        <v>46.73</v>
      </c>
      <c r="C532" s="2">
        <f t="shared" si="8"/>
        <v>-5.1227433265690044E-3</v>
      </c>
    </row>
    <row r="533" spans="1:3" x14ac:dyDescent="0.2">
      <c r="A533" s="3">
        <v>45274</v>
      </c>
      <c r="B533" s="2">
        <v>46.97</v>
      </c>
      <c r="C533" s="2">
        <f t="shared" si="8"/>
        <v>4.3291153507734235E-2</v>
      </c>
    </row>
    <row r="534" spans="1:3" x14ac:dyDescent="0.2">
      <c r="A534" s="3">
        <v>45273</v>
      </c>
      <c r="B534" s="2">
        <v>44.98</v>
      </c>
      <c r="C534" s="2">
        <f t="shared" si="8"/>
        <v>4.6796742782953425E-3</v>
      </c>
    </row>
    <row r="535" spans="1:3" x14ac:dyDescent="0.2">
      <c r="A535" s="3">
        <v>45272</v>
      </c>
      <c r="B535" s="2">
        <v>44.77</v>
      </c>
      <c r="C535" s="2">
        <f t="shared" si="8"/>
        <v>-6.4566627512241395E-3</v>
      </c>
    </row>
    <row r="536" spans="1:3" x14ac:dyDescent="0.2">
      <c r="A536" s="3">
        <v>45271</v>
      </c>
      <c r="B536" s="2">
        <v>45.06</v>
      </c>
      <c r="C536" s="2">
        <f t="shared" si="8"/>
        <v>1.1382781087280207E-2</v>
      </c>
    </row>
    <row r="537" spans="1:3" x14ac:dyDescent="0.2">
      <c r="A537" s="3">
        <v>45268</v>
      </c>
      <c r="B537" s="2">
        <v>44.55</v>
      </c>
      <c r="C537" s="2">
        <f t="shared" si="8"/>
        <v>9.2457530882278233E-3</v>
      </c>
    </row>
    <row r="538" spans="1:3" x14ac:dyDescent="0.2">
      <c r="A538" s="3">
        <v>45267</v>
      </c>
      <c r="B538" s="2">
        <v>44.14</v>
      </c>
      <c r="C538" s="2">
        <f t="shared" si="8"/>
        <v>6.3636578388481775E-3</v>
      </c>
    </row>
    <row r="539" spans="1:3" x14ac:dyDescent="0.2">
      <c r="A539" s="3">
        <v>45266</v>
      </c>
      <c r="B539" s="2">
        <v>43.86</v>
      </c>
      <c r="C539" s="2">
        <f t="shared" si="8"/>
        <v>4.0955002301406411E-2</v>
      </c>
    </row>
    <row r="540" spans="1:3" x14ac:dyDescent="0.2">
      <c r="A540" s="3">
        <v>45265</v>
      </c>
      <c r="B540" s="2">
        <v>42.1</v>
      </c>
      <c r="C540" s="2">
        <f t="shared" si="8"/>
        <v>4.2847006755489274E-3</v>
      </c>
    </row>
    <row r="541" spans="1:3" x14ac:dyDescent="0.2">
      <c r="A541" s="3">
        <v>45264</v>
      </c>
      <c r="B541" s="2">
        <v>41.92</v>
      </c>
      <c r="C541" s="2">
        <f t="shared" si="8"/>
        <v>-2.3574877749710996E-2</v>
      </c>
    </row>
    <row r="542" spans="1:3" x14ac:dyDescent="0.2">
      <c r="A542" s="3">
        <v>45261</v>
      </c>
      <c r="B542" s="2">
        <v>42.92</v>
      </c>
      <c r="C542" s="2">
        <f t="shared" si="8"/>
        <v>5.1389975279187254E-3</v>
      </c>
    </row>
    <row r="543" spans="1:3" x14ac:dyDescent="0.2">
      <c r="A543" s="3">
        <v>45260</v>
      </c>
      <c r="B543" s="2">
        <v>42.7</v>
      </c>
      <c r="C543" s="2">
        <f t="shared" si="8"/>
        <v>3.9892109690366556E-3</v>
      </c>
    </row>
    <row r="544" spans="1:3" x14ac:dyDescent="0.2">
      <c r="A544" s="3">
        <v>45259</v>
      </c>
      <c r="B544" s="2">
        <v>42.53</v>
      </c>
      <c r="C544" s="2">
        <f t="shared" si="8"/>
        <v>2.042826383118003E-2</v>
      </c>
    </row>
    <row r="545" spans="1:3" x14ac:dyDescent="0.2">
      <c r="A545" s="3">
        <v>45258</v>
      </c>
      <c r="B545" s="2">
        <v>41.67</v>
      </c>
      <c r="C545" s="2">
        <f t="shared" si="8"/>
        <v>-6.4585800394117085E-3</v>
      </c>
    </row>
    <row r="546" spans="1:3" x14ac:dyDescent="0.2">
      <c r="A546" s="3">
        <v>45257</v>
      </c>
      <c r="B546" s="2">
        <v>41.94</v>
      </c>
      <c r="C546" s="2">
        <f t="shared" si="8"/>
        <v>-1.3734527999973439E-2</v>
      </c>
    </row>
    <row r="547" spans="1:3" x14ac:dyDescent="0.2">
      <c r="A547" s="3">
        <v>45254</v>
      </c>
      <c r="B547" s="2">
        <v>42.52</v>
      </c>
      <c r="C547" s="2">
        <f t="shared" si="8"/>
        <v>3.0620681092013657E-3</v>
      </c>
    </row>
    <row r="548" spans="1:3" x14ac:dyDescent="0.2">
      <c r="A548" s="3">
        <v>45253</v>
      </c>
      <c r="B548" s="2">
        <v>42.39</v>
      </c>
      <c r="C548" s="2">
        <f t="shared" si="8"/>
        <v>-2.5915905658254038E-3</v>
      </c>
    </row>
    <row r="549" spans="1:3" x14ac:dyDescent="0.2">
      <c r="A549" s="3">
        <v>45252</v>
      </c>
      <c r="B549" s="2">
        <v>42.5</v>
      </c>
      <c r="C549" s="2">
        <f t="shared" si="8"/>
        <v>1.589029047626421E-2</v>
      </c>
    </row>
    <row r="550" spans="1:3" x14ac:dyDescent="0.2">
      <c r="A550" s="3">
        <v>45251</v>
      </c>
      <c r="B550" s="2">
        <v>41.83</v>
      </c>
      <c r="C550" s="2">
        <f t="shared" si="8"/>
        <v>-2.409185958968179E-2</v>
      </c>
    </row>
    <row r="551" spans="1:3" x14ac:dyDescent="0.2">
      <c r="A551" s="3">
        <v>45250</v>
      </c>
      <c r="B551" s="2">
        <v>42.85</v>
      </c>
      <c r="C551" s="2">
        <f t="shared" si="8"/>
        <v>1.433800564578273E-2</v>
      </c>
    </row>
    <row r="552" spans="1:3" x14ac:dyDescent="0.2">
      <c r="A552" s="3">
        <v>45247</v>
      </c>
      <c r="B552" s="2">
        <v>42.24</v>
      </c>
      <c r="C552" s="2">
        <f t="shared" si="8"/>
        <v>-2.1314778131430786E-2</v>
      </c>
    </row>
    <row r="553" spans="1:3" x14ac:dyDescent="0.2">
      <c r="A553" s="3">
        <v>45246</v>
      </c>
      <c r="B553" s="2">
        <v>43.15</v>
      </c>
      <c r="C553" s="2">
        <f t="shared" si="8"/>
        <v>-1.8142649427027206E-2</v>
      </c>
    </row>
    <row r="554" spans="1:3" x14ac:dyDescent="0.2">
      <c r="A554" s="3">
        <v>45244</v>
      </c>
      <c r="B554" s="2">
        <v>43.94</v>
      </c>
      <c r="C554" s="2">
        <f t="shared" si="8"/>
        <v>3.2850513482716767E-2</v>
      </c>
    </row>
    <row r="555" spans="1:3" x14ac:dyDescent="0.2">
      <c r="A555" s="3">
        <v>45243</v>
      </c>
      <c r="B555" s="2">
        <v>42.52</v>
      </c>
      <c r="C555" s="2">
        <f t="shared" si="8"/>
        <v>1.8275102176882819E-2</v>
      </c>
    </row>
    <row r="556" spans="1:3" x14ac:dyDescent="0.2">
      <c r="A556" s="3">
        <v>45240</v>
      </c>
      <c r="B556" s="2">
        <v>41.75</v>
      </c>
      <c r="C556" s="2">
        <f t="shared" si="8"/>
        <v>-5.2556260486349938E-3</v>
      </c>
    </row>
    <row r="557" spans="1:3" x14ac:dyDescent="0.2">
      <c r="A557" s="3">
        <v>45239</v>
      </c>
      <c r="B557" s="2">
        <v>41.97</v>
      </c>
      <c r="C557" s="2">
        <f t="shared" si="8"/>
        <v>1.7546418196740327E-2</v>
      </c>
    </row>
    <row r="558" spans="1:3" x14ac:dyDescent="0.2">
      <c r="A558" s="3">
        <v>45238</v>
      </c>
      <c r="B558" s="2">
        <v>41.24</v>
      </c>
      <c r="C558" s="2">
        <f t="shared" si="8"/>
        <v>8.2785961000032514E-3</v>
      </c>
    </row>
    <row r="559" spans="1:3" x14ac:dyDescent="0.2">
      <c r="A559" s="3">
        <v>45237</v>
      </c>
      <c r="B559" s="2">
        <v>40.9</v>
      </c>
      <c r="C559" s="2">
        <f t="shared" si="8"/>
        <v>9.7847365928014404E-4</v>
      </c>
    </row>
    <row r="560" spans="1:3" x14ac:dyDescent="0.2">
      <c r="A560" s="3">
        <v>45236</v>
      </c>
      <c r="B560" s="2">
        <v>40.86</v>
      </c>
      <c r="C560" s="2">
        <f t="shared" si="8"/>
        <v>-5.1263385789912571E-3</v>
      </c>
    </row>
    <row r="561" spans="1:3" x14ac:dyDescent="0.2">
      <c r="A561" s="3">
        <v>45233</v>
      </c>
      <c r="B561" s="2">
        <v>41.07</v>
      </c>
      <c r="C561" s="2">
        <f t="shared" si="8"/>
        <v>2.0664942006770527E-2</v>
      </c>
    </row>
    <row r="562" spans="1:3" x14ac:dyDescent="0.2">
      <c r="A562" s="3">
        <v>45232</v>
      </c>
      <c r="B562" s="2">
        <v>40.229999999999997</v>
      </c>
      <c r="C562" s="2">
        <f t="shared" si="8"/>
        <v>2.3134046527927696E-2</v>
      </c>
    </row>
    <row r="563" spans="1:3" x14ac:dyDescent="0.2">
      <c r="A563" s="3">
        <v>45231</v>
      </c>
      <c r="B563" s="2">
        <v>39.31</v>
      </c>
      <c r="C563" s="2">
        <f t="shared" si="8"/>
        <v>-2.2868768701190564E-3</v>
      </c>
    </row>
    <row r="564" spans="1:3" x14ac:dyDescent="0.2">
      <c r="A564" s="3">
        <v>45230</v>
      </c>
      <c r="B564" s="2">
        <v>39.4</v>
      </c>
      <c r="C564" s="2">
        <f t="shared" si="8"/>
        <v>1.5603334852012367E-2</v>
      </c>
    </row>
    <row r="565" spans="1:3" x14ac:dyDescent="0.2">
      <c r="A565" s="3">
        <v>45229</v>
      </c>
      <c r="B565" s="2">
        <v>38.79</v>
      </c>
      <c r="C565" s="2">
        <f t="shared" si="8"/>
        <v>-7.9599855394443444E-3</v>
      </c>
    </row>
    <row r="566" spans="1:3" x14ac:dyDescent="0.2">
      <c r="A566" s="3">
        <v>45226</v>
      </c>
      <c r="B566" s="2">
        <v>39.1</v>
      </c>
      <c r="C566" s="2">
        <f t="shared" si="8"/>
        <v>-1.5984102835187353E-2</v>
      </c>
    </row>
    <row r="567" spans="1:3" x14ac:dyDescent="0.2">
      <c r="A567" s="3">
        <v>45225</v>
      </c>
      <c r="B567" s="2">
        <v>39.729999999999997</v>
      </c>
      <c r="C567" s="2">
        <f t="shared" si="8"/>
        <v>-3.7683752671301739E-3</v>
      </c>
    </row>
    <row r="568" spans="1:3" x14ac:dyDescent="0.2">
      <c r="A568" s="3">
        <v>45224</v>
      </c>
      <c r="B568" s="2">
        <v>39.880000000000003</v>
      </c>
      <c r="C568" s="2">
        <f t="shared" si="8"/>
        <v>-8.2407758155450574E-3</v>
      </c>
    </row>
    <row r="569" spans="1:3" x14ac:dyDescent="0.2">
      <c r="A569" s="3">
        <v>45223</v>
      </c>
      <c r="B569" s="2">
        <v>40.21</v>
      </c>
      <c r="C569" s="2">
        <f t="shared" si="8"/>
        <v>-2.4866343532328891E-4</v>
      </c>
    </row>
    <row r="570" spans="1:3" x14ac:dyDescent="0.2">
      <c r="A570" s="3">
        <v>45222</v>
      </c>
      <c r="B570" s="2">
        <v>40.22</v>
      </c>
      <c r="C570" s="2">
        <f t="shared" si="8"/>
        <v>1.7304507035911725E-2</v>
      </c>
    </row>
    <row r="571" spans="1:3" x14ac:dyDescent="0.2">
      <c r="A571" s="3">
        <v>45219</v>
      </c>
      <c r="B571" s="2">
        <v>39.53</v>
      </c>
      <c r="C571" s="2">
        <f t="shared" si="8"/>
        <v>-2.6708189299092844E-2</v>
      </c>
    </row>
    <row r="572" spans="1:3" x14ac:dyDescent="0.2">
      <c r="A572" s="3">
        <v>45218</v>
      </c>
      <c r="B572" s="2">
        <v>40.6</v>
      </c>
      <c r="C572" s="2">
        <f t="shared" si="8"/>
        <v>2.2192093930877665E-3</v>
      </c>
    </row>
    <row r="573" spans="1:3" x14ac:dyDescent="0.2">
      <c r="A573" s="3">
        <v>45217</v>
      </c>
      <c r="B573" s="2">
        <v>40.51</v>
      </c>
      <c r="C573" s="2">
        <f t="shared" si="8"/>
        <v>-3.9685827233265282E-2</v>
      </c>
    </row>
    <row r="574" spans="1:3" x14ac:dyDescent="0.2">
      <c r="A574" s="3">
        <v>45216</v>
      </c>
      <c r="B574" s="2">
        <v>42.15</v>
      </c>
      <c r="C574" s="2">
        <f t="shared" si="8"/>
        <v>-1.0854283063956234E-2</v>
      </c>
    </row>
    <row r="575" spans="1:3" x14ac:dyDescent="0.2">
      <c r="A575" s="3">
        <v>45215</v>
      </c>
      <c r="B575" s="2">
        <v>42.61</v>
      </c>
      <c r="C575" s="2">
        <f t="shared" si="8"/>
        <v>5.4124146716675548E-3</v>
      </c>
    </row>
    <row r="576" spans="1:3" x14ac:dyDescent="0.2">
      <c r="A576" s="3">
        <v>45212</v>
      </c>
      <c r="B576" s="2">
        <v>42.38</v>
      </c>
      <c r="C576" s="2">
        <f t="shared" si="8"/>
        <v>-2.6544049707534222E-2</v>
      </c>
    </row>
    <row r="577" spans="1:3" x14ac:dyDescent="0.2">
      <c r="A577" s="3">
        <v>45211</v>
      </c>
      <c r="B577" s="2">
        <v>43.52</v>
      </c>
      <c r="C577" s="2">
        <f t="shared" si="8"/>
        <v>6.2233691697990215E-3</v>
      </c>
    </row>
    <row r="578" spans="1:3" x14ac:dyDescent="0.2">
      <c r="A578" s="3">
        <v>45210</v>
      </c>
      <c r="B578" s="2">
        <v>43.25</v>
      </c>
      <c r="C578" s="2">
        <f t="shared" si="8"/>
        <v>-1.6171887549015743E-3</v>
      </c>
    </row>
    <row r="579" spans="1:3" x14ac:dyDescent="0.2">
      <c r="A579" s="3">
        <v>45209</v>
      </c>
      <c r="B579" s="2">
        <v>43.32</v>
      </c>
      <c r="C579" s="2">
        <f t="shared" ref="C579:C642" si="9">+LN(B579/B580)</f>
        <v>3.6196666004370152E-2</v>
      </c>
    </row>
    <row r="580" spans="1:3" x14ac:dyDescent="0.2">
      <c r="A580" s="3">
        <v>45208</v>
      </c>
      <c r="B580" s="2">
        <v>41.78</v>
      </c>
      <c r="C580" s="2">
        <f t="shared" si="9"/>
        <v>-2.6920161634077958E-2</v>
      </c>
    </row>
    <row r="581" spans="1:3" x14ac:dyDescent="0.2">
      <c r="A581" s="3">
        <v>45205</v>
      </c>
      <c r="B581" s="2">
        <v>42.92</v>
      </c>
      <c r="C581" s="2">
        <f t="shared" si="9"/>
        <v>2.5007200744644187E-2</v>
      </c>
    </row>
    <row r="582" spans="1:3" x14ac:dyDescent="0.2">
      <c r="A582" s="3">
        <v>45204</v>
      </c>
      <c r="B582" s="2">
        <v>41.86</v>
      </c>
      <c r="C582" s="2">
        <f t="shared" si="9"/>
        <v>3.1104224143925518E-3</v>
      </c>
    </row>
    <row r="583" spans="1:3" x14ac:dyDescent="0.2">
      <c r="A583" s="3">
        <v>45203</v>
      </c>
      <c r="B583" s="2">
        <v>41.73</v>
      </c>
      <c r="C583" s="2">
        <f t="shared" si="9"/>
        <v>-1.4275759929371128E-2</v>
      </c>
    </row>
    <row r="584" spans="1:3" x14ac:dyDescent="0.2">
      <c r="A584" s="3">
        <v>45202</v>
      </c>
      <c r="B584" s="2">
        <v>42.33</v>
      </c>
      <c r="C584" s="2">
        <f t="shared" si="9"/>
        <v>-1.5936592262812639E-2</v>
      </c>
    </row>
    <row r="585" spans="1:3" x14ac:dyDescent="0.2">
      <c r="A585" s="3">
        <v>45201</v>
      </c>
      <c r="B585" s="2">
        <v>43.01</v>
      </c>
      <c r="C585" s="2">
        <f t="shared" si="9"/>
        <v>-1.1098379813902158E-2</v>
      </c>
    </row>
    <row r="586" spans="1:3" x14ac:dyDescent="0.2">
      <c r="A586" s="3">
        <v>45198</v>
      </c>
      <c r="B586" s="2">
        <v>43.49</v>
      </c>
      <c r="C586" s="2">
        <f t="shared" si="9"/>
        <v>1.0633479759038863E-2</v>
      </c>
    </row>
    <row r="587" spans="1:3" x14ac:dyDescent="0.2">
      <c r="A587" s="3">
        <v>45197</v>
      </c>
      <c r="B587" s="2">
        <v>43.03</v>
      </c>
      <c r="C587" s="2">
        <f t="shared" si="9"/>
        <v>7.4644619971332383E-3</v>
      </c>
    </row>
    <row r="588" spans="1:3" x14ac:dyDescent="0.2">
      <c r="A588" s="3">
        <v>45196</v>
      </c>
      <c r="B588" s="2">
        <v>42.71</v>
      </c>
      <c r="C588" s="2">
        <f t="shared" si="9"/>
        <v>8.4646637553116317E-3</v>
      </c>
    </row>
    <row r="589" spans="1:3" x14ac:dyDescent="0.2">
      <c r="A589" s="3">
        <v>45195</v>
      </c>
      <c r="B589" s="2">
        <v>42.35</v>
      </c>
      <c r="C589" s="2">
        <f t="shared" si="9"/>
        <v>-2.0334929980676434E-2</v>
      </c>
    </row>
    <row r="590" spans="1:3" x14ac:dyDescent="0.2">
      <c r="A590" s="3">
        <v>45194</v>
      </c>
      <c r="B590" s="2">
        <v>43.22</v>
      </c>
      <c r="C590" s="2">
        <f t="shared" si="9"/>
        <v>-5.3075006326611671E-3</v>
      </c>
    </row>
    <row r="591" spans="1:3" x14ac:dyDescent="0.2">
      <c r="A591" s="3">
        <v>45191</v>
      </c>
      <c r="B591" s="2">
        <v>43.45</v>
      </c>
      <c r="C591" s="2">
        <f t="shared" si="9"/>
        <v>-3.6756301432739448E-3</v>
      </c>
    </row>
    <row r="592" spans="1:3" x14ac:dyDescent="0.2">
      <c r="A592" s="3">
        <v>45190</v>
      </c>
      <c r="B592" s="2">
        <v>43.61</v>
      </c>
      <c r="C592" s="2">
        <f t="shared" si="9"/>
        <v>-4.3524141851292185E-2</v>
      </c>
    </row>
    <row r="593" spans="1:3" x14ac:dyDescent="0.2">
      <c r="A593" s="3">
        <v>45189</v>
      </c>
      <c r="B593" s="2">
        <v>45.55</v>
      </c>
      <c r="C593" s="2">
        <f t="shared" si="9"/>
        <v>2.4670658934538084E-2</v>
      </c>
    </row>
    <row r="594" spans="1:3" x14ac:dyDescent="0.2">
      <c r="A594" s="3">
        <v>45188</v>
      </c>
      <c r="B594" s="2">
        <v>44.44</v>
      </c>
      <c r="C594" s="2">
        <f t="shared" si="9"/>
        <v>-7.3983074814450364E-3</v>
      </c>
    </row>
    <row r="595" spans="1:3" x14ac:dyDescent="0.2">
      <c r="A595" s="3">
        <v>45187</v>
      </c>
      <c r="B595" s="2">
        <v>44.77</v>
      </c>
      <c r="C595" s="2">
        <f t="shared" si="9"/>
        <v>-9.1162387869830001E-3</v>
      </c>
    </row>
    <row r="596" spans="1:3" x14ac:dyDescent="0.2">
      <c r="A596" s="3">
        <v>45184</v>
      </c>
      <c r="B596" s="2">
        <v>45.18</v>
      </c>
      <c r="C596" s="2">
        <f t="shared" si="9"/>
        <v>3.7698237350160166E-3</v>
      </c>
    </row>
    <row r="597" spans="1:3" x14ac:dyDescent="0.2">
      <c r="A597" s="3">
        <v>45183</v>
      </c>
      <c r="B597" s="2">
        <v>45.01</v>
      </c>
      <c r="C597" s="2">
        <f t="shared" si="9"/>
        <v>2.2695053386580157E-2</v>
      </c>
    </row>
    <row r="598" spans="1:3" x14ac:dyDescent="0.2">
      <c r="A598" s="3">
        <v>45182</v>
      </c>
      <c r="B598" s="2">
        <v>44</v>
      </c>
      <c r="C598" s="2">
        <f t="shared" si="9"/>
        <v>-2.2695053386580077E-2</v>
      </c>
    </row>
    <row r="599" spans="1:3" x14ac:dyDescent="0.2">
      <c r="A599" s="3">
        <v>45181</v>
      </c>
      <c r="B599" s="2">
        <v>45.01</v>
      </c>
      <c r="C599" s="2">
        <f t="shared" si="9"/>
        <v>-9.948131119555885E-3</v>
      </c>
    </row>
    <row r="600" spans="1:3" x14ac:dyDescent="0.2">
      <c r="A600" s="3">
        <v>45180</v>
      </c>
      <c r="B600" s="2">
        <v>45.46</v>
      </c>
      <c r="C600" s="2">
        <f t="shared" si="9"/>
        <v>-1.3189713936784084E-3</v>
      </c>
    </row>
    <row r="601" spans="1:3" x14ac:dyDescent="0.2">
      <c r="A601" s="3">
        <v>45177</v>
      </c>
      <c r="B601" s="2">
        <v>45.52</v>
      </c>
      <c r="C601" s="2">
        <f t="shared" si="9"/>
        <v>-3.508775529679254E-3</v>
      </c>
    </row>
    <row r="602" spans="1:3" x14ac:dyDescent="0.2">
      <c r="A602" s="3">
        <v>45176</v>
      </c>
      <c r="B602" s="2">
        <v>45.68</v>
      </c>
      <c r="C602" s="2">
        <f t="shared" si="9"/>
        <v>-1.5638893884454778E-2</v>
      </c>
    </row>
    <row r="603" spans="1:3" x14ac:dyDescent="0.2">
      <c r="A603" s="3">
        <v>45175</v>
      </c>
      <c r="B603" s="2">
        <v>46.4</v>
      </c>
      <c r="C603" s="2">
        <f t="shared" si="9"/>
        <v>-1.1144564553065176E-2</v>
      </c>
    </row>
    <row r="604" spans="1:3" x14ac:dyDescent="0.2">
      <c r="A604" s="3">
        <v>45174</v>
      </c>
      <c r="B604" s="2">
        <v>46.92</v>
      </c>
      <c r="C604" s="2">
        <f t="shared" si="9"/>
        <v>-2.1290193266487235E-3</v>
      </c>
    </row>
    <row r="605" spans="1:3" x14ac:dyDescent="0.2">
      <c r="A605" s="3">
        <v>45173</v>
      </c>
      <c r="B605" s="2">
        <v>47.02</v>
      </c>
      <c r="C605" s="2">
        <f t="shared" si="9"/>
        <v>5.7587873772275222E-3</v>
      </c>
    </row>
    <row r="606" spans="1:3" x14ac:dyDescent="0.2">
      <c r="A606" s="3">
        <v>45169</v>
      </c>
      <c r="B606" s="2">
        <v>46.75</v>
      </c>
      <c r="C606" s="2">
        <f t="shared" si="9"/>
        <v>-2.1388086917162368E-4</v>
      </c>
    </row>
    <row r="607" spans="1:3" x14ac:dyDescent="0.2">
      <c r="A607" s="3">
        <v>45168</v>
      </c>
      <c r="B607" s="2">
        <v>46.76</v>
      </c>
      <c r="C607" s="2">
        <f t="shared" si="9"/>
        <v>4.9308707473103936E-3</v>
      </c>
    </row>
    <row r="608" spans="1:3" x14ac:dyDescent="0.2">
      <c r="A608" s="3">
        <v>45167</v>
      </c>
      <c r="B608" s="2">
        <v>46.53</v>
      </c>
      <c r="C608" s="2">
        <f t="shared" si="9"/>
        <v>1.5158367335524591E-2</v>
      </c>
    </row>
    <row r="609" spans="1:3" x14ac:dyDescent="0.2">
      <c r="A609" s="3">
        <v>45166</v>
      </c>
      <c r="B609" s="2">
        <v>45.83</v>
      </c>
      <c r="C609" s="2">
        <f t="shared" si="9"/>
        <v>2.5412924320032709E-2</v>
      </c>
    </row>
    <row r="610" spans="1:3" x14ac:dyDescent="0.2">
      <c r="A610" s="3">
        <v>45163</v>
      </c>
      <c r="B610" s="2">
        <v>44.68</v>
      </c>
      <c r="C610" s="2">
        <f t="shared" si="9"/>
        <v>3.587447793655719E-3</v>
      </c>
    </row>
    <row r="611" spans="1:3" x14ac:dyDescent="0.2">
      <c r="A611" s="3">
        <v>45162</v>
      </c>
      <c r="B611" s="2">
        <v>44.52</v>
      </c>
      <c r="C611" s="2">
        <f t="shared" si="9"/>
        <v>-1.1168309071242144E-2</v>
      </c>
    </row>
    <row r="612" spans="1:3" x14ac:dyDescent="0.2">
      <c r="A612" s="3">
        <v>45161</v>
      </c>
      <c r="B612" s="2">
        <v>45.02</v>
      </c>
      <c r="C612" s="2">
        <f t="shared" si="9"/>
        <v>8.7005568374076778E-3</v>
      </c>
    </row>
    <row r="613" spans="1:3" x14ac:dyDescent="0.2">
      <c r="A613" s="3">
        <v>45160</v>
      </c>
      <c r="B613" s="2">
        <v>44.63</v>
      </c>
      <c r="C613" s="2">
        <f t="shared" si="9"/>
        <v>1.6719774941036034E-2</v>
      </c>
    </row>
    <row r="614" spans="1:3" x14ac:dyDescent="0.2">
      <c r="A614" s="3">
        <v>45159</v>
      </c>
      <c r="B614" s="2">
        <v>43.89</v>
      </c>
      <c r="C614" s="2">
        <f t="shared" si="9"/>
        <v>-4.0927751537530362E-3</v>
      </c>
    </row>
    <row r="615" spans="1:3" x14ac:dyDescent="0.2">
      <c r="A615" s="3">
        <v>45156</v>
      </c>
      <c r="B615" s="2">
        <v>44.07</v>
      </c>
      <c r="C615" s="2">
        <f t="shared" si="9"/>
        <v>-1.1506049103827083E-2</v>
      </c>
    </row>
    <row r="616" spans="1:3" x14ac:dyDescent="0.2">
      <c r="A616" s="3">
        <v>45155</v>
      </c>
      <c r="B616" s="2">
        <v>44.58</v>
      </c>
      <c r="C616" s="2">
        <f t="shared" si="9"/>
        <v>-2.6998763162416461E-2</v>
      </c>
    </row>
    <row r="617" spans="1:3" x14ac:dyDescent="0.2">
      <c r="A617" s="3">
        <v>45154</v>
      </c>
      <c r="B617" s="2">
        <v>45.8</v>
      </c>
      <c r="C617" s="2">
        <f t="shared" si="9"/>
        <v>-9.3448468799947858E-3</v>
      </c>
    </row>
    <row r="618" spans="1:3" x14ac:dyDescent="0.2">
      <c r="A618" s="3">
        <v>45152</v>
      </c>
      <c r="B618" s="2">
        <v>46.23</v>
      </c>
      <c r="C618" s="2">
        <f t="shared" si="9"/>
        <v>2.1426267854198884E-2</v>
      </c>
    </row>
    <row r="619" spans="1:3" x14ac:dyDescent="0.2">
      <c r="A619" s="3">
        <v>45149</v>
      </c>
      <c r="B619" s="2">
        <v>45.25</v>
      </c>
      <c r="C619" s="2">
        <f t="shared" si="9"/>
        <v>-1.3390607283823243E-2</v>
      </c>
    </row>
    <row r="620" spans="1:3" x14ac:dyDescent="0.2">
      <c r="A620" s="3">
        <v>45148</v>
      </c>
      <c r="B620" s="2">
        <v>45.86</v>
      </c>
      <c r="C620" s="2">
        <f t="shared" si="9"/>
        <v>-5.6534179710998455E-3</v>
      </c>
    </row>
    <row r="621" spans="1:3" x14ac:dyDescent="0.2">
      <c r="A621" s="3">
        <v>45147</v>
      </c>
      <c r="B621" s="2">
        <v>46.12</v>
      </c>
      <c r="C621" s="2">
        <f t="shared" si="9"/>
        <v>2.0370871977669923E-2</v>
      </c>
    </row>
    <row r="622" spans="1:3" x14ac:dyDescent="0.2">
      <c r="A622" s="3">
        <v>45146</v>
      </c>
      <c r="B622" s="2">
        <v>45.19</v>
      </c>
      <c r="C622" s="2">
        <f t="shared" si="9"/>
        <v>-1.3626584475462574E-2</v>
      </c>
    </row>
    <row r="623" spans="1:3" x14ac:dyDescent="0.2">
      <c r="A623" s="3">
        <v>45145</v>
      </c>
      <c r="B623" s="2">
        <v>45.81</v>
      </c>
      <c r="C623" s="2">
        <f t="shared" si="9"/>
        <v>-3.2430631211535249E-2</v>
      </c>
    </row>
    <row r="624" spans="1:3" x14ac:dyDescent="0.2">
      <c r="A624" s="3">
        <v>45142</v>
      </c>
      <c r="B624" s="2">
        <v>47.32</v>
      </c>
      <c r="C624" s="2">
        <f t="shared" si="9"/>
        <v>-4.8468090009073199E-2</v>
      </c>
    </row>
    <row r="625" spans="1:3" x14ac:dyDescent="0.2">
      <c r="A625" s="3">
        <v>45141</v>
      </c>
      <c r="B625" s="2">
        <v>49.67</v>
      </c>
      <c r="C625" s="2">
        <f t="shared" si="9"/>
        <v>1.1338449068106049E-2</v>
      </c>
    </row>
    <row r="626" spans="1:3" x14ac:dyDescent="0.2">
      <c r="A626" s="3">
        <v>45140</v>
      </c>
      <c r="B626" s="2">
        <v>49.11</v>
      </c>
      <c r="C626" s="2">
        <f t="shared" si="9"/>
        <v>-8.141665420223059E-4</v>
      </c>
    </row>
    <row r="627" spans="1:3" x14ac:dyDescent="0.2">
      <c r="A627" s="3">
        <v>45139</v>
      </c>
      <c r="B627" s="2">
        <v>49.15</v>
      </c>
      <c r="C627" s="2">
        <f t="shared" si="9"/>
        <v>-6.691700931111556E-3</v>
      </c>
    </row>
    <row r="628" spans="1:3" x14ac:dyDescent="0.2">
      <c r="A628" s="3">
        <v>45138</v>
      </c>
      <c r="B628" s="2">
        <v>49.48</v>
      </c>
      <c r="C628" s="2">
        <f t="shared" si="9"/>
        <v>-1.4446479173396528E-2</v>
      </c>
    </row>
    <row r="629" spans="1:3" x14ac:dyDescent="0.2">
      <c r="A629" s="3">
        <v>45135</v>
      </c>
      <c r="B629" s="2">
        <v>50.2</v>
      </c>
      <c r="C629" s="2">
        <f t="shared" si="9"/>
        <v>1.195933967536278E-3</v>
      </c>
    </row>
    <row r="630" spans="1:3" x14ac:dyDescent="0.2">
      <c r="A630" s="3">
        <v>45134</v>
      </c>
      <c r="B630" s="2">
        <v>50.14</v>
      </c>
      <c r="C630" s="2">
        <f t="shared" si="9"/>
        <v>1.1029892229104681E-2</v>
      </c>
    </row>
    <row r="631" spans="1:3" x14ac:dyDescent="0.2">
      <c r="A631" s="3">
        <v>45133</v>
      </c>
      <c r="B631" s="2">
        <v>49.59</v>
      </c>
      <c r="C631" s="2">
        <f t="shared" si="9"/>
        <v>-8.2338049271035423E-3</v>
      </c>
    </row>
    <row r="632" spans="1:3" x14ac:dyDescent="0.2">
      <c r="A632" s="3">
        <v>45132</v>
      </c>
      <c r="B632" s="2">
        <v>50</v>
      </c>
      <c r="C632" s="2">
        <f t="shared" si="9"/>
        <v>-1.7839918128331005E-2</v>
      </c>
    </row>
    <row r="633" spans="1:3" x14ac:dyDescent="0.2">
      <c r="A633" s="3">
        <v>45131</v>
      </c>
      <c r="B633" s="2">
        <v>50.9</v>
      </c>
      <c r="C633" s="2">
        <f t="shared" si="9"/>
        <v>1.2255539834430364E-2</v>
      </c>
    </row>
    <row r="634" spans="1:3" x14ac:dyDescent="0.2">
      <c r="A634" s="3">
        <v>45128</v>
      </c>
      <c r="B634" s="2">
        <v>50.28</v>
      </c>
      <c r="C634" s="2">
        <f t="shared" si="9"/>
        <v>2.7882909918992759E-3</v>
      </c>
    </row>
    <row r="635" spans="1:3" x14ac:dyDescent="0.2">
      <c r="A635" s="3">
        <v>45127</v>
      </c>
      <c r="B635" s="2">
        <v>50.14</v>
      </c>
      <c r="C635" s="2">
        <f t="shared" si="9"/>
        <v>-7.9744820812889105E-4</v>
      </c>
    </row>
    <row r="636" spans="1:3" x14ac:dyDescent="0.2">
      <c r="A636" s="3">
        <v>45126</v>
      </c>
      <c r="B636" s="2">
        <v>50.18</v>
      </c>
      <c r="C636" s="2">
        <f t="shared" si="9"/>
        <v>3.5935355101302181E-3</v>
      </c>
    </row>
    <row r="637" spans="1:3" x14ac:dyDescent="0.2">
      <c r="A637" s="3">
        <v>45125</v>
      </c>
      <c r="B637" s="2">
        <v>50</v>
      </c>
      <c r="C637" s="2">
        <f t="shared" si="9"/>
        <v>1.5519811658036972E-2</v>
      </c>
    </row>
    <row r="638" spans="1:3" x14ac:dyDescent="0.2">
      <c r="A638" s="3">
        <v>45124</v>
      </c>
      <c r="B638" s="2">
        <v>49.23</v>
      </c>
      <c r="C638" s="2">
        <f t="shared" si="9"/>
        <v>-2.2694015406037236E-2</v>
      </c>
    </row>
    <row r="639" spans="1:3" x14ac:dyDescent="0.2">
      <c r="A639" s="3">
        <v>45121</v>
      </c>
      <c r="B639" s="2">
        <v>50.36</v>
      </c>
      <c r="C639" s="2">
        <f t="shared" si="9"/>
        <v>-1.9837340367652636E-3</v>
      </c>
    </row>
    <row r="640" spans="1:3" x14ac:dyDescent="0.2">
      <c r="A640" s="3">
        <v>45120</v>
      </c>
      <c r="B640" s="2">
        <v>50.46</v>
      </c>
      <c r="C640" s="2">
        <f t="shared" si="9"/>
        <v>-3.9557013606173908E-3</v>
      </c>
    </row>
    <row r="641" spans="1:3" x14ac:dyDescent="0.2">
      <c r="A641" s="3">
        <v>45119</v>
      </c>
      <c r="B641" s="2">
        <v>50.66</v>
      </c>
      <c r="C641" s="2">
        <f t="shared" si="9"/>
        <v>2.863345080341988E-2</v>
      </c>
    </row>
    <row r="642" spans="1:3" x14ac:dyDescent="0.2">
      <c r="A642" s="3">
        <v>45118</v>
      </c>
      <c r="B642" s="2">
        <v>49.23</v>
      </c>
      <c r="C642" s="2">
        <f t="shared" si="9"/>
        <v>2.2805302663631125E-2</v>
      </c>
    </row>
    <row r="643" spans="1:3" x14ac:dyDescent="0.2">
      <c r="A643" s="3">
        <v>45117</v>
      </c>
      <c r="B643" s="2">
        <v>48.12</v>
      </c>
      <c r="C643" s="2">
        <f t="shared" ref="C643:C706" si="10">+LN(B643/B644)</f>
        <v>4.3736402114474731E-3</v>
      </c>
    </row>
    <row r="644" spans="1:3" x14ac:dyDescent="0.2">
      <c r="A644" s="3">
        <v>45114</v>
      </c>
      <c r="B644" s="2">
        <v>47.91</v>
      </c>
      <c r="C644" s="2">
        <f t="shared" si="10"/>
        <v>1.6202353387045718E-2</v>
      </c>
    </row>
    <row r="645" spans="1:3" x14ac:dyDescent="0.2">
      <c r="A645" s="3">
        <v>45113</v>
      </c>
      <c r="B645" s="2">
        <v>47.14</v>
      </c>
      <c r="C645" s="2">
        <f t="shared" si="10"/>
        <v>-3.1118726907709459E-2</v>
      </c>
    </row>
    <row r="646" spans="1:3" x14ac:dyDescent="0.2">
      <c r="A646" s="3">
        <v>45112</v>
      </c>
      <c r="B646" s="2">
        <v>48.63</v>
      </c>
      <c r="C646" s="2">
        <f t="shared" si="10"/>
        <v>-1.954857608534814E-2</v>
      </c>
    </row>
    <row r="647" spans="1:3" x14ac:dyDescent="0.2">
      <c r="A647" s="3">
        <v>45111</v>
      </c>
      <c r="B647" s="2">
        <v>49.59</v>
      </c>
      <c r="C647" s="2">
        <f t="shared" si="10"/>
        <v>-3.6231923694202838E-3</v>
      </c>
    </row>
    <row r="648" spans="1:3" x14ac:dyDescent="0.2">
      <c r="A648" s="3">
        <v>45110</v>
      </c>
      <c r="B648" s="2">
        <v>49.77</v>
      </c>
      <c r="C648" s="2">
        <f t="shared" si="10"/>
        <v>-2.2057526161403891E-2</v>
      </c>
    </row>
    <row r="649" spans="1:3" x14ac:dyDescent="0.2">
      <c r="A649" s="3">
        <v>45107</v>
      </c>
      <c r="B649" s="2">
        <v>50.88</v>
      </c>
      <c r="C649" s="2">
        <f t="shared" si="10"/>
        <v>2.0250840936454875E-2</v>
      </c>
    </row>
    <row r="650" spans="1:3" x14ac:dyDescent="0.2">
      <c r="A650" s="3">
        <v>45106</v>
      </c>
      <c r="B650" s="2">
        <v>49.86</v>
      </c>
      <c r="C650" s="2">
        <f t="shared" si="10"/>
        <v>1.1294997046767346E-2</v>
      </c>
    </row>
    <row r="651" spans="1:3" x14ac:dyDescent="0.2">
      <c r="A651" s="3">
        <v>45105</v>
      </c>
      <c r="B651" s="2">
        <v>49.3</v>
      </c>
      <c r="C651" s="2">
        <f t="shared" si="10"/>
        <v>9.3744318061403775E-3</v>
      </c>
    </row>
    <row r="652" spans="1:3" x14ac:dyDescent="0.2">
      <c r="A652" s="3">
        <v>45104</v>
      </c>
      <c r="B652" s="2">
        <v>48.84</v>
      </c>
      <c r="C652" s="2">
        <f t="shared" si="10"/>
        <v>4.7203781851398426E-3</v>
      </c>
    </row>
    <row r="653" spans="1:3" x14ac:dyDescent="0.2">
      <c r="A653" s="3">
        <v>45103</v>
      </c>
      <c r="B653" s="2">
        <v>48.61</v>
      </c>
      <c r="C653" s="2">
        <f t="shared" si="10"/>
        <v>-1.4703144188282695E-2</v>
      </c>
    </row>
    <row r="654" spans="1:3" x14ac:dyDescent="0.2">
      <c r="A654" s="3">
        <v>45100</v>
      </c>
      <c r="B654" s="2">
        <v>49.33</v>
      </c>
      <c r="C654" s="2">
        <f t="shared" si="10"/>
        <v>-8.6790331852771609E-3</v>
      </c>
    </row>
    <row r="655" spans="1:3" x14ac:dyDescent="0.2">
      <c r="A655" s="3">
        <v>45099</v>
      </c>
      <c r="B655" s="2">
        <v>49.76</v>
      </c>
      <c r="C655" s="2">
        <f t="shared" si="10"/>
        <v>-4.4114769758822718E-3</v>
      </c>
    </row>
    <row r="656" spans="1:3" x14ac:dyDescent="0.2">
      <c r="A656" s="3">
        <v>45098</v>
      </c>
      <c r="B656" s="2">
        <v>49.98</v>
      </c>
      <c r="C656" s="2">
        <f t="shared" si="10"/>
        <v>-1.1537824431795777E-2</v>
      </c>
    </row>
    <row r="657" spans="1:3" x14ac:dyDescent="0.2">
      <c r="A657" s="3">
        <v>45097</v>
      </c>
      <c r="B657" s="2">
        <v>50.56</v>
      </c>
      <c r="C657" s="2">
        <f t="shared" si="10"/>
        <v>-1.5309425604392387E-2</v>
      </c>
    </row>
    <row r="658" spans="1:3" x14ac:dyDescent="0.2">
      <c r="A658" s="3">
        <v>45096</v>
      </c>
      <c r="B658" s="2">
        <v>51.34</v>
      </c>
      <c r="C658" s="2">
        <f t="shared" si="10"/>
        <v>-2.005466363657149E-2</v>
      </c>
    </row>
    <row r="659" spans="1:3" x14ac:dyDescent="0.2">
      <c r="A659" s="3">
        <v>45092</v>
      </c>
      <c r="B659" s="2">
        <v>52.38</v>
      </c>
      <c r="C659" s="2">
        <f t="shared" si="10"/>
        <v>-1.4781394765478633E-2</v>
      </c>
    </row>
    <row r="660" spans="1:3" x14ac:dyDescent="0.2">
      <c r="A660" s="3">
        <v>45091</v>
      </c>
      <c r="B660" s="2">
        <v>53.16</v>
      </c>
      <c r="C660" s="2">
        <f t="shared" si="10"/>
        <v>-2.6300973267542609E-3</v>
      </c>
    </row>
    <row r="661" spans="1:3" x14ac:dyDescent="0.2">
      <c r="A661" s="3">
        <v>45090</v>
      </c>
      <c r="B661" s="2">
        <v>53.3</v>
      </c>
      <c r="C661" s="2">
        <f t="shared" si="10"/>
        <v>1.8175434069798855E-2</v>
      </c>
    </row>
    <row r="662" spans="1:3" x14ac:dyDescent="0.2">
      <c r="A662" s="3">
        <v>45089</v>
      </c>
      <c r="B662" s="2">
        <v>52.34</v>
      </c>
      <c r="C662" s="2">
        <f t="shared" si="10"/>
        <v>1.4239224614482862E-2</v>
      </c>
    </row>
    <row r="663" spans="1:3" x14ac:dyDescent="0.2">
      <c r="A663" s="3">
        <v>45086</v>
      </c>
      <c r="B663" s="2">
        <v>51.6</v>
      </c>
      <c r="C663" s="2">
        <f t="shared" si="10"/>
        <v>-5.411686960726133E-3</v>
      </c>
    </row>
    <row r="664" spans="1:3" x14ac:dyDescent="0.2">
      <c r="A664" s="3">
        <v>45085</v>
      </c>
      <c r="B664" s="2">
        <v>51.88</v>
      </c>
      <c r="C664" s="2">
        <f t="shared" si="10"/>
        <v>7.7130740422382677E-4</v>
      </c>
    </row>
    <row r="665" spans="1:3" x14ac:dyDescent="0.2">
      <c r="A665" s="3">
        <v>45084</v>
      </c>
      <c r="B665" s="2">
        <v>51.84</v>
      </c>
      <c r="C665" s="2">
        <f t="shared" si="10"/>
        <v>2.7042705296358009E-3</v>
      </c>
    </row>
    <row r="666" spans="1:3" x14ac:dyDescent="0.2">
      <c r="A666" s="3">
        <v>45083</v>
      </c>
      <c r="B666" s="2">
        <v>51.7</v>
      </c>
      <c r="C666" s="2">
        <f t="shared" si="10"/>
        <v>-7.7339524349960369E-4</v>
      </c>
    </row>
    <row r="667" spans="1:3" x14ac:dyDescent="0.2">
      <c r="A667" s="3">
        <v>45082</v>
      </c>
      <c r="B667" s="2">
        <v>51.74</v>
      </c>
      <c r="C667" s="2">
        <f t="shared" si="10"/>
        <v>-4.6278524554610482E-3</v>
      </c>
    </row>
    <row r="668" spans="1:3" x14ac:dyDescent="0.2">
      <c r="A668" s="3">
        <v>45079</v>
      </c>
      <c r="B668" s="2">
        <v>51.98</v>
      </c>
      <c r="C668" s="2">
        <f t="shared" si="10"/>
        <v>1.7074532003685319E-2</v>
      </c>
    </row>
    <row r="669" spans="1:3" x14ac:dyDescent="0.2">
      <c r="A669" s="3">
        <v>45078</v>
      </c>
      <c r="B669" s="2">
        <v>51.1</v>
      </c>
      <c r="C669" s="2">
        <f t="shared" si="10"/>
        <v>1.8167956271382502E-2</v>
      </c>
    </row>
    <row r="670" spans="1:3" x14ac:dyDescent="0.2">
      <c r="A670" s="3">
        <v>45077</v>
      </c>
      <c r="B670" s="2">
        <v>50.18</v>
      </c>
      <c r="C670" s="2">
        <f t="shared" si="10"/>
        <v>-3.1773608327161126E-2</v>
      </c>
    </row>
    <row r="671" spans="1:3" x14ac:dyDescent="0.2">
      <c r="A671" s="3">
        <v>45076</v>
      </c>
      <c r="B671" s="2">
        <v>51.8</v>
      </c>
      <c r="C671" s="2">
        <f t="shared" si="10"/>
        <v>-1.456522491091778E-2</v>
      </c>
    </row>
    <row r="672" spans="1:3" x14ac:dyDescent="0.2">
      <c r="A672" s="3">
        <v>45075</v>
      </c>
      <c r="B672" s="2">
        <v>52.56</v>
      </c>
      <c r="C672" s="2">
        <f t="shared" si="10"/>
        <v>-4.5558165358605789E-3</v>
      </c>
    </row>
    <row r="673" spans="1:3" x14ac:dyDescent="0.2">
      <c r="A673" s="3">
        <v>45072</v>
      </c>
      <c r="B673" s="2">
        <v>52.8</v>
      </c>
      <c r="C673" s="2">
        <f t="shared" si="10"/>
        <v>2.7262199030478253E-2</v>
      </c>
    </row>
    <row r="674" spans="1:3" x14ac:dyDescent="0.2">
      <c r="A674" s="3">
        <v>45071</v>
      </c>
      <c r="B674" s="2">
        <v>51.38</v>
      </c>
      <c r="C674" s="2">
        <f t="shared" si="10"/>
        <v>1.1352637097301334E-2</v>
      </c>
    </row>
    <row r="675" spans="1:3" x14ac:dyDescent="0.2">
      <c r="A675" s="3">
        <v>45070</v>
      </c>
      <c r="B675" s="2">
        <v>50.8</v>
      </c>
      <c r="C675" s="2">
        <f t="shared" si="10"/>
        <v>-3.4439464717298918E-2</v>
      </c>
    </row>
    <row r="676" spans="1:3" x14ac:dyDescent="0.2">
      <c r="A676" s="3">
        <v>45069</v>
      </c>
      <c r="B676" s="2">
        <v>52.58</v>
      </c>
      <c r="C676" s="2">
        <f t="shared" si="10"/>
        <v>-2.6277788288123383E-2</v>
      </c>
    </row>
    <row r="677" spans="1:3" x14ac:dyDescent="0.2">
      <c r="A677" s="3">
        <v>45068</v>
      </c>
      <c r="B677" s="2">
        <v>53.98</v>
      </c>
      <c r="C677" s="2">
        <f t="shared" si="10"/>
        <v>-2.9596765962966029E-3</v>
      </c>
    </row>
    <row r="678" spans="1:3" x14ac:dyDescent="0.2">
      <c r="A678" s="3">
        <v>45065</v>
      </c>
      <c r="B678" s="2">
        <v>54.14</v>
      </c>
      <c r="C678" s="2">
        <f t="shared" si="10"/>
        <v>4.3025504075636802E-2</v>
      </c>
    </row>
    <row r="679" spans="1:3" x14ac:dyDescent="0.2">
      <c r="A679" s="3">
        <v>45064</v>
      </c>
      <c r="B679" s="2">
        <v>51.86</v>
      </c>
      <c r="C679" s="2">
        <f t="shared" si="10"/>
        <v>6.5776983144201573E-3</v>
      </c>
    </row>
    <row r="680" spans="1:3" x14ac:dyDescent="0.2">
      <c r="A680" s="3">
        <v>45063</v>
      </c>
      <c r="B680" s="2">
        <v>51.52</v>
      </c>
      <c r="C680" s="2">
        <f t="shared" si="10"/>
        <v>1.3680103904080176E-2</v>
      </c>
    </row>
    <row r="681" spans="1:3" x14ac:dyDescent="0.2">
      <c r="A681" s="3">
        <v>45062</v>
      </c>
      <c r="B681" s="2">
        <v>50.82</v>
      </c>
      <c r="C681" s="2">
        <f t="shared" si="10"/>
        <v>4.3384015985981411E-3</v>
      </c>
    </row>
    <row r="682" spans="1:3" x14ac:dyDescent="0.2">
      <c r="A682" s="3">
        <v>45061</v>
      </c>
      <c r="B682" s="2">
        <v>50.6</v>
      </c>
      <c r="C682" s="2">
        <f t="shared" si="10"/>
        <v>-1.6853230560178196E-2</v>
      </c>
    </row>
    <row r="683" spans="1:3" x14ac:dyDescent="0.2">
      <c r="A683" s="3">
        <v>45058</v>
      </c>
      <c r="B683" s="2">
        <v>51.46</v>
      </c>
      <c r="C683" s="2">
        <f t="shared" si="10"/>
        <v>-3.8857587432777126E-4</v>
      </c>
    </row>
    <row r="684" spans="1:3" x14ac:dyDescent="0.2">
      <c r="A684" s="3">
        <v>45057</v>
      </c>
      <c r="B684" s="2">
        <v>51.48</v>
      </c>
      <c r="C684" s="2">
        <f t="shared" si="10"/>
        <v>2.9970697470548809E-2</v>
      </c>
    </row>
    <row r="685" spans="1:3" x14ac:dyDescent="0.2">
      <c r="A685" s="3">
        <v>45056</v>
      </c>
      <c r="B685" s="2">
        <v>49.96</v>
      </c>
      <c r="C685" s="2">
        <f t="shared" si="10"/>
        <v>-8.003201707691552E-4</v>
      </c>
    </row>
    <row r="686" spans="1:3" x14ac:dyDescent="0.2">
      <c r="A686" s="3">
        <v>45055</v>
      </c>
      <c r="B686" s="2">
        <v>50</v>
      </c>
      <c r="C686" s="2">
        <f t="shared" si="10"/>
        <v>-1.2718772407774671E-2</v>
      </c>
    </row>
    <row r="687" spans="1:3" x14ac:dyDescent="0.2">
      <c r="A687" s="3">
        <v>45054</v>
      </c>
      <c r="B687" s="2">
        <v>50.64</v>
      </c>
      <c r="C687" s="2">
        <f t="shared" si="10"/>
        <v>-1.4896394625198622E-2</v>
      </c>
    </row>
    <row r="688" spans="1:3" x14ac:dyDescent="0.2">
      <c r="A688" s="3">
        <v>45051</v>
      </c>
      <c r="B688" s="2">
        <v>51.4</v>
      </c>
      <c r="C688" s="2">
        <f t="shared" si="10"/>
        <v>3.0619676053272017E-2</v>
      </c>
    </row>
    <row r="689" spans="1:3" x14ac:dyDescent="0.2">
      <c r="A689" s="3">
        <v>45050</v>
      </c>
      <c r="B689" s="2">
        <v>49.85</v>
      </c>
      <c r="C689" s="2">
        <f t="shared" si="10"/>
        <v>-1.6512859045090943E-2</v>
      </c>
    </row>
    <row r="690" spans="1:3" x14ac:dyDescent="0.2">
      <c r="A690" s="3">
        <v>45049</v>
      </c>
      <c r="B690" s="2">
        <v>50.68</v>
      </c>
      <c r="C690" s="2">
        <f t="shared" si="10"/>
        <v>1.3508350024792299E-2</v>
      </c>
    </row>
    <row r="691" spans="1:3" x14ac:dyDescent="0.2">
      <c r="A691" s="3">
        <v>45048</v>
      </c>
      <c r="B691" s="2">
        <v>50</v>
      </c>
      <c r="C691" s="2">
        <f t="shared" si="10"/>
        <v>-9.5542128048116109E-3</v>
      </c>
    </row>
    <row r="692" spans="1:3" x14ac:dyDescent="0.2">
      <c r="A692" s="3">
        <v>45044</v>
      </c>
      <c r="B692" s="2">
        <v>50.48</v>
      </c>
      <c r="C692" s="2">
        <f t="shared" si="10"/>
        <v>1.2157598674926469E-2</v>
      </c>
    </row>
    <row r="693" spans="1:3" x14ac:dyDescent="0.2">
      <c r="A693" s="3">
        <v>45043</v>
      </c>
      <c r="B693" s="2">
        <v>49.87</v>
      </c>
      <c r="C693" s="2">
        <f t="shared" si="10"/>
        <v>5.4287858271493128E-3</v>
      </c>
    </row>
    <row r="694" spans="1:3" x14ac:dyDescent="0.2">
      <c r="A694" s="3">
        <v>45041</v>
      </c>
      <c r="B694" s="2">
        <v>49.6</v>
      </c>
      <c r="C694" s="2">
        <f t="shared" si="10"/>
        <v>-5.4287858271492807E-3</v>
      </c>
    </row>
    <row r="695" spans="1:3" x14ac:dyDescent="0.2">
      <c r="A695" s="3">
        <v>45040</v>
      </c>
      <c r="B695" s="2">
        <v>49.87</v>
      </c>
      <c r="C695" s="2">
        <f t="shared" si="10"/>
        <v>4.42122906684966E-3</v>
      </c>
    </row>
    <row r="696" spans="1:3" x14ac:dyDescent="0.2">
      <c r="A696" s="3">
        <v>45037</v>
      </c>
      <c r="B696" s="2">
        <v>49.65</v>
      </c>
      <c r="C696" s="2">
        <f t="shared" si="10"/>
        <v>1.3382194840698022E-2</v>
      </c>
    </row>
    <row r="697" spans="1:3" x14ac:dyDescent="0.2">
      <c r="A697" s="3">
        <v>45036</v>
      </c>
      <c r="B697" s="2">
        <v>48.99</v>
      </c>
      <c r="C697" s="2">
        <f t="shared" si="10"/>
        <v>8.1682667396393966E-4</v>
      </c>
    </row>
    <row r="698" spans="1:3" x14ac:dyDescent="0.2">
      <c r="A698" s="3">
        <v>45035</v>
      </c>
      <c r="B698" s="2">
        <v>48.95</v>
      </c>
      <c r="C698" s="2">
        <f t="shared" si="10"/>
        <v>-8.138396902971164E-3</v>
      </c>
    </row>
    <row r="699" spans="1:3" x14ac:dyDescent="0.2">
      <c r="A699" s="3">
        <v>45034</v>
      </c>
      <c r="B699" s="2">
        <v>49.35</v>
      </c>
      <c r="C699" s="2">
        <f t="shared" si="10"/>
        <v>1.4194466542262925E-3</v>
      </c>
    </row>
    <row r="700" spans="1:3" x14ac:dyDescent="0.2">
      <c r="A700" s="3">
        <v>45033</v>
      </c>
      <c r="B700" s="2">
        <v>49.28</v>
      </c>
      <c r="C700" s="2">
        <f t="shared" si="10"/>
        <v>1.2866510593250276E-2</v>
      </c>
    </row>
    <row r="701" spans="1:3" x14ac:dyDescent="0.2">
      <c r="A701" s="3">
        <v>45030</v>
      </c>
      <c r="B701" s="2">
        <v>48.65</v>
      </c>
      <c r="C701" s="2">
        <f t="shared" si="10"/>
        <v>4.7388571221015372E-3</v>
      </c>
    </row>
    <row r="702" spans="1:3" x14ac:dyDescent="0.2">
      <c r="A702" s="3">
        <v>45029</v>
      </c>
      <c r="B702" s="2">
        <v>48.42</v>
      </c>
      <c r="C702" s="2">
        <f t="shared" si="10"/>
        <v>3.5171237249174833E-3</v>
      </c>
    </row>
    <row r="703" spans="1:3" x14ac:dyDescent="0.2">
      <c r="A703" s="3">
        <v>45028</v>
      </c>
      <c r="B703" s="2">
        <v>48.25</v>
      </c>
      <c r="C703" s="2">
        <f t="shared" si="10"/>
        <v>5.4031719148407154E-3</v>
      </c>
    </row>
    <row r="704" spans="1:3" x14ac:dyDescent="0.2">
      <c r="A704" s="3">
        <v>45027</v>
      </c>
      <c r="B704" s="2">
        <v>47.99</v>
      </c>
      <c r="C704" s="2">
        <f t="shared" si="10"/>
        <v>2.9392114738553892E-2</v>
      </c>
    </row>
    <row r="705" spans="1:3" x14ac:dyDescent="0.2">
      <c r="A705" s="3">
        <v>45022</v>
      </c>
      <c r="B705" s="2">
        <v>46.6</v>
      </c>
      <c r="C705" s="2">
        <f t="shared" si="10"/>
        <v>-1.1309199804039265E-2</v>
      </c>
    </row>
    <row r="706" spans="1:3" x14ac:dyDescent="0.2">
      <c r="A706" s="3">
        <v>45021</v>
      </c>
      <c r="B706" s="2">
        <v>47.13</v>
      </c>
      <c r="C706" s="2">
        <f t="shared" si="10"/>
        <v>-6.6684529988824695E-2</v>
      </c>
    </row>
    <row r="707" spans="1:3" x14ac:dyDescent="0.2">
      <c r="A707" s="3">
        <v>45020</v>
      </c>
      <c r="B707" s="2">
        <v>50.38</v>
      </c>
      <c r="C707" s="2">
        <f t="shared" ref="C707:C770" si="11">+LN(B707/B708)</f>
        <v>-1.0268652632012844E-2</v>
      </c>
    </row>
    <row r="708" spans="1:3" x14ac:dyDescent="0.2">
      <c r="A708" s="3">
        <v>45019</v>
      </c>
      <c r="B708" s="2">
        <v>50.9</v>
      </c>
      <c r="C708" s="2">
        <f t="shared" si="11"/>
        <v>-9.7752489046423301E-3</v>
      </c>
    </row>
    <row r="709" spans="1:3" x14ac:dyDescent="0.2">
      <c r="A709" s="3">
        <v>45015</v>
      </c>
      <c r="B709" s="2">
        <v>51.4</v>
      </c>
      <c r="C709" s="2">
        <f t="shared" si="11"/>
        <v>2.2627625521934341E-2</v>
      </c>
    </row>
    <row r="710" spans="1:3" x14ac:dyDescent="0.2">
      <c r="A710" s="3">
        <v>45014</v>
      </c>
      <c r="B710" s="2">
        <v>50.25</v>
      </c>
      <c r="C710" s="2">
        <f t="shared" si="11"/>
        <v>1.5846284845915017E-2</v>
      </c>
    </row>
    <row r="711" spans="1:3" x14ac:dyDescent="0.2">
      <c r="A711" s="3">
        <v>45013</v>
      </c>
      <c r="B711" s="2">
        <v>49.46</v>
      </c>
      <c r="C711" s="2">
        <f t="shared" si="11"/>
        <v>-3.2297161703847758E-3</v>
      </c>
    </row>
    <row r="712" spans="1:3" x14ac:dyDescent="0.2">
      <c r="A712" s="3">
        <v>45012</v>
      </c>
      <c r="B712" s="2">
        <v>49.62</v>
      </c>
      <c r="C712" s="2">
        <f t="shared" si="11"/>
        <v>1.6663665404553468E-2</v>
      </c>
    </row>
    <row r="713" spans="1:3" x14ac:dyDescent="0.2">
      <c r="A713" s="3">
        <v>45009</v>
      </c>
      <c r="B713" s="2">
        <v>48.8</v>
      </c>
      <c r="C713" s="2">
        <f t="shared" si="11"/>
        <v>-3.3252433940516607E-2</v>
      </c>
    </row>
    <row r="714" spans="1:3" x14ac:dyDescent="0.2">
      <c r="A714" s="3">
        <v>45008</v>
      </c>
      <c r="B714" s="2">
        <v>50.45</v>
      </c>
      <c r="C714" s="2">
        <f t="shared" si="11"/>
        <v>2.9776696939245338E-3</v>
      </c>
    </row>
    <row r="715" spans="1:3" x14ac:dyDescent="0.2">
      <c r="A715" s="3">
        <v>45007</v>
      </c>
      <c r="B715" s="2">
        <v>50.3</v>
      </c>
      <c r="C715" s="2">
        <f t="shared" si="11"/>
        <v>-1.4800467504981089E-2</v>
      </c>
    </row>
    <row r="716" spans="1:3" x14ac:dyDescent="0.2">
      <c r="A716" s="3">
        <v>45006</v>
      </c>
      <c r="B716" s="2">
        <v>51.05</v>
      </c>
      <c r="C716" s="2">
        <f t="shared" si="11"/>
        <v>2.7605764530653977E-2</v>
      </c>
    </row>
    <row r="717" spans="1:3" x14ac:dyDescent="0.2">
      <c r="A717" s="3">
        <v>45005</v>
      </c>
      <c r="B717" s="2">
        <v>49.66</v>
      </c>
      <c r="C717" s="2">
        <f t="shared" si="11"/>
        <v>1.7059715115206486E-2</v>
      </c>
    </row>
    <row r="718" spans="1:3" x14ac:dyDescent="0.2">
      <c r="A718" s="3">
        <v>45002</v>
      </c>
      <c r="B718" s="2">
        <v>48.82</v>
      </c>
      <c r="C718" s="2">
        <f t="shared" si="11"/>
        <v>-2.5880943126005113E-2</v>
      </c>
    </row>
    <row r="719" spans="1:3" x14ac:dyDescent="0.2">
      <c r="A719" s="3">
        <v>45001</v>
      </c>
      <c r="B719" s="2">
        <v>50.1</v>
      </c>
      <c r="C719" s="2">
        <f t="shared" si="11"/>
        <v>3.1220861339576359E-2</v>
      </c>
    </row>
    <row r="720" spans="1:3" x14ac:dyDescent="0.2">
      <c r="A720" s="3">
        <v>45000</v>
      </c>
      <c r="B720" s="2">
        <v>48.56</v>
      </c>
      <c r="C720" s="2">
        <f t="shared" si="11"/>
        <v>-5.4890605425480944E-2</v>
      </c>
    </row>
    <row r="721" spans="1:3" x14ac:dyDescent="0.2">
      <c r="A721" s="3">
        <v>44999</v>
      </c>
      <c r="B721" s="2">
        <v>51.3</v>
      </c>
      <c r="C721" s="2">
        <f t="shared" si="11"/>
        <v>4.2610467478889857E-2</v>
      </c>
    </row>
    <row r="722" spans="1:3" x14ac:dyDescent="0.2">
      <c r="A722" s="3">
        <v>44998</v>
      </c>
      <c r="B722" s="2">
        <v>49.16</v>
      </c>
      <c r="C722" s="2">
        <f t="shared" si="11"/>
        <v>-5.2309864567603288E-2</v>
      </c>
    </row>
    <row r="723" spans="1:3" x14ac:dyDescent="0.2">
      <c r="A723" s="3">
        <v>44994</v>
      </c>
      <c r="B723" s="2">
        <v>51.8</v>
      </c>
      <c r="C723" s="2">
        <f t="shared" si="11"/>
        <v>-6.7340321813440683E-3</v>
      </c>
    </row>
    <row r="724" spans="1:3" x14ac:dyDescent="0.2">
      <c r="A724" s="3">
        <v>44993</v>
      </c>
      <c r="B724" s="2">
        <v>52.15</v>
      </c>
      <c r="C724" s="2">
        <f t="shared" si="11"/>
        <v>-1.9157093981390094E-3</v>
      </c>
    </row>
    <row r="725" spans="1:3" x14ac:dyDescent="0.2">
      <c r="A725" s="3">
        <v>44992</v>
      </c>
      <c r="B725" s="2">
        <v>52.25</v>
      </c>
      <c r="C725" s="2">
        <f t="shared" si="11"/>
        <v>-6.6762288987438209E-3</v>
      </c>
    </row>
    <row r="726" spans="1:3" x14ac:dyDescent="0.2">
      <c r="A726" s="3">
        <v>44988</v>
      </c>
      <c r="B726" s="2">
        <v>52.6</v>
      </c>
      <c r="C726" s="2">
        <f t="shared" si="11"/>
        <v>4.7641824271183793E-3</v>
      </c>
    </row>
    <row r="727" spans="1:3" x14ac:dyDescent="0.2">
      <c r="A727" s="3">
        <v>44987</v>
      </c>
      <c r="B727" s="2">
        <v>52.35</v>
      </c>
      <c r="C727" s="2">
        <f t="shared" si="11"/>
        <v>1.0561788051108521E-2</v>
      </c>
    </row>
    <row r="728" spans="1:3" x14ac:dyDescent="0.2">
      <c r="A728" s="3">
        <v>44986</v>
      </c>
      <c r="B728" s="2">
        <v>51.8</v>
      </c>
      <c r="C728" s="2">
        <f t="shared" si="11"/>
        <v>-2.891568279799125E-3</v>
      </c>
    </row>
    <row r="729" spans="1:3" x14ac:dyDescent="0.2">
      <c r="A729" s="3">
        <v>44985</v>
      </c>
      <c r="B729" s="2">
        <v>51.95</v>
      </c>
      <c r="C729" s="2">
        <f t="shared" si="11"/>
        <v>-7.6702197713094094E-3</v>
      </c>
    </row>
    <row r="730" spans="1:3" x14ac:dyDescent="0.2">
      <c r="A730" s="3">
        <v>44984</v>
      </c>
      <c r="B730" s="2">
        <v>52.35</v>
      </c>
      <c r="C730" s="2">
        <f t="shared" si="11"/>
        <v>2.5146392705871351E-2</v>
      </c>
    </row>
    <row r="731" spans="1:3" x14ac:dyDescent="0.2">
      <c r="A731" s="3">
        <v>44981</v>
      </c>
      <c r="B731" s="2">
        <v>51.05</v>
      </c>
      <c r="C731" s="2">
        <f t="shared" si="11"/>
        <v>-3.6542527436741024E-2</v>
      </c>
    </row>
    <row r="732" spans="1:3" x14ac:dyDescent="0.2">
      <c r="A732" s="3">
        <v>44980</v>
      </c>
      <c r="B732" s="2">
        <v>52.95</v>
      </c>
      <c r="C732" s="2">
        <f t="shared" si="11"/>
        <v>2.0993137371879127E-2</v>
      </c>
    </row>
    <row r="733" spans="1:3" x14ac:dyDescent="0.2">
      <c r="A733" s="3">
        <v>44979</v>
      </c>
      <c r="B733" s="2">
        <v>51.85</v>
      </c>
      <c r="C733" s="2">
        <f t="shared" si="11"/>
        <v>1.6529301951210506E-2</v>
      </c>
    </row>
    <row r="734" spans="1:3" x14ac:dyDescent="0.2">
      <c r="A734" s="3">
        <v>44978</v>
      </c>
      <c r="B734" s="2">
        <v>51</v>
      </c>
      <c r="C734" s="2">
        <f t="shared" si="11"/>
        <v>-9.7561749453646852E-3</v>
      </c>
    </row>
    <row r="735" spans="1:3" x14ac:dyDescent="0.2">
      <c r="A735" s="3">
        <v>44977</v>
      </c>
      <c r="B735" s="2">
        <v>51.5</v>
      </c>
      <c r="C735" s="2">
        <f t="shared" si="11"/>
        <v>-6.7731270058459343E-3</v>
      </c>
    </row>
    <row r="736" spans="1:3" x14ac:dyDescent="0.2">
      <c r="A736" s="3">
        <v>44974</v>
      </c>
      <c r="B736" s="2">
        <v>51.85</v>
      </c>
      <c r="C736" s="2">
        <f t="shared" si="11"/>
        <v>4.8332621880192942E-3</v>
      </c>
    </row>
    <row r="737" spans="1:3" x14ac:dyDescent="0.2">
      <c r="A737" s="3">
        <v>44973</v>
      </c>
      <c r="B737" s="2">
        <v>51.6</v>
      </c>
      <c r="C737" s="2">
        <f t="shared" si="11"/>
        <v>-4.8332621880192647E-3</v>
      </c>
    </row>
    <row r="738" spans="1:3" x14ac:dyDescent="0.2">
      <c r="A738" s="3">
        <v>44972</v>
      </c>
      <c r="B738" s="2">
        <v>51.85</v>
      </c>
      <c r="C738" s="2">
        <f t="shared" si="11"/>
        <v>8.7167622144168812E-3</v>
      </c>
    </row>
    <row r="739" spans="1:3" x14ac:dyDescent="0.2">
      <c r="A739" s="3">
        <v>44971</v>
      </c>
      <c r="B739" s="2">
        <v>51.4</v>
      </c>
      <c r="C739" s="2">
        <f t="shared" si="11"/>
        <v>-5.8196090532641534E-3</v>
      </c>
    </row>
    <row r="740" spans="1:3" x14ac:dyDescent="0.2">
      <c r="A740" s="3">
        <v>44970</v>
      </c>
      <c r="B740" s="2">
        <v>51.7</v>
      </c>
      <c r="C740" s="2">
        <f t="shared" si="11"/>
        <v>2.6459162349812233E-2</v>
      </c>
    </row>
    <row r="741" spans="1:3" x14ac:dyDescent="0.2">
      <c r="A741" s="3">
        <v>44967</v>
      </c>
      <c r="B741" s="2">
        <v>50.35</v>
      </c>
      <c r="C741" s="2">
        <f t="shared" si="11"/>
        <v>-1.4785878045087476E-2</v>
      </c>
    </row>
    <row r="742" spans="1:3" x14ac:dyDescent="0.2">
      <c r="A742" s="3">
        <v>44966</v>
      </c>
      <c r="B742" s="2">
        <v>51.1</v>
      </c>
      <c r="C742" s="2">
        <f t="shared" si="11"/>
        <v>1.9588644853329716E-3</v>
      </c>
    </row>
    <row r="743" spans="1:3" x14ac:dyDescent="0.2">
      <c r="A743" s="3">
        <v>44965</v>
      </c>
      <c r="B743" s="2">
        <v>51</v>
      </c>
      <c r="C743" s="2">
        <f t="shared" si="11"/>
        <v>6.8864020296334821E-3</v>
      </c>
    </row>
    <row r="744" spans="1:3" x14ac:dyDescent="0.2">
      <c r="A744" s="3">
        <v>44964</v>
      </c>
      <c r="B744" s="2">
        <v>50.65</v>
      </c>
      <c r="C744" s="2">
        <f t="shared" si="11"/>
        <v>-1.4698941766426984E-2</v>
      </c>
    </row>
    <row r="745" spans="1:3" x14ac:dyDescent="0.2">
      <c r="A745" s="3">
        <v>44963</v>
      </c>
      <c r="B745" s="2">
        <v>51.4</v>
      </c>
      <c r="C745" s="2">
        <f t="shared" si="11"/>
        <v>-1.3526776298201851E-2</v>
      </c>
    </row>
    <row r="746" spans="1:3" x14ac:dyDescent="0.2">
      <c r="A746" s="3">
        <v>44960</v>
      </c>
      <c r="B746" s="2">
        <v>52.1</v>
      </c>
      <c r="C746" s="2">
        <f t="shared" si="11"/>
        <v>1.1583141089630855E-2</v>
      </c>
    </row>
    <row r="747" spans="1:3" x14ac:dyDescent="0.2">
      <c r="A747" s="3">
        <v>44959</v>
      </c>
      <c r="B747" s="2">
        <v>51.5</v>
      </c>
      <c r="C747" s="2">
        <f t="shared" si="11"/>
        <v>5.4671503056619657E-2</v>
      </c>
    </row>
    <row r="748" spans="1:3" x14ac:dyDescent="0.2">
      <c r="A748" s="3">
        <v>44958</v>
      </c>
      <c r="B748" s="2">
        <v>48.76</v>
      </c>
      <c r="C748" s="2">
        <f t="shared" si="11"/>
        <v>2.0303162715407157E-2</v>
      </c>
    </row>
    <row r="749" spans="1:3" x14ac:dyDescent="0.2">
      <c r="A749" s="3">
        <v>44957</v>
      </c>
      <c r="B749" s="2">
        <v>47.78</v>
      </c>
      <c r="C749" s="2">
        <f t="shared" si="11"/>
        <v>2.5146702270674713E-3</v>
      </c>
    </row>
    <row r="750" spans="1:3" x14ac:dyDescent="0.2">
      <c r="A750" s="3">
        <v>44956</v>
      </c>
      <c r="B750" s="2">
        <v>47.66</v>
      </c>
      <c r="C750" s="2">
        <f t="shared" si="11"/>
        <v>-2.2407576526464162E-2</v>
      </c>
    </row>
    <row r="751" spans="1:3" x14ac:dyDescent="0.2">
      <c r="A751" s="3">
        <v>44953</v>
      </c>
      <c r="B751" s="2">
        <v>48.74</v>
      </c>
      <c r="C751" s="2">
        <f t="shared" si="11"/>
        <v>4.1118478986049301E-3</v>
      </c>
    </row>
    <row r="752" spans="1:3" x14ac:dyDescent="0.2">
      <c r="A752" s="3">
        <v>44952</v>
      </c>
      <c r="B752" s="2">
        <v>48.54</v>
      </c>
      <c r="C752" s="2">
        <f t="shared" si="11"/>
        <v>1.8715455811356002E-2</v>
      </c>
    </row>
    <row r="753" spans="1:3" x14ac:dyDescent="0.2">
      <c r="A753" s="3">
        <v>44951</v>
      </c>
      <c r="B753" s="2">
        <v>47.64</v>
      </c>
      <c r="C753" s="2">
        <f t="shared" si="11"/>
        <v>-2.937129434324388E-2</v>
      </c>
    </row>
    <row r="754" spans="1:3" x14ac:dyDescent="0.2">
      <c r="A754" s="3">
        <v>44950</v>
      </c>
      <c r="B754" s="2">
        <v>49.06</v>
      </c>
      <c r="C754" s="2">
        <f t="shared" si="11"/>
        <v>-6.9063853635334526E-3</v>
      </c>
    </row>
    <row r="755" spans="1:3" x14ac:dyDescent="0.2">
      <c r="A755" s="3">
        <v>44949</v>
      </c>
      <c r="B755" s="2">
        <v>49.4</v>
      </c>
      <c r="C755" s="2">
        <f t="shared" si="11"/>
        <v>-5.6520134313465288E-3</v>
      </c>
    </row>
    <row r="756" spans="1:3" x14ac:dyDescent="0.2">
      <c r="A756" s="3">
        <v>44946</v>
      </c>
      <c r="B756" s="2">
        <v>49.68</v>
      </c>
      <c r="C756" s="2">
        <f t="shared" si="11"/>
        <v>1.092907053219023E-2</v>
      </c>
    </row>
    <row r="757" spans="1:3" x14ac:dyDescent="0.2">
      <c r="A757" s="3">
        <v>44945</v>
      </c>
      <c r="B757" s="2">
        <v>49.14</v>
      </c>
      <c r="C757" s="2">
        <f t="shared" si="11"/>
        <v>-2.5317807984289783E-2</v>
      </c>
    </row>
    <row r="758" spans="1:3" x14ac:dyDescent="0.2">
      <c r="A758" s="3">
        <v>44944</v>
      </c>
      <c r="B758" s="2">
        <v>50.4</v>
      </c>
      <c r="C758" s="2">
        <f t="shared" si="11"/>
        <v>1.0371054265487052E-2</v>
      </c>
    </row>
    <row r="759" spans="1:3" x14ac:dyDescent="0.2">
      <c r="A759" s="3">
        <v>44943</v>
      </c>
      <c r="B759" s="2">
        <v>49.88</v>
      </c>
      <c r="C759" s="2">
        <f t="shared" si="11"/>
        <v>1.5761086011360729E-2</v>
      </c>
    </row>
    <row r="760" spans="1:3" x14ac:dyDescent="0.2">
      <c r="A760" s="3">
        <v>44942</v>
      </c>
      <c r="B760" s="2">
        <v>49.1</v>
      </c>
      <c r="C760" s="2">
        <f t="shared" si="11"/>
        <v>1.5186009053883058E-2</v>
      </c>
    </row>
    <row r="761" spans="1:3" x14ac:dyDescent="0.2">
      <c r="A761" s="3">
        <v>44939</v>
      </c>
      <c r="B761" s="2">
        <v>48.36</v>
      </c>
      <c r="C761" s="2">
        <f t="shared" si="11"/>
        <v>1.5000281259492598E-2</v>
      </c>
    </row>
    <row r="762" spans="1:3" x14ac:dyDescent="0.2">
      <c r="A762" s="3">
        <v>44938</v>
      </c>
      <c r="B762" s="2">
        <v>47.64</v>
      </c>
      <c r="C762" s="2">
        <f t="shared" si="11"/>
        <v>-1.0025146619378707E-2</v>
      </c>
    </row>
    <row r="763" spans="1:3" x14ac:dyDescent="0.2">
      <c r="A763" s="3">
        <v>44937</v>
      </c>
      <c r="B763" s="2">
        <v>48.12</v>
      </c>
      <c r="C763" s="2">
        <f t="shared" si="11"/>
        <v>1.8880359449111185E-2</v>
      </c>
    </row>
    <row r="764" spans="1:3" x14ac:dyDescent="0.2">
      <c r="A764" s="3">
        <v>44936</v>
      </c>
      <c r="B764" s="2">
        <v>47.22</v>
      </c>
      <c r="C764" s="2">
        <f t="shared" si="11"/>
        <v>-8.4353094013498494E-3</v>
      </c>
    </row>
    <row r="765" spans="1:3" x14ac:dyDescent="0.2">
      <c r="A765" s="3">
        <v>44935</v>
      </c>
      <c r="B765" s="2">
        <v>47.62</v>
      </c>
      <c r="C765" s="2">
        <f t="shared" si="11"/>
        <v>1.8224704454849021E-2</v>
      </c>
    </row>
    <row r="766" spans="1:3" x14ac:dyDescent="0.2">
      <c r="A766" s="3">
        <v>44932</v>
      </c>
      <c r="B766" s="2">
        <v>46.76</v>
      </c>
      <c r="C766" s="2">
        <f t="shared" si="11"/>
        <v>2.6876346785792152E-2</v>
      </c>
    </row>
    <row r="767" spans="1:3" x14ac:dyDescent="0.2">
      <c r="A767" s="3">
        <v>44931</v>
      </c>
      <c r="B767" s="2">
        <v>45.52</v>
      </c>
      <c r="C767" s="2">
        <f t="shared" si="11"/>
        <v>1.148930004775571E-2</v>
      </c>
    </row>
    <row r="768" spans="1:3" x14ac:dyDescent="0.2">
      <c r="A768" s="3">
        <v>44930</v>
      </c>
      <c r="B768" s="2">
        <v>45</v>
      </c>
      <c r="C768" s="2">
        <f t="shared" si="11"/>
        <v>3.068832880544959E-2</v>
      </c>
    </row>
    <row r="769" spans="1:3" x14ac:dyDescent="0.2">
      <c r="A769" s="3">
        <v>44929</v>
      </c>
      <c r="B769" s="2">
        <v>43.64</v>
      </c>
      <c r="C769" s="2">
        <f t="shared" si="11"/>
        <v>3.4502256731763228E-2</v>
      </c>
    </row>
    <row r="770" spans="1:3" x14ac:dyDescent="0.2">
      <c r="A770" s="3">
        <v>44925</v>
      </c>
      <c r="B770" s="2">
        <v>42.16</v>
      </c>
      <c r="C770" s="2">
        <f t="shared" si="11"/>
        <v>-2.6680730775337239E-2</v>
      </c>
    </row>
    <row r="771" spans="1:3" x14ac:dyDescent="0.2">
      <c r="A771" s="3">
        <v>44924</v>
      </c>
      <c r="B771" s="2">
        <v>43.3</v>
      </c>
      <c r="C771" s="2">
        <f t="shared" ref="C771:C834" si="12">+LN(B771/B772)</f>
        <v>1.1147351846907317E-2</v>
      </c>
    </row>
    <row r="772" spans="1:3" x14ac:dyDescent="0.2">
      <c r="A772" s="3">
        <v>44923</v>
      </c>
      <c r="B772" s="2">
        <v>42.82</v>
      </c>
      <c r="C772" s="2">
        <f t="shared" si="12"/>
        <v>5.6206236962032868E-3</v>
      </c>
    </row>
    <row r="773" spans="1:3" x14ac:dyDescent="0.2">
      <c r="A773" s="3">
        <v>44922</v>
      </c>
      <c r="B773" s="2">
        <v>42.58</v>
      </c>
      <c r="C773" s="2">
        <f t="shared" si="12"/>
        <v>-8.8847907352758403E-3</v>
      </c>
    </row>
    <row r="774" spans="1:3" x14ac:dyDescent="0.2">
      <c r="A774" s="3">
        <v>44918</v>
      </c>
      <c r="B774" s="2">
        <v>42.96</v>
      </c>
      <c r="C774" s="2">
        <f t="shared" si="12"/>
        <v>1.6901810802603254E-2</v>
      </c>
    </row>
    <row r="775" spans="1:3" x14ac:dyDescent="0.2">
      <c r="A775" s="3">
        <v>44917</v>
      </c>
      <c r="B775" s="2">
        <v>42.24</v>
      </c>
      <c r="C775" s="2">
        <f t="shared" si="12"/>
        <v>-2.2472855852058628E-2</v>
      </c>
    </row>
    <row r="776" spans="1:3" x14ac:dyDescent="0.2">
      <c r="A776" s="3">
        <v>44916</v>
      </c>
      <c r="B776" s="2">
        <v>43.2</v>
      </c>
      <c r="C776" s="2">
        <f t="shared" si="12"/>
        <v>2.0108229543345461E-2</v>
      </c>
    </row>
    <row r="777" spans="1:3" x14ac:dyDescent="0.2">
      <c r="A777" s="3">
        <v>44915</v>
      </c>
      <c r="B777" s="2">
        <v>42.34</v>
      </c>
      <c r="C777" s="2">
        <f t="shared" si="12"/>
        <v>-1.0338437947540453E-2</v>
      </c>
    </row>
    <row r="778" spans="1:3" x14ac:dyDescent="0.2">
      <c r="A778" s="3">
        <v>44914</v>
      </c>
      <c r="B778" s="2">
        <v>42.78</v>
      </c>
      <c r="C778" s="2">
        <f t="shared" si="12"/>
        <v>-1.4015419252885557E-3</v>
      </c>
    </row>
    <row r="779" spans="1:3" x14ac:dyDescent="0.2">
      <c r="A779" s="3">
        <v>44911</v>
      </c>
      <c r="B779" s="2">
        <v>42.84</v>
      </c>
      <c r="C779" s="2">
        <f t="shared" si="12"/>
        <v>-1.3908430046131888E-2</v>
      </c>
    </row>
    <row r="780" spans="1:3" x14ac:dyDescent="0.2">
      <c r="A780" s="3">
        <v>44910</v>
      </c>
      <c r="B780" s="2">
        <v>43.44</v>
      </c>
      <c r="C780" s="2">
        <f t="shared" si="12"/>
        <v>-3.1273792747100994E-2</v>
      </c>
    </row>
    <row r="781" spans="1:3" x14ac:dyDescent="0.2">
      <c r="A781" s="3">
        <v>44909</v>
      </c>
      <c r="B781" s="2">
        <v>44.82</v>
      </c>
      <c r="C781" s="2">
        <f t="shared" si="12"/>
        <v>-1.3377928416599422E-3</v>
      </c>
    </row>
    <row r="782" spans="1:3" x14ac:dyDescent="0.2">
      <c r="A782" s="3">
        <v>44908</v>
      </c>
      <c r="B782" s="2">
        <v>44.88</v>
      </c>
      <c r="C782" s="2">
        <f t="shared" si="12"/>
        <v>3.4916265106227883E-2</v>
      </c>
    </row>
    <row r="783" spans="1:3" x14ac:dyDescent="0.2">
      <c r="A783" s="3">
        <v>44907</v>
      </c>
      <c r="B783" s="2">
        <v>43.34</v>
      </c>
      <c r="C783" s="2">
        <f t="shared" si="12"/>
        <v>4.6253551472027884E-3</v>
      </c>
    </row>
    <row r="784" spans="1:3" x14ac:dyDescent="0.2">
      <c r="A784" s="3">
        <v>44904</v>
      </c>
      <c r="B784" s="2">
        <v>43.14</v>
      </c>
      <c r="C784" s="2">
        <f t="shared" si="12"/>
        <v>2.9164814032918398E-2</v>
      </c>
    </row>
    <row r="785" spans="1:3" x14ac:dyDescent="0.2">
      <c r="A785" s="3">
        <v>44903</v>
      </c>
      <c r="B785" s="2">
        <v>41.9</v>
      </c>
      <c r="C785" s="2">
        <f t="shared" si="12"/>
        <v>-4.7721308469475337E-4</v>
      </c>
    </row>
    <row r="786" spans="1:3" x14ac:dyDescent="0.2">
      <c r="A786" s="3">
        <v>44902</v>
      </c>
      <c r="B786" s="2">
        <v>41.92</v>
      </c>
      <c r="C786" s="2">
        <f t="shared" si="12"/>
        <v>-3.8095284166676188E-3</v>
      </c>
    </row>
    <row r="787" spans="1:3" x14ac:dyDescent="0.2">
      <c r="A787" s="3">
        <v>44901</v>
      </c>
      <c r="B787" s="2">
        <v>42.08</v>
      </c>
      <c r="C787" s="2">
        <f t="shared" si="12"/>
        <v>-1.74327147320824E-2</v>
      </c>
    </row>
    <row r="788" spans="1:3" x14ac:dyDescent="0.2">
      <c r="A788" s="3">
        <v>44900</v>
      </c>
      <c r="B788" s="2">
        <v>42.82</v>
      </c>
      <c r="C788" s="2">
        <f t="shared" si="12"/>
        <v>-1.4835691666746875E-2</v>
      </c>
    </row>
    <row r="789" spans="1:3" x14ac:dyDescent="0.2">
      <c r="A789" s="3">
        <v>44897</v>
      </c>
      <c r="B789" s="2">
        <v>43.46</v>
      </c>
      <c r="C789" s="2">
        <f t="shared" si="12"/>
        <v>7.390333867273358E-3</v>
      </c>
    </row>
    <row r="790" spans="1:3" x14ac:dyDescent="0.2">
      <c r="A790" s="3">
        <v>44896</v>
      </c>
      <c r="B790" s="2">
        <v>43.14</v>
      </c>
      <c r="C790" s="2">
        <f t="shared" si="12"/>
        <v>1.4946565030639201E-2</v>
      </c>
    </row>
    <row r="791" spans="1:3" x14ac:dyDescent="0.2">
      <c r="A791" s="3">
        <v>44895</v>
      </c>
      <c r="B791" s="2">
        <v>42.5</v>
      </c>
      <c r="C791" s="2">
        <f t="shared" si="12"/>
        <v>-3.7576371128332934E-3</v>
      </c>
    </row>
    <row r="792" spans="1:3" x14ac:dyDescent="0.2">
      <c r="A792" s="3">
        <v>44894</v>
      </c>
      <c r="B792" s="2">
        <v>42.66</v>
      </c>
      <c r="C792" s="2">
        <f t="shared" si="12"/>
        <v>-7.4731781711599252E-3</v>
      </c>
    </row>
    <row r="793" spans="1:3" x14ac:dyDescent="0.2">
      <c r="A793" s="3">
        <v>44893</v>
      </c>
      <c r="B793" s="2">
        <v>42.98</v>
      </c>
      <c r="C793" s="2">
        <f t="shared" si="12"/>
        <v>-1.2026046880274048E-2</v>
      </c>
    </row>
    <row r="794" spans="1:3" x14ac:dyDescent="0.2">
      <c r="A794" s="3">
        <v>44890</v>
      </c>
      <c r="B794" s="2">
        <v>43.5</v>
      </c>
      <c r="C794" s="2">
        <f t="shared" si="12"/>
        <v>-7.7857045451218089E-3</v>
      </c>
    </row>
    <row r="795" spans="1:3" x14ac:dyDescent="0.2">
      <c r="A795" s="3">
        <v>44888</v>
      </c>
      <c r="B795" s="2">
        <v>43.84</v>
      </c>
      <c r="C795" s="2">
        <f t="shared" si="12"/>
        <v>4.1142915179623249E-3</v>
      </c>
    </row>
    <row r="796" spans="1:3" x14ac:dyDescent="0.2">
      <c r="A796" s="3">
        <v>44887</v>
      </c>
      <c r="B796" s="2">
        <v>43.66</v>
      </c>
      <c r="C796" s="2">
        <f t="shared" si="12"/>
        <v>-7.7572827964634047E-3</v>
      </c>
    </row>
    <row r="797" spans="1:3" x14ac:dyDescent="0.2">
      <c r="A797" s="3">
        <v>44886</v>
      </c>
      <c r="B797" s="2">
        <v>44</v>
      </c>
      <c r="C797" s="2">
        <f t="shared" si="12"/>
        <v>-3.1767669103291503E-3</v>
      </c>
    </row>
    <row r="798" spans="1:3" x14ac:dyDescent="0.2">
      <c r="A798" s="3">
        <v>44883</v>
      </c>
      <c r="B798" s="2">
        <v>44.14</v>
      </c>
      <c r="C798" s="2">
        <f t="shared" si="12"/>
        <v>1.3227102763830515E-2</v>
      </c>
    </row>
    <row r="799" spans="1:3" x14ac:dyDescent="0.2">
      <c r="A799" s="3">
        <v>44882</v>
      </c>
      <c r="B799" s="2">
        <v>43.56</v>
      </c>
      <c r="C799" s="2">
        <f t="shared" si="12"/>
        <v>3.679856958400618E-3</v>
      </c>
    </row>
    <row r="800" spans="1:3" x14ac:dyDescent="0.2">
      <c r="A800" s="3">
        <v>44881</v>
      </c>
      <c r="B800" s="2">
        <v>43.4</v>
      </c>
      <c r="C800" s="2">
        <f t="shared" si="12"/>
        <v>-2.0073666734076987E-2</v>
      </c>
    </row>
    <row r="801" spans="1:3" x14ac:dyDescent="0.2">
      <c r="A801" s="3">
        <v>44880</v>
      </c>
      <c r="B801" s="2">
        <v>44.28</v>
      </c>
      <c r="C801" s="2">
        <f t="shared" si="12"/>
        <v>-2.3656537238946913E-2</v>
      </c>
    </row>
    <row r="802" spans="1:3" x14ac:dyDescent="0.2">
      <c r="A802" s="3">
        <v>44879</v>
      </c>
      <c r="B802" s="2">
        <v>45.34</v>
      </c>
      <c r="C802" s="2">
        <f t="shared" si="12"/>
        <v>-2.2031293335128739E-3</v>
      </c>
    </row>
    <row r="803" spans="1:3" x14ac:dyDescent="0.2">
      <c r="A803" s="3">
        <v>44876</v>
      </c>
      <c r="B803" s="2">
        <v>45.44</v>
      </c>
      <c r="C803" s="2">
        <f t="shared" si="12"/>
        <v>2.4505570224730391E-2</v>
      </c>
    </row>
    <row r="804" spans="1:3" x14ac:dyDescent="0.2">
      <c r="A804" s="3">
        <v>44875</v>
      </c>
      <c r="B804" s="2">
        <v>44.34</v>
      </c>
      <c r="C804" s="2">
        <f t="shared" si="12"/>
        <v>4.8046192000254853E-2</v>
      </c>
    </row>
    <row r="805" spans="1:3" x14ac:dyDescent="0.2">
      <c r="A805" s="3">
        <v>44874</v>
      </c>
      <c r="B805" s="2">
        <v>42.26</v>
      </c>
      <c r="C805" s="2">
        <f t="shared" si="12"/>
        <v>1.814758495125806E-2</v>
      </c>
    </row>
    <row r="806" spans="1:3" x14ac:dyDescent="0.2">
      <c r="A806" s="3">
        <v>44873</v>
      </c>
      <c r="B806" s="2">
        <v>41.5</v>
      </c>
      <c r="C806" s="2">
        <f t="shared" si="12"/>
        <v>3.1329042892146712E-2</v>
      </c>
    </row>
    <row r="807" spans="1:3" x14ac:dyDescent="0.2">
      <c r="A807" s="3">
        <v>44872</v>
      </c>
      <c r="B807" s="2">
        <v>40.22</v>
      </c>
      <c r="C807" s="2">
        <f t="shared" si="12"/>
        <v>1.6040444170086345E-2</v>
      </c>
    </row>
    <row r="808" spans="1:3" x14ac:dyDescent="0.2">
      <c r="A808" s="3">
        <v>44869</v>
      </c>
      <c r="B808" s="2">
        <v>39.58</v>
      </c>
      <c r="C808" s="2">
        <f t="shared" si="12"/>
        <v>3.2874043987819394E-2</v>
      </c>
    </row>
    <row r="809" spans="1:3" x14ac:dyDescent="0.2">
      <c r="A809" s="3">
        <v>44868</v>
      </c>
      <c r="B809" s="2">
        <v>38.299999999999997</v>
      </c>
      <c r="C809" s="2">
        <f t="shared" si="12"/>
        <v>-1.3485681554263941E-2</v>
      </c>
    </row>
    <row r="810" spans="1:3" x14ac:dyDescent="0.2">
      <c r="A810" s="3">
        <v>44867</v>
      </c>
      <c r="B810" s="2">
        <v>38.82</v>
      </c>
      <c r="C810" s="2">
        <f t="shared" si="12"/>
        <v>-8.720239921445324E-3</v>
      </c>
    </row>
    <row r="811" spans="1:3" x14ac:dyDescent="0.2">
      <c r="A811" s="3">
        <v>44866</v>
      </c>
      <c r="B811" s="2">
        <v>39.159999999999997</v>
      </c>
      <c r="C811" s="2">
        <f t="shared" si="12"/>
        <v>-5.1059485408513764E-4</v>
      </c>
    </row>
    <row r="812" spans="1:3" x14ac:dyDescent="0.2">
      <c r="A812" s="3">
        <v>44865</v>
      </c>
      <c r="B812" s="2">
        <v>39.18</v>
      </c>
      <c r="C812" s="2">
        <f t="shared" si="12"/>
        <v>-3.0663372450709721E-2</v>
      </c>
    </row>
    <row r="813" spans="1:3" x14ac:dyDescent="0.2">
      <c r="A813" s="3">
        <v>44862</v>
      </c>
      <c r="B813" s="2">
        <v>40.4</v>
      </c>
      <c r="C813" s="2">
        <f t="shared" si="12"/>
        <v>6.4564415989121987E-3</v>
      </c>
    </row>
    <row r="814" spans="1:3" x14ac:dyDescent="0.2">
      <c r="A814" s="3">
        <v>44861</v>
      </c>
      <c r="B814" s="2">
        <v>40.14</v>
      </c>
      <c r="C814" s="2">
        <f t="shared" si="12"/>
        <v>-8.9286307443013184E-3</v>
      </c>
    </row>
    <row r="815" spans="1:3" x14ac:dyDescent="0.2">
      <c r="A815" s="3">
        <v>44860</v>
      </c>
      <c r="B815" s="2">
        <v>40.5</v>
      </c>
      <c r="C815" s="2">
        <f t="shared" si="12"/>
        <v>7.4349784875179905E-3</v>
      </c>
    </row>
    <row r="816" spans="1:3" x14ac:dyDescent="0.2">
      <c r="A816" s="3">
        <v>44859</v>
      </c>
      <c r="B816" s="2">
        <v>40.200000000000003</v>
      </c>
      <c r="C816" s="2">
        <f t="shared" si="12"/>
        <v>3.1844995680921841E-2</v>
      </c>
    </row>
    <row r="817" spans="1:3" x14ac:dyDescent="0.2">
      <c r="A817" s="3">
        <v>44858</v>
      </c>
      <c r="B817" s="2">
        <v>38.94</v>
      </c>
      <c r="C817" s="2">
        <f t="shared" si="12"/>
        <v>3.661496878569083E-2</v>
      </c>
    </row>
    <row r="818" spans="1:3" x14ac:dyDescent="0.2">
      <c r="A818" s="3">
        <v>44855</v>
      </c>
      <c r="B818" s="2">
        <v>37.54</v>
      </c>
      <c r="C818" s="2">
        <f t="shared" si="12"/>
        <v>-6.3728309150008376E-3</v>
      </c>
    </row>
    <row r="819" spans="1:3" x14ac:dyDescent="0.2">
      <c r="A819" s="3">
        <v>44854</v>
      </c>
      <c r="B819" s="2">
        <v>37.78</v>
      </c>
      <c r="C819" s="2">
        <f t="shared" si="12"/>
        <v>1.9781452295385003E-2</v>
      </c>
    </row>
    <row r="820" spans="1:3" x14ac:dyDescent="0.2">
      <c r="A820" s="3">
        <v>44853</v>
      </c>
      <c r="B820" s="2">
        <v>37.04</v>
      </c>
      <c r="C820" s="2">
        <f t="shared" si="12"/>
        <v>7.5881122904923794E-3</v>
      </c>
    </row>
    <row r="821" spans="1:3" x14ac:dyDescent="0.2">
      <c r="A821" s="3">
        <v>44852</v>
      </c>
      <c r="B821" s="2">
        <v>36.76</v>
      </c>
      <c r="C821" s="2">
        <f t="shared" si="12"/>
        <v>2.8699541479187931E-2</v>
      </c>
    </row>
    <row r="822" spans="1:3" x14ac:dyDescent="0.2">
      <c r="A822" s="3">
        <v>44851</v>
      </c>
      <c r="B822" s="2">
        <v>35.72</v>
      </c>
      <c r="C822" s="2">
        <f t="shared" si="12"/>
        <v>3.4751431970984126E-2</v>
      </c>
    </row>
    <row r="823" spans="1:3" x14ac:dyDescent="0.2">
      <c r="A823" s="3">
        <v>44848</v>
      </c>
      <c r="B823" s="2">
        <v>34.5</v>
      </c>
      <c r="C823" s="2">
        <f t="shared" si="12"/>
        <v>-9.8068279469880632E-3</v>
      </c>
    </row>
    <row r="824" spans="1:3" x14ac:dyDescent="0.2">
      <c r="A824" s="3">
        <v>44847</v>
      </c>
      <c r="B824" s="2">
        <v>34.840000000000003</v>
      </c>
      <c r="C824" s="2">
        <f t="shared" si="12"/>
        <v>3.0897240604647998E-2</v>
      </c>
    </row>
    <row r="825" spans="1:3" x14ac:dyDescent="0.2">
      <c r="A825" s="3">
        <v>44846</v>
      </c>
      <c r="B825" s="2">
        <v>33.78</v>
      </c>
      <c r="C825" s="2">
        <f t="shared" si="12"/>
        <v>-1.2941357084393354E-2</v>
      </c>
    </row>
    <row r="826" spans="1:3" x14ac:dyDescent="0.2">
      <c r="A826" s="3">
        <v>44845</v>
      </c>
      <c r="B826" s="2">
        <v>34.22</v>
      </c>
      <c r="C826" s="2">
        <f t="shared" si="12"/>
        <v>-2.2537793025366331E-2</v>
      </c>
    </row>
    <row r="827" spans="1:3" x14ac:dyDescent="0.2">
      <c r="A827" s="3">
        <v>44844</v>
      </c>
      <c r="B827" s="2">
        <v>35</v>
      </c>
      <c r="C827" s="2">
        <f t="shared" si="12"/>
        <v>-1.6997576368571136E-2</v>
      </c>
    </row>
    <row r="828" spans="1:3" x14ac:dyDescent="0.2">
      <c r="A828" s="3">
        <v>44841</v>
      </c>
      <c r="B828" s="2">
        <v>35.6</v>
      </c>
      <c r="C828" s="2">
        <f t="shared" si="12"/>
        <v>-1.6160842109164228E-2</v>
      </c>
    </row>
    <row r="829" spans="1:3" x14ac:dyDescent="0.2">
      <c r="A829" s="3">
        <v>44840</v>
      </c>
      <c r="B829" s="2">
        <v>36.18</v>
      </c>
      <c r="C829" s="2">
        <f t="shared" si="12"/>
        <v>1.3355791181555636E-2</v>
      </c>
    </row>
    <row r="830" spans="1:3" x14ac:dyDescent="0.2">
      <c r="A830" s="3">
        <v>44839</v>
      </c>
      <c r="B830" s="2">
        <v>35.700000000000003</v>
      </c>
      <c r="C830" s="2">
        <f t="shared" si="12"/>
        <v>-5.5866067086397121E-3</v>
      </c>
    </row>
    <row r="831" spans="1:3" x14ac:dyDescent="0.2">
      <c r="A831" s="3">
        <v>44838</v>
      </c>
      <c r="B831" s="2">
        <v>35.9</v>
      </c>
      <c r="C831" s="2">
        <f t="shared" si="12"/>
        <v>6.1460625766476748E-2</v>
      </c>
    </row>
    <row r="832" spans="1:3" x14ac:dyDescent="0.2">
      <c r="A832" s="3">
        <v>44837</v>
      </c>
      <c r="B832" s="2">
        <v>33.76</v>
      </c>
      <c r="C832" s="2">
        <f t="shared" si="12"/>
        <v>1.012214656050855E-2</v>
      </c>
    </row>
    <row r="833" spans="1:3" x14ac:dyDescent="0.2">
      <c r="A833" s="3">
        <v>44834</v>
      </c>
      <c r="B833" s="2">
        <v>33.42</v>
      </c>
      <c r="C833" s="2">
        <f t="shared" si="12"/>
        <v>3.1613574917758618E-2</v>
      </c>
    </row>
    <row r="834" spans="1:3" x14ac:dyDescent="0.2">
      <c r="A834" s="3">
        <v>44833</v>
      </c>
      <c r="B834" s="2">
        <v>32.380000000000003</v>
      </c>
      <c r="C834" s="2">
        <f t="shared" si="12"/>
        <v>-3.1613574917758611E-2</v>
      </c>
    </row>
    <row r="835" spans="1:3" x14ac:dyDescent="0.2">
      <c r="A835" s="3">
        <v>44832</v>
      </c>
      <c r="B835" s="2">
        <v>33.42</v>
      </c>
      <c r="C835" s="2">
        <f t="shared" ref="C835:C898" si="13">+LN(B835/B836)</f>
        <v>1.2041084675265632E-2</v>
      </c>
    </row>
    <row r="836" spans="1:3" x14ac:dyDescent="0.2">
      <c r="A836" s="3">
        <v>44831</v>
      </c>
      <c r="B836" s="2">
        <v>33.020000000000003</v>
      </c>
      <c r="C836" s="2">
        <f t="shared" si="13"/>
        <v>-5.4364374304609088E-3</v>
      </c>
    </row>
    <row r="837" spans="1:3" x14ac:dyDescent="0.2">
      <c r="A837" s="3">
        <v>44830</v>
      </c>
      <c r="B837" s="2">
        <v>33.200000000000003</v>
      </c>
      <c r="C837" s="2">
        <f t="shared" si="13"/>
        <v>1.8851272748543847E-2</v>
      </c>
    </row>
    <row r="838" spans="1:3" x14ac:dyDescent="0.2">
      <c r="A838" s="3">
        <v>44827</v>
      </c>
      <c r="B838" s="2">
        <v>32.58</v>
      </c>
      <c r="C838" s="2">
        <f t="shared" si="13"/>
        <v>-9.7740545974271831E-3</v>
      </c>
    </row>
    <row r="839" spans="1:3" x14ac:dyDescent="0.2">
      <c r="A839" s="3">
        <v>44826</v>
      </c>
      <c r="B839" s="2">
        <v>32.9</v>
      </c>
      <c r="C839" s="2">
        <f t="shared" si="13"/>
        <v>-2.283753099133367E-2</v>
      </c>
    </row>
    <row r="840" spans="1:3" x14ac:dyDescent="0.2">
      <c r="A840" s="3">
        <v>44825</v>
      </c>
      <c r="B840" s="2">
        <v>33.659999999999997</v>
      </c>
      <c r="C840" s="2">
        <f t="shared" si="13"/>
        <v>1.1353572809652037E-2</v>
      </c>
    </row>
    <row r="841" spans="1:3" x14ac:dyDescent="0.2">
      <c r="A841" s="3">
        <v>44824</v>
      </c>
      <c r="B841" s="2">
        <v>33.28</v>
      </c>
      <c r="C841" s="2">
        <f t="shared" si="13"/>
        <v>-2.375408600810703E-2</v>
      </c>
    </row>
    <row r="842" spans="1:3" x14ac:dyDescent="0.2">
      <c r="A842" s="3">
        <v>44823</v>
      </c>
      <c r="B842" s="2">
        <v>34.08</v>
      </c>
      <c r="C842" s="2">
        <f t="shared" si="13"/>
        <v>6.4763252561257489E-3</v>
      </c>
    </row>
    <row r="843" spans="1:3" x14ac:dyDescent="0.2">
      <c r="A843" s="3">
        <v>44820</v>
      </c>
      <c r="B843" s="2">
        <v>33.86</v>
      </c>
      <c r="C843" s="2">
        <f t="shared" si="13"/>
        <v>-1.6984302854540768E-2</v>
      </c>
    </row>
    <row r="844" spans="1:3" x14ac:dyDescent="0.2">
      <c r="A844" s="3">
        <v>44819</v>
      </c>
      <c r="B844" s="2">
        <v>34.44</v>
      </c>
      <c r="C844" s="2">
        <f t="shared" si="13"/>
        <v>-9.2486208376612467E-3</v>
      </c>
    </row>
    <row r="845" spans="1:3" x14ac:dyDescent="0.2">
      <c r="A845" s="3">
        <v>44818</v>
      </c>
      <c r="B845" s="2">
        <v>34.76</v>
      </c>
      <c r="C845" s="2">
        <f t="shared" si="13"/>
        <v>-2.5001302205417384E-2</v>
      </c>
    </row>
    <row r="846" spans="1:3" x14ac:dyDescent="0.2">
      <c r="A846" s="3">
        <v>44817</v>
      </c>
      <c r="B846" s="2">
        <v>35.64</v>
      </c>
      <c r="C846" s="2">
        <f t="shared" si="13"/>
        <v>-3.0397477184371045E-2</v>
      </c>
    </row>
    <row r="847" spans="1:3" x14ac:dyDescent="0.2">
      <c r="A847" s="3">
        <v>44816</v>
      </c>
      <c r="B847" s="2">
        <v>36.74</v>
      </c>
      <c r="C847" s="2">
        <f t="shared" si="13"/>
        <v>2.9275772075171076E-2</v>
      </c>
    </row>
    <row r="848" spans="1:3" x14ac:dyDescent="0.2">
      <c r="A848" s="3">
        <v>44813</v>
      </c>
      <c r="B848" s="2">
        <v>35.68</v>
      </c>
      <c r="C848" s="2">
        <f t="shared" si="13"/>
        <v>2.3824155727506451E-2</v>
      </c>
    </row>
    <row r="849" spans="1:3" x14ac:dyDescent="0.2">
      <c r="A849" s="3">
        <v>44812</v>
      </c>
      <c r="B849" s="2">
        <v>34.840000000000003</v>
      </c>
      <c r="C849" s="2">
        <f t="shared" si="13"/>
        <v>2.0296434618007675E-2</v>
      </c>
    </row>
    <row r="850" spans="1:3" x14ac:dyDescent="0.2">
      <c r="A850" s="3">
        <v>44811</v>
      </c>
      <c r="B850" s="2">
        <v>34.14</v>
      </c>
      <c r="C850" s="2">
        <f t="shared" si="13"/>
        <v>8.2353406613052266E-3</v>
      </c>
    </row>
    <row r="851" spans="1:3" x14ac:dyDescent="0.2">
      <c r="A851" s="3">
        <v>44810</v>
      </c>
      <c r="B851" s="2">
        <v>33.86</v>
      </c>
      <c r="C851" s="2">
        <f t="shared" si="13"/>
        <v>9.4956203099263795E-3</v>
      </c>
    </row>
    <row r="852" spans="1:3" x14ac:dyDescent="0.2">
      <c r="A852" s="3">
        <v>44809</v>
      </c>
      <c r="B852" s="2">
        <v>33.54</v>
      </c>
      <c r="C852" s="2">
        <f t="shared" si="13"/>
        <v>-4.9443044672916041E-2</v>
      </c>
    </row>
    <row r="853" spans="1:3" x14ac:dyDescent="0.2">
      <c r="A853" s="3">
        <v>44806</v>
      </c>
      <c r="B853" s="2">
        <v>35.24</v>
      </c>
      <c r="C853" s="2">
        <f t="shared" si="13"/>
        <v>3.4058125833436453E-2</v>
      </c>
    </row>
    <row r="854" spans="1:3" x14ac:dyDescent="0.2">
      <c r="A854" s="3">
        <v>44805</v>
      </c>
      <c r="B854" s="2">
        <v>34.06</v>
      </c>
      <c r="C854" s="2">
        <f t="shared" si="13"/>
        <v>-3.6891791657008129E-2</v>
      </c>
    </row>
    <row r="855" spans="1:3" x14ac:dyDescent="0.2">
      <c r="A855" s="3">
        <v>44804</v>
      </c>
      <c r="B855" s="2">
        <v>35.340000000000003</v>
      </c>
      <c r="C855" s="2">
        <f t="shared" si="13"/>
        <v>-6.7682153461386275E-3</v>
      </c>
    </row>
    <row r="856" spans="1:3" x14ac:dyDescent="0.2">
      <c r="A856" s="3">
        <v>44803</v>
      </c>
      <c r="B856" s="2">
        <v>35.58</v>
      </c>
      <c r="C856" s="2">
        <f t="shared" si="13"/>
        <v>-2.8066254741195788E-3</v>
      </c>
    </row>
    <row r="857" spans="1:3" x14ac:dyDescent="0.2">
      <c r="A857" s="3">
        <v>44802</v>
      </c>
      <c r="B857" s="2">
        <v>35.68</v>
      </c>
      <c r="C857" s="2">
        <f t="shared" si="13"/>
        <v>-6.7039357221903295E-3</v>
      </c>
    </row>
    <row r="858" spans="1:3" x14ac:dyDescent="0.2">
      <c r="A858" s="3">
        <v>44799</v>
      </c>
      <c r="B858" s="2">
        <v>35.92</v>
      </c>
      <c r="C858" s="2">
        <f t="shared" si="13"/>
        <v>-3.984155859341789E-2</v>
      </c>
    </row>
    <row r="859" spans="1:3" x14ac:dyDescent="0.2">
      <c r="A859" s="3">
        <v>44798</v>
      </c>
      <c r="B859" s="2">
        <v>37.380000000000003</v>
      </c>
      <c r="C859" s="2">
        <f t="shared" si="13"/>
        <v>1.6064260482737947E-3</v>
      </c>
    </row>
    <row r="860" spans="1:3" x14ac:dyDescent="0.2">
      <c r="A860" s="3">
        <v>44797</v>
      </c>
      <c r="B860" s="2">
        <v>37.32</v>
      </c>
      <c r="C860" s="2">
        <f t="shared" si="13"/>
        <v>5.3604932937330817E-4</v>
      </c>
    </row>
    <row r="861" spans="1:3" x14ac:dyDescent="0.2">
      <c r="A861" s="3">
        <v>44796</v>
      </c>
      <c r="B861" s="2">
        <v>37.299999999999997</v>
      </c>
      <c r="C861" s="2">
        <f t="shared" si="13"/>
        <v>-1.7539647091957381E-2</v>
      </c>
    </row>
    <row r="862" spans="1:3" x14ac:dyDescent="0.2">
      <c r="A862" s="3">
        <v>44795</v>
      </c>
      <c r="B862" s="2">
        <v>37.96</v>
      </c>
      <c r="C862" s="2">
        <f t="shared" si="13"/>
        <v>-3.0611988226203091E-2</v>
      </c>
    </row>
    <row r="863" spans="1:3" x14ac:dyDescent="0.2">
      <c r="A863" s="3">
        <v>44792</v>
      </c>
      <c r="B863" s="2">
        <v>39.14</v>
      </c>
      <c r="C863" s="2">
        <f t="shared" si="13"/>
        <v>-3.6130372429738468E-2</v>
      </c>
    </row>
    <row r="864" spans="1:3" x14ac:dyDescent="0.2">
      <c r="A864" s="3">
        <v>44791</v>
      </c>
      <c r="B864" s="2">
        <v>40.58</v>
      </c>
      <c r="C864" s="2">
        <f t="shared" si="13"/>
        <v>2.7987833803199406E-2</v>
      </c>
    </row>
    <row r="865" spans="1:3" x14ac:dyDescent="0.2">
      <c r="A865" s="3">
        <v>44790</v>
      </c>
      <c r="B865" s="2">
        <v>39.46</v>
      </c>
      <c r="C865" s="2">
        <f t="shared" si="13"/>
        <v>-2.6508178786013383E-2</v>
      </c>
    </row>
    <row r="866" spans="1:3" x14ac:dyDescent="0.2">
      <c r="A866" s="3">
        <v>44789</v>
      </c>
      <c r="B866" s="2">
        <v>40.520000000000003</v>
      </c>
      <c r="C866" s="2">
        <f t="shared" si="13"/>
        <v>-1.47965501718594E-3</v>
      </c>
    </row>
    <row r="867" spans="1:3" x14ac:dyDescent="0.2">
      <c r="A867" s="3">
        <v>44785</v>
      </c>
      <c r="B867" s="2">
        <v>40.58</v>
      </c>
      <c r="C867" s="2">
        <f t="shared" si="13"/>
        <v>5.4361389122604253E-3</v>
      </c>
    </row>
    <row r="868" spans="1:3" x14ac:dyDescent="0.2">
      <c r="A868" s="3">
        <v>44784</v>
      </c>
      <c r="B868" s="2">
        <v>40.36</v>
      </c>
      <c r="C868" s="2">
        <f t="shared" si="13"/>
        <v>-1.3290867563347792E-2</v>
      </c>
    </row>
    <row r="869" spans="1:3" x14ac:dyDescent="0.2">
      <c r="A869" s="3">
        <v>44783</v>
      </c>
      <c r="B869" s="2">
        <v>40.9</v>
      </c>
      <c r="C869" s="2">
        <f t="shared" si="13"/>
        <v>3.0282780632084033E-2</v>
      </c>
    </row>
    <row r="870" spans="1:3" x14ac:dyDescent="0.2">
      <c r="A870" s="3">
        <v>44782</v>
      </c>
      <c r="B870" s="2">
        <v>39.68</v>
      </c>
      <c r="C870" s="2">
        <f t="shared" si="13"/>
        <v>-4.2433598414596665E-2</v>
      </c>
    </row>
    <row r="871" spans="1:3" x14ac:dyDescent="0.2">
      <c r="A871" s="3">
        <v>44781</v>
      </c>
      <c r="B871" s="2">
        <v>41.4</v>
      </c>
      <c r="C871" s="2">
        <f t="shared" si="13"/>
        <v>1.4598799421152631E-2</v>
      </c>
    </row>
    <row r="872" spans="1:3" x14ac:dyDescent="0.2">
      <c r="A872" s="3">
        <v>44778</v>
      </c>
      <c r="B872" s="2">
        <v>40.799999999999997</v>
      </c>
      <c r="C872" s="2">
        <f t="shared" si="13"/>
        <v>-6.8393036502414932E-3</v>
      </c>
    </row>
    <row r="873" spans="1:3" x14ac:dyDescent="0.2">
      <c r="A873" s="3">
        <v>44777</v>
      </c>
      <c r="B873" s="2">
        <v>41.08</v>
      </c>
      <c r="C873" s="2">
        <f t="shared" si="13"/>
        <v>1.5701990908086768E-2</v>
      </c>
    </row>
    <row r="874" spans="1:3" x14ac:dyDescent="0.2">
      <c r="A874" s="3">
        <v>44776</v>
      </c>
      <c r="B874" s="2">
        <v>40.44</v>
      </c>
      <c r="C874" s="2">
        <f t="shared" si="13"/>
        <v>-9.3527632294280825E-3</v>
      </c>
    </row>
    <row r="875" spans="1:3" x14ac:dyDescent="0.2">
      <c r="A875" s="3">
        <v>44775</v>
      </c>
      <c r="B875" s="2">
        <v>40.82</v>
      </c>
      <c r="C875" s="2">
        <f t="shared" si="13"/>
        <v>-1.2174486869739091E-2</v>
      </c>
    </row>
    <row r="876" spans="1:3" x14ac:dyDescent="0.2">
      <c r="A876" s="3">
        <v>44774</v>
      </c>
      <c r="B876" s="2">
        <v>41.32</v>
      </c>
      <c r="C876" s="2">
        <f t="shared" si="13"/>
        <v>-5.7915219795889369E-3</v>
      </c>
    </row>
    <row r="877" spans="1:3" x14ac:dyDescent="0.2">
      <c r="A877" s="3">
        <v>44771</v>
      </c>
      <c r="B877" s="2">
        <v>41.56</v>
      </c>
      <c r="C877" s="2">
        <f t="shared" si="13"/>
        <v>6.0504321064410276E-2</v>
      </c>
    </row>
    <row r="878" spans="1:3" x14ac:dyDescent="0.2">
      <c r="A878" s="3">
        <v>44770</v>
      </c>
      <c r="B878" s="2">
        <v>39.119999999999997</v>
      </c>
      <c r="C878" s="2">
        <f t="shared" si="13"/>
        <v>1.9618595151378981E-2</v>
      </c>
    </row>
    <row r="879" spans="1:3" x14ac:dyDescent="0.2">
      <c r="A879" s="3">
        <v>44769</v>
      </c>
      <c r="B879" s="2">
        <v>38.36</v>
      </c>
      <c r="C879" s="2">
        <f t="shared" si="13"/>
        <v>-1.5629073251731606E-3</v>
      </c>
    </row>
    <row r="880" spans="1:3" x14ac:dyDescent="0.2">
      <c r="A880" s="3">
        <v>44768</v>
      </c>
      <c r="B880" s="2">
        <v>38.42</v>
      </c>
      <c r="C880" s="2">
        <f t="shared" si="13"/>
        <v>-1.7544309650909508E-2</v>
      </c>
    </row>
    <row r="881" spans="1:3" x14ac:dyDescent="0.2">
      <c r="A881" s="3">
        <v>44767</v>
      </c>
      <c r="B881" s="2">
        <v>39.1</v>
      </c>
      <c r="C881" s="2">
        <f t="shared" si="13"/>
        <v>-2.5253867321203417E-2</v>
      </c>
    </row>
    <row r="882" spans="1:3" x14ac:dyDescent="0.2">
      <c r="A882" s="3">
        <v>44764</v>
      </c>
      <c r="B882" s="2">
        <v>40.1</v>
      </c>
      <c r="C882" s="2">
        <f t="shared" si="13"/>
        <v>1.4569461432856477E-2</v>
      </c>
    </row>
    <row r="883" spans="1:3" x14ac:dyDescent="0.2">
      <c r="A883" s="3">
        <v>44763</v>
      </c>
      <c r="B883" s="2">
        <v>39.520000000000003</v>
      </c>
      <c r="C883" s="2">
        <f t="shared" si="13"/>
        <v>1.2732537684701988E-2</v>
      </c>
    </row>
    <row r="884" spans="1:3" x14ac:dyDescent="0.2">
      <c r="A884" s="3">
        <v>44762</v>
      </c>
      <c r="B884" s="2">
        <v>39.020000000000003</v>
      </c>
      <c r="C884" s="2">
        <f t="shared" si="13"/>
        <v>-9.1837380160142996E-3</v>
      </c>
    </row>
    <row r="885" spans="1:3" x14ac:dyDescent="0.2">
      <c r="A885" s="3">
        <v>44761</v>
      </c>
      <c r="B885" s="2">
        <v>39.380000000000003</v>
      </c>
      <c r="C885" s="2">
        <f t="shared" si="13"/>
        <v>3.9891329027302025E-2</v>
      </c>
    </row>
    <row r="886" spans="1:3" x14ac:dyDescent="0.2">
      <c r="A886" s="3">
        <v>44760</v>
      </c>
      <c r="B886" s="2">
        <v>37.840000000000003</v>
      </c>
      <c r="C886" s="2">
        <f t="shared" si="13"/>
        <v>-6.8475379489777105E-3</v>
      </c>
    </row>
    <row r="887" spans="1:3" x14ac:dyDescent="0.2">
      <c r="A887" s="3">
        <v>44757</v>
      </c>
      <c r="B887" s="2">
        <v>38.1</v>
      </c>
      <c r="C887" s="2">
        <f t="shared" si="13"/>
        <v>5.4475586938232512E-2</v>
      </c>
    </row>
    <row r="888" spans="1:3" x14ac:dyDescent="0.2">
      <c r="A888" s="3">
        <v>44756</v>
      </c>
      <c r="B888" s="2">
        <v>36.08</v>
      </c>
      <c r="C888" s="2">
        <f t="shared" si="13"/>
        <v>-2.6799525662790886E-2</v>
      </c>
    </row>
    <row r="889" spans="1:3" x14ac:dyDescent="0.2">
      <c r="A889" s="3">
        <v>44755</v>
      </c>
      <c r="B889" s="2">
        <v>37.06</v>
      </c>
      <c r="C889" s="2">
        <f t="shared" si="13"/>
        <v>-1.9770881768328172E-2</v>
      </c>
    </row>
    <row r="890" spans="1:3" x14ac:dyDescent="0.2">
      <c r="A890" s="3">
        <v>44754</v>
      </c>
      <c r="B890" s="2">
        <v>37.799999999999997</v>
      </c>
      <c r="C890" s="2">
        <f t="shared" si="13"/>
        <v>-5.2770571008438931E-3</v>
      </c>
    </row>
    <row r="891" spans="1:3" x14ac:dyDescent="0.2">
      <c r="A891" s="3">
        <v>44753</v>
      </c>
      <c r="B891" s="2">
        <v>38</v>
      </c>
      <c r="C891" s="2">
        <f t="shared" si="13"/>
        <v>-2.3408090898014846E-2</v>
      </c>
    </row>
    <row r="892" spans="1:3" x14ac:dyDescent="0.2">
      <c r="A892" s="3">
        <v>44750</v>
      </c>
      <c r="B892" s="2">
        <v>38.9</v>
      </c>
      <c r="C892" s="2">
        <f t="shared" si="13"/>
        <v>2.8156187394089136E-2</v>
      </c>
    </row>
    <row r="893" spans="1:3" x14ac:dyDescent="0.2">
      <c r="A893" s="3">
        <v>44749</v>
      </c>
      <c r="B893" s="2">
        <v>37.82</v>
      </c>
      <c r="C893" s="2">
        <f t="shared" si="13"/>
        <v>3.3336420267591926E-2</v>
      </c>
    </row>
    <row r="894" spans="1:3" x14ac:dyDescent="0.2">
      <c r="A894" s="3">
        <v>44748</v>
      </c>
      <c r="B894" s="2">
        <v>36.58</v>
      </c>
      <c r="C894" s="2">
        <f t="shared" si="13"/>
        <v>3.5052267226960296E-2</v>
      </c>
    </row>
    <row r="895" spans="1:3" x14ac:dyDescent="0.2">
      <c r="A895" s="3">
        <v>44747</v>
      </c>
      <c r="B895" s="2">
        <v>35.32</v>
      </c>
      <c r="C895" s="2">
        <f t="shared" si="13"/>
        <v>-3.614516351060533E-2</v>
      </c>
    </row>
    <row r="896" spans="1:3" x14ac:dyDescent="0.2">
      <c r="A896" s="3">
        <v>44746</v>
      </c>
      <c r="B896" s="2">
        <v>36.619999999999997</v>
      </c>
      <c r="C896" s="2">
        <f t="shared" si="13"/>
        <v>5.476464946902738E-3</v>
      </c>
    </row>
    <row r="897" spans="1:3" x14ac:dyDescent="0.2">
      <c r="A897" s="3">
        <v>44743</v>
      </c>
      <c r="B897" s="2">
        <v>36.42</v>
      </c>
      <c r="C897" s="2">
        <f t="shared" si="13"/>
        <v>1.0989012094855697E-3</v>
      </c>
    </row>
    <row r="898" spans="1:3" x14ac:dyDescent="0.2">
      <c r="A898" s="3">
        <v>44742</v>
      </c>
      <c r="B898" s="2">
        <v>36.380000000000003</v>
      </c>
      <c r="C898" s="2">
        <f t="shared" si="13"/>
        <v>-2.1751809203321638E-2</v>
      </c>
    </row>
    <row r="899" spans="1:3" x14ac:dyDescent="0.2">
      <c r="A899" s="3">
        <v>44741</v>
      </c>
      <c r="B899" s="2">
        <v>37.18</v>
      </c>
      <c r="C899" s="2">
        <f t="shared" ref="C899:C962" si="14">+LN(B899/B900)</f>
        <v>-2.5492617878975065E-2</v>
      </c>
    </row>
    <row r="900" spans="1:3" x14ac:dyDescent="0.2">
      <c r="A900" s="3">
        <v>44740</v>
      </c>
      <c r="B900" s="2">
        <v>38.14</v>
      </c>
      <c r="C900" s="2">
        <f t="shared" si="14"/>
        <v>1.5743902491084376E-3</v>
      </c>
    </row>
    <row r="901" spans="1:3" x14ac:dyDescent="0.2">
      <c r="A901" s="3">
        <v>44739</v>
      </c>
      <c r="B901" s="2">
        <v>38.08</v>
      </c>
      <c r="C901" s="2">
        <f t="shared" si="14"/>
        <v>-2.027623402612954E-2</v>
      </c>
    </row>
    <row r="902" spans="1:3" x14ac:dyDescent="0.2">
      <c r="A902" s="3">
        <v>44736</v>
      </c>
      <c r="B902" s="2">
        <v>38.86</v>
      </c>
      <c r="C902" s="2">
        <f t="shared" si="14"/>
        <v>6.4298371557536468E-2</v>
      </c>
    </row>
    <row r="903" spans="1:3" x14ac:dyDescent="0.2">
      <c r="A903" s="3">
        <v>44735</v>
      </c>
      <c r="B903" s="2">
        <v>36.44</v>
      </c>
      <c r="C903" s="2">
        <f t="shared" si="14"/>
        <v>-2.1179178822347162E-2</v>
      </c>
    </row>
    <row r="904" spans="1:3" x14ac:dyDescent="0.2">
      <c r="A904" s="3">
        <v>44734</v>
      </c>
      <c r="B904" s="2">
        <v>37.22</v>
      </c>
      <c r="C904" s="2">
        <f t="shared" si="14"/>
        <v>-2.2842958709059898E-2</v>
      </c>
    </row>
    <row r="905" spans="1:3" x14ac:dyDescent="0.2">
      <c r="A905" s="3">
        <v>44733</v>
      </c>
      <c r="B905" s="2">
        <v>38.08</v>
      </c>
      <c r="C905" s="2">
        <f t="shared" si="14"/>
        <v>1.1090686694158356E-2</v>
      </c>
    </row>
    <row r="906" spans="1:3" x14ac:dyDescent="0.2">
      <c r="A906" s="3">
        <v>44732</v>
      </c>
      <c r="B906" s="2">
        <v>37.659999999999997</v>
      </c>
      <c r="C906" s="2">
        <f t="shared" si="14"/>
        <v>-6.8801541578148136E-3</v>
      </c>
    </row>
    <row r="907" spans="1:3" x14ac:dyDescent="0.2">
      <c r="A907" s="3">
        <v>44729</v>
      </c>
      <c r="B907" s="2">
        <v>37.92</v>
      </c>
      <c r="C907" s="2">
        <f t="shared" si="14"/>
        <v>1.6485350737051298E-2</v>
      </c>
    </row>
    <row r="908" spans="1:3" x14ac:dyDescent="0.2">
      <c r="A908" s="3">
        <v>44728</v>
      </c>
      <c r="B908" s="2">
        <v>37.299999999999997</v>
      </c>
      <c r="C908" s="2">
        <f t="shared" si="14"/>
        <v>-5.5787203084664776E-2</v>
      </c>
    </row>
    <row r="909" spans="1:3" x14ac:dyDescent="0.2">
      <c r="A909" s="3">
        <v>44727</v>
      </c>
      <c r="B909" s="2">
        <v>39.44</v>
      </c>
      <c r="C909" s="2">
        <f t="shared" si="14"/>
        <v>3.4041450948433388E-2</v>
      </c>
    </row>
    <row r="910" spans="1:3" x14ac:dyDescent="0.2">
      <c r="A910" s="3">
        <v>44726</v>
      </c>
      <c r="B910" s="2">
        <v>38.119999999999997</v>
      </c>
      <c r="C910" s="2">
        <f t="shared" si="14"/>
        <v>-6.797411793552601E-3</v>
      </c>
    </row>
    <row r="911" spans="1:3" x14ac:dyDescent="0.2">
      <c r="A911" s="3">
        <v>44725</v>
      </c>
      <c r="B911" s="2">
        <v>38.380000000000003</v>
      </c>
      <c r="C911" s="2">
        <f t="shared" si="14"/>
        <v>-4.1342963534382431E-2</v>
      </c>
    </row>
    <row r="912" spans="1:3" x14ac:dyDescent="0.2">
      <c r="A912" s="3">
        <v>44722</v>
      </c>
      <c r="B912" s="2">
        <v>40</v>
      </c>
      <c r="C912" s="2">
        <f t="shared" si="14"/>
        <v>-4.6883585898850499E-2</v>
      </c>
    </row>
    <row r="913" spans="1:3" x14ac:dyDescent="0.2">
      <c r="A913" s="3">
        <v>44720</v>
      </c>
      <c r="B913" s="2">
        <v>41.92</v>
      </c>
      <c r="C913" s="2">
        <f t="shared" si="14"/>
        <v>-1.5621619452546578E-2</v>
      </c>
    </row>
    <row r="914" spans="1:3" x14ac:dyDescent="0.2">
      <c r="A914" s="3">
        <v>44719</v>
      </c>
      <c r="B914" s="2">
        <v>42.58</v>
      </c>
      <c r="C914" s="2">
        <f t="shared" si="14"/>
        <v>-1.4081203922557833E-3</v>
      </c>
    </row>
    <row r="915" spans="1:3" x14ac:dyDescent="0.2">
      <c r="A915" s="3">
        <v>44718</v>
      </c>
      <c r="B915" s="2">
        <v>42.64</v>
      </c>
      <c r="C915" s="2">
        <f t="shared" si="14"/>
        <v>-1.1194146743152587E-2</v>
      </c>
    </row>
    <row r="916" spans="1:3" x14ac:dyDescent="0.2">
      <c r="A916" s="3">
        <v>44715</v>
      </c>
      <c r="B916" s="2">
        <v>43.12</v>
      </c>
      <c r="C916" s="2">
        <f t="shared" si="14"/>
        <v>-1.0611402915732078E-2</v>
      </c>
    </row>
    <row r="917" spans="1:3" x14ac:dyDescent="0.2">
      <c r="A917" s="3">
        <v>44714</v>
      </c>
      <c r="B917" s="2">
        <v>43.58</v>
      </c>
      <c r="C917" s="2">
        <f t="shared" si="14"/>
        <v>2.7921776676320714E-2</v>
      </c>
    </row>
    <row r="918" spans="1:3" x14ac:dyDescent="0.2">
      <c r="A918" s="3">
        <v>44713</v>
      </c>
      <c r="B918" s="2">
        <v>42.38</v>
      </c>
      <c r="C918" s="2">
        <f t="shared" si="14"/>
        <v>-2.8275230902180971E-3</v>
      </c>
    </row>
    <row r="919" spans="1:3" x14ac:dyDescent="0.2">
      <c r="A919" s="3">
        <v>44712</v>
      </c>
      <c r="B919" s="2">
        <v>42.5</v>
      </c>
      <c r="C919" s="2">
        <f t="shared" si="14"/>
        <v>-1.262583992315783E-2</v>
      </c>
    </row>
    <row r="920" spans="1:3" x14ac:dyDescent="0.2">
      <c r="A920" s="3">
        <v>44711</v>
      </c>
      <c r="B920" s="2">
        <v>43.04</v>
      </c>
      <c r="C920" s="2">
        <f t="shared" si="14"/>
        <v>4.3691659498048083E-2</v>
      </c>
    </row>
    <row r="921" spans="1:3" x14ac:dyDescent="0.2">
      <c r="A921" s="3">
        <v>44708</v>
      </c>
      <c r="B921" s="2">
        <v>41.2</v>
      </c>
      <c r="C921" s="2">
        <f t="shared" si="14"/>
        <v>1.5655897072553063E-2</v>
      </c>
    </row>
    <row r="922" spans="1:3" x14ac:dyDescent="0.2">
      <c r="A922" s="3">
        <v>44707</v>
      </c>
      <c r="B922" s="2">
        <v>40.56</v>
      </c>
      <c r="C922" s="2">
        <f t="shared" si="14"/>
        <v>1.1406024970404327E-2</v>
      </c>
    </row>
    <row r="923" spans="1:3" x14ac:dyDescent="0.2">
      <c r="A923" s="3">
        <v>44706</v>
      </c>
      <c r="B923" s="2">
        <v>40.1</v>
      </c>
      <c r="C923" s="2">
        <f t="shared" si="14"/>
        <v>7.5094220221315683E-3</v>
      </c>
    </row>
    <row r="924" spans="1:3" x14ac:dyDescent="0.2">
      <c r="A924" s="3">
        <v>44705</v>
      </c>
      <c r="B924" s="2">
        <v>39.799999999999997</v>
      </c>
      <c r="C924" s="2">
        <f t="shared" si="14"/>
        <v>6.0484055358804361E-3</v>
      </c>
    </row>
    <row r="925" spans="1:3" x14ac:dyDescent="0.2">
      <c r="A925" s="3">
        <v>44704</v>
      </c>
      <c r="B925" s="2">
        <v>39.56</v>
      </c>
      <c r="C925" s="2">
        <f t="shared" si="14"/>
        <v>-3.6241245889723175E-2</v>
      </c>
    </row>
    <row r="926" spans="1:3" x14ac:dyDescent="0.2">
      <c r="A926" s="3">
        <v>44701</v>
      </c>
      <c r="B926" s="2">
        <v>41.02</v>
      </c>
      <c r="C926" s="2">
        <f t="shared" si="14"/>
        <v>8.3231814638753746E-3</v>
      </c>
    </row>
    <row r="927" spans="1:3" x14ac:dyDescent="0.2">
      <c r="A927" s="3">
        <v>44700</v>
      </c>
      <c r="B927" s="2">
        <v>40.68</v>
      </c>
      <c r="C927" s="2">
        <f t="shared" si="14"/>
        <v>-4.9043747150898757E-3</v>
      </c>
    </row>
    <row r="928" spans="1:3" x14ac:dyDescent="0.2">
      <c r="A928" s="3">
        <v>44699</v>
      </c>
      <c r="B928" s="2">
        <v>40.880000000000003</v>
      </c>
      <c r="C928" s="2">
        <f t="shared" si="14"/>
        <v>6.3803897432104456E-3</v>
      </c>
    </row>
    <row r="929" spans="1:3" x14ac:dyDescent="0.2">
      <c r="A929" s="3">
        <v>44697</v>
      </c>
      <c r="B929" s="2">
        <v>40.619999999999997</v>
      </c>
      <c r="C929" s="2">
        <f t="shared" si="14"/>
        <v>4.9455082372053802E-2</v>
      </c>
    </row>
    <row r="930" spans="1:3" x14ac:dyDescent="0.2">
      <c r="A930" s="3">
        <v>44694</v>
      </c>
      <c r="B930" s="2">
        <v>38.659999999999997</v>
      </c>
      <c r="C930" s="2">
        <f t="shared" si="14"/>
        <v>4.2267252922971045E-2</v>
      </c>
    </row>
    <row r="931" spans="1:3" x14ac:dyDescent="0.2">
      <c r="A931" s="3">
        <v>44693</v>
      </c>
      <c r="B931" s="2">
        <v>37.06</v>
      </c>
      <c r="C931" s="2">
        <f t="shared" si="14"/>
        <v>1.3583474271264478E-2</v>
      </c>
    </row>
    <row r="932" spans="1:3" x14ac:dyDescent="0.2">
      <c r="A932" s="3">
        <v>44692</v>
      </c>
      <c r="B932" s="2">
        <v>36.56</v>
      </c>
      <c r="C932" s="2">
        <f t="shared" si="14"/>
        <v>2.8858828461979978E-2</v>
      </c>
    </row>
    <row r="933" spans="1:3" x14ac:dyDescent="0.2">
      <c r="A933" s="3">
        <v>44691</v>
      </c>
      <c r="B933" s="2">
        <v>35.520000000000003</v>
      </c>
      <c r="C933" s="2">
        <f t="shared" si="14"/>
        <v>1.4176591266263605E-2</v>
      </c>
    </row>
    <row r="934" spans="1:3" x14ac:dyDescent="0.2">
      <c r="A934" s="3">
        <v>44690</v>
      </c>
      <c r="B934" s="2">
        <v>35.020000000000003</v>
      </c>
      <c r="C934" s="2">
        <f t="shared" si="14"/>
        <v>-2.3145261249023944E-2</v>
      </c>
    </row>
    <row r="935" spans="1:3" x14ac:dyDescent="0.2">
      <c r="A935" s="3">
        <v>44687</v>
      </c>
      <c r="B935" s="2">
        <v>35.840000000000003</v>
      </c>
      <c r="C935" s="2">
        <f t="shared" si="14"/>
        <v>-3.2393719038621677E-2</v>
      </c>
    </row>
    <row r="936" spans="1:3" x14ac:dyDescent="0.2">
      <c r="A936" s="3">
        <v>44686</v>
      </c>
      <c r="B936" s="2">
        <v>37.020000000000003</v>
      </c>
      <c r="C936" s="2">
        <f t="shared" si="14"/>
        <v>-2.6976007726482133E-3</v>
      </c>
    </row>
    <row r="937" spans="1:3" x14ac:dyDescent="0.2">
      <c r="A937" s="3">
        <v>44685</v>
      </c>
      <c r="B937" s="2">
        <v>37.119999999999997</v>
      </c>
      <c r="C937" s="2">
        <f t="shared" si="14"/>
        <v>-1.1251123240363035E-2</v>
      </c>
    </row>
    <row r="938" spans="1:3" x14ac:dyDescent="0.2">
      <c r="A938" s="3">
        <v>44684</v>
      </c>
      <c r="B938" s="2">
        <v>37.54</v>
      </c>
      <c r="C938" s="2">
        <f t="shared" si="14"/>
        <v>-5.3262318169953516E-4</v>
      </c>
    </row>
    <row r="939" spans="1:3" x14ac:dyDescent="0.2">
      <c r="A939" s="3">
        <v>44683</v>
      </c>
      <c r="B939" s="2">
        <v>37.56</v>
      </c>
      <c r="C939" s="2">
        <f t="shared" si="14"/>
        <v>-3.1964995474443522E-2</v>
      </c>
    </row>
    <row r="940" spans="1:3" x14ac:dyDescent="0.2">
      <c r="A940" s="3">
        <v>44680</v>
      </c>
      <c r="B940" s="2">
        <v>38.78</v>
      </c>
      <c r="C940" s="2">
        <f t="shared" si="14"/>
        <v>-3.0896008098948041E-3</v>
      </c>
    </row>
    <row r="941" spans="1:3" x14ac:dyDescent="0.2">
      <c r="A941" s="3">
        <v>44679</v>
      </c>
      <c r="B941" s="2">
        <v>38.9</v>
      </c>
      <c r="C941" s="2">
        <f t="shared" si="14"/>
        <v>2.7627506440723013E-2</v>
      </c>
    </row>
    <row r="942" spans="1:3" x14ac:dyDescent="0.2">
      <c r="A942" s="3">
        <v>44678</v>
      </c>
      <c r="B942" s="2">
        <v>37.840000000000003</v>
      </c>
      <c r="C942" s="2">
        <f t="shared" si="14"/>
        <v>-4.2194155427080987E-3</v>
      </c>
    </row>
    <row r="943" spans="1:3" x14ac:dyDescent="0.2">
      <c r="A943" s="3">
        <v>44677</v>
      </c>
      <c r="B943" s="2">
        <v>38</v>
      </c>
      <c r="C943" s="2">
        <f t="shared" si="14"/>
        <v>-1.2032580434247972E-2</v>
      </c>
    </row>
    <row r="944" spans="1:3" x14ac:dyDescent="0.2">
      <c r="A944" s="3">
        <v>44676</v>
      </c>
      <c r="B944" s="2">
        <v>38.46</v>
      </c>
      <c r="C944" s="2">
        <f t="shared" si="14"/>
        <v>-3.8760588911620181E-2</v>
      </c>
    </row>
    <row r="945" spans="1:3" x14ac:dyDescent="0.2">
      <c r="A945" s="3">
        <v>44673</v>
      </c>
      <c r="B945" s="2">
        <v>39.979999999999997</v>
      </c>
      <c r="C945" s="2">
        <f t="shared" si="14"/>
        <v>-3.4901551759014784E-2</v>
      </c>
    </row>
    <row r="946" spans="1:3" x14ac:dyDescent="0.2">
      <c r="A946" s="3">
        <v>44672</v>
      </c>
      <c r="B946" s="2">
        <v>41.4</v>
      </c>
      <c r="C946" s="2">
        <f t="shared" si="14"/>
        <v>1.5089115684959561E-2</v>
      </c>
    </row>
    <row r="947" spans="1:3" x14ac:dyDescent="0.2">
      <c r="A947" s="3">
        <v>44671</v>
      </c>
      <c r="B947" s="2">
        <v>40.78</v>
      </c>
      <c r="C947" s="2">
        <f t="shared" si="14"/>
        <v>1.8312810699289375E-2</v>
      </c>
    </row>
    <row r="948" spans="1:3" x14ac:dyDescent="0.2">
      <c r="A948" s="3">
        <v>44670</v>
      </c>
      <c r="B948" s="2">
        <v>40.04</v>
      </c>
      <c r="C948" s="2">
        <f t="shared" si="14"/>
        <v>1.1049836186584935E-2</v>
      </c>
    </row>
    <row r="949" spans="1:3" x14ac:dyDescent="0.2">
      <c r="A949" s="3">
        <v>44664</v>
      </c>
      <c r="B949" s="2">
        <v>39.6</v>
      </c>
      <c r="C949" s="2">
        <f t="shared" si="14"/>
        <v>-2.0181641562371246E-3</v>
      </c>
    </row>
    <row r="950" spans="1:3" x14ac:dyDescent="0.2">
      <c r="A950" s="3">
        <v>44663</v>
      </c>
      <c r="B950" s="2">
        <v>39.68</v>
      </c>
      <c r="C950" s="2">
        <f t="shared" si="14"/>
        <v>8.6054694557588639E-3</v>
      </c>
    </row>
    <row r="951" spans="1:3" x14ac:dyDescent="0.2">
      <c r="A951" s="3">
        <v>44662</v>
      </c>
      <c r="B951" s="2">
        <v>39.340000000000003</v>
      </c>
      <c r="C951" s="2">
        <f t="shared" si="14"/>
        <v>-9.1093747322317578E-3</v>
      </c>
    </row>
    <row r="952" spans="1:3" x14ac:dyDescent="0.2">
      <c r="A952" s="3">
        <v>44659</v>
      </c>
      <c r="B952" s="2">
        <v>39.700000000000003</v>
      </c>
      <c r="C952" s="2">
        <f t="shared" si="14"/>
        <v>1.2674440896727861E-2</v>
      </c>
    </row>
    <row r="953" spans="1:3" x14ac:dyDescent="0.2">
      <c r="A953" s="3">
        <v>44658</v>
      </c>
      <c r="B953" s="2">
        <v>39.200000000000003</v>
      </c>
      <c r="C953" s="2">
        <f t="shared" si="14"/>
        <v>-6.610753798052372E-3</v>
      </c>
    </row>
    <row r="954" spans="1:3" x14ac:dyDescent="0.2">
      <c r="A954" s="3">
        <v>44657</v>
      </c>
      <c r="B954" s="2">
        <v>39.46</v>
      </c>
      <c r="C954" s="2">
        <f t="shared" si="14"/>
        <v>-5.8565319162198225E-2</v>
      </c>
    </row>
    <row r="955" spans="1:3" x14ac:dyDescent="0.2">
      <c r="A955" s="3">
        <v>44656</v>
      </c>
      <c r="B955" s="2">
        <v>41.84</v>
      </c>
      <c r="C955" s="2">
        <f t="shared" si="14"/>
        <v>-5.306037462863411E-2</v>
      </c>
    </row>
    <row r="956" spans="1:3" x14ac:dyDescent="0.2">
      <c r="A956" s="3">
        <v>44655</v>
      </c>
      <c r="B956" s="2">
        <v>44.12</v>
      </c>
      <c r="C956" s="2">
        <f t="shared" si="14"/>
        <v>-1.6187403818657582E-2</v>
      </c>
    </row>
    <row r="957" spans="1:3" x14ac:dyDescent="0.2">
      <c r="A957" s="3">
        <v>44652</v>
      </c>
      <c r="B957" s="2">
        <v>44.84</v>
      </c>
      <c r="C957" s="2">
        <f t="shared" si="14"/>
        <v>-1.8997699696199813E-2</v>
      </c>
    </row>
    <row r="958" spans="1:3" x14ac:dyDescent="0.2">
      <c r="A958" s="3">
        <v>44651</v>
      </c>
      <c r="B958" s="2">
        <v>45.7</v>
      </c>
      <c r="C958" s="2">
        <f t="shared" si="14"/>
        <v>-2.0360244142077915E-2</v>
      </c>
    </row>
    <row r="959" spans="1:3" x14ac:dyDescent="0.2">
      <c r="A959" s="3">
        <v>44650</v>
      </c>
      <c r="B959" s="2">
        <v>46.64</v>
      </c>
      <c r="C959" s="2">
        <f t="shared" si="14"/>
        <v>-3.9517542033612553E-2</v>
      </c>
    </row>
    <row r="960" spans="1:3" x14ac:dyDescent="0.2">
      <c r="A960" s="3">
        <v>44649</v>
      </c>
      <c r="B960" s="2">
        <v>48.52</v>
      </c>
      <c r="C960" s="2">
        <f t="shared" si="14"/>
        <v>5.5946791814679493E-2</v>
      </c>
    </row>
    <row r="961" spans="1:3" x14ac:dyDescent="0.2">
      <c r="A961" s="3">
        <v>44648</v>
      </c>
      <c r="B961" s="2">
        <v>45.88</v>
      </c>
      <c r="C961" s="2">
        <f t="shared" si="14"/>
        <v>-3.4812915925118912E-3</v>
      </c>
    </row>
    <row r="962" spans="1:3" x14ac:dyDescent="0.2">
      <c r="A962" s="3">
        <v>44645</v>
      </c>
      <c r="B962" s="2">
        <v>46.04</v>
      </c>
      <c r="C962" s="2">
        <f t="shared" si="14"/>
        <v>1.0919523218088444E-2</v>
      </c>
    </row>
    <row r="963" spans="1:3" x14ac:dyDescent="0.2">
      <c r="A963" s="3">
        <v>44644</v>
      </c>
      <c r="B963" s="2">
        <v>45.54</v>
      </c>
      <c r="C963" s="2">
        <f t="shared" ref="C963:C1026" si="15">+LN(B963/B964)</f>
        <v>-3.1130918595173099E-2</v>
      </c>
    </row>
    <row r="964" spans="1:3" x14ac:dyDescent="0.2">
      <c r="A964" s="3">
        <v>44643</v>
      </c>
      <c r="B964" s="2">
        <v>46.98</v>
      </c>
      <c r="C964" s="2">
        <f t="shared" si="15"/>
        <v>1.242251999855711E-2</v>
      </c>
    </row>
    <row r="965" spans="1:3" x14ac:dyDescent="0.2">
      <c r="A965" s="3">
        <v>44642</v>
      </c>
      <c r="B965" s="2">
        <v>46.4</v>
      </c>
      <c r="C965" s="2">
        <f t="shared" si="15"/>
        <v>-1.2422519998557096E-2</v>
      </c>
    </row>
    <row r="966" spans="1:3" x14ac:dyDescent="0.2">
      <c r="A966" s="3">
        <v>44641</v>
      </c>
      <c r="B966" s="2">
        <v>46.98</v>
      </c>
      <c r="C966" s="2">
        <f t="shared" si="15"/>
        <v>-2.5510217916054415E-3</v>
      </c>
    </row>
    <row r="967" spans="1:3" x14ac:dyDescent="0.2">
      <c r="A967" s="3">
        <v>44638</v>
      </c>
      <c r="B967" s="2">
        <v>47.1</v>
      </c>
      <c r="C967" s="2">
        <f t="shared" si="15"/>
        <v>1.5835982550821082E-2</v>
      </c>
    </row>
    <row r="968" spans="1:3" x14ac:dyDescent="0.2">
      <c r="A968" s="3">
        <v>44637</v>
      </c>
      <c r="B968" s="2">
        <v>46.36</v>
      </c>
      <c r="C968" s="2">
        <f t="shared" si="15"/>
        <v>2.1593616682578295E-3</v>
      </c>
    </row>
    <row r="969" spans="1:3" x14ac:dyDescent="0.2">
      <c r="A969" s="3">
        <v>44636</v>
      </c>
      <c r="B969" s="2">
        <v>46.26</v>
      </c>
      <c r="C969" s="2">
        <f t="shared" si="15"/>
        <v>7.5872140040746536E-2</v>
      </c>
    </row>
    <row r="970" spans="1:3" x14ac:dyDescent="0.2">
      <c r="A970" s="3">
        <v>44635</v>
      </c>
      <c r="B970" s="2">
        <v>42.88</v>
      </c>
      <c r="C970" s="2">
        <f t="shared" si="15"/>
        <v>-1.9857498486075206E-2</v>
      </c>
    </row>
    <row r="971" spans="1:3" x14ac:dyDescent="0.2">
      <c r="A971" s="3">
        <v>44634</v>
      </c>
      <c r="B971" s="2">
        <v>43.74</v>
      </c>
      <c r="C971" s="2">
        <f t="shared" si="15"/>
        <v>4.2977188320529713E-2</v>
      </c>
    </row>
    <row r="972" spans="1:3" x14ac:dyDescent="0.2">
      <c r="A972" s="3">
        <v>44631</v>
      </c>
      <c r="B972" s="2">
        <v>41.9</v>
      </c>
      <c r="C972" s="2">
        <f t="shared" si="15"/>
        <v>3.398385281559857E-2</v>
      </c>
    </row>
    <row r="973" spans="1:3" x14ac:dyDescent="0.2">
      <c r="A973" s="3">
        <v>44630</v>
      </c>
      <c r="B973" s="2">
        <v>40.5</v>
      </c>
      <c r="C973" s="2">
        <f t="shared" si="15"/>
        <v>-3.0636969461889801E-2</v>
      </c>
    </row>
    <row r="974" spans="1:3" x14ac:dyDescent="0.2">
      <c r="A974" s="3">
        <v>44629</v>
      </c>
      <c r="B974" s="2">
        <v>41.76</v>
      </c>
      <c r="C974" s="2">
        <f t="shared" si="15"/>
        <v>3.5091319811269978E-2</v>
      </c>
    </row>
    <row r="975" spans="1:3" x14ac:dyDescent="0.2">
      <c r="A975" s="3">
        <v>44628</v>
      </c>
      <c r="B975" s="2">
        <v>40.32</v>
      </c>
      <c r="C975" s="2">
        <f t="shared" si="15"/>
        <v>-4.2249546511440604E-2</v>
      </c>
    </row>
    <row r="976" spans="1:3" x14ac:dyDescent="0.2">
      <c r="A976" s="3">
        <v>44627</v>
      </c>
      <c r="B976" s="2">
        <v>42.06</v>
      </c>
      <c r="C976" s="2">
        <f t="shared" si="15"/>
        <v>-3.3203891978454879E-2</v>
      </c>
    </row>
    <row r="977" spans="1:3" x14ac:dyDescent="0.2">
      <c r="A977" s="3">
        <v>44624</v>
      </c>
      <c r="B977" s="2">
        <v>43.48</v>
      </c>
      <c r="C977" s="2">
        <f t="shared" si="15"/>
        <v>-7.4009399809756085E-2</v>
      </c>
    </row>
    <row r="978" spans="1:3" x14ac:dyDescent="0.2">
      <c r="A978" s="3">
        <v>44623</v>
      </c>
      <c r="B978" s="2">
        <v>46.82</v>
      </c>
      <c r="C978" s="2">
        <f t="shared" si="15"/>
        <v>-1.4840212991624867E-2</v>
      </c>
    </row>
    <row r="979" spans="1:3" x14ac:dyDescent="0.2">
      <c r="A979" s="3">
        <v>44622</v>
      </c>
      <c r="B979" s="2">
        <v>47.52</v>
      </c>
      <c r="C979" s="2">
        <f t="shared" si="15"/>
        <v>1.1854499534548599E-2</v>
      </c>
    </row>
    <row r="980" spans="1:3" x14ac:dyDescent="0.2">
      <c r="A980" s="3">
        <v>44621</v>
      </c>
      <c r="B980" s="2">
        <v>46.96</v>
      </c>
      <c r="C980" s="2">
        <f t="shared" si="15"/>
        <v>-3.1442539868538628E-2</v>
      </c>
    </row>
    <row r="981" spans="1:3" x14ac:dyDescent="0.2">
      <c r="A981" s="3">
        <v>44617</v>
      </c>
      <c r="B981" s="2">
        <v>48.46</v>
      </c>
      <c r="C981" s="2">
        <f t="shared" si="15"/>
        <v>1.7485874329663E-2</v>
      </c>
    </row>
    <row r="982" spans="1:3" x14ac:dyDescent="0.2">
      <c r="A982" s="3">
        <v>44616</v>
      </c>
      <c r="B982" s="2">
        <v>47.62</v>
      </c>
      <c r="C982" s="2">
        <f t="shared" si="15"/>
        <v>-1.2935711360213362E-2</v>
      </c>
    </row>
    <row r="983" spans="1:3" x14ac:dyDescent="0.2">
      <c r="A983" s="3">
        <v>44615</v>
      </c>
      <c r="B983" s="2">
        <v>48.24</v>
      </c>
      <c r="C983" s="2">
        <f t="shared" si="15"/>
        <v>1.2445552322047017E-3</v>
      </c>
    </row>
    <row r="984" spans="1:3" x14ac:dyDescent="0.2">
      <c r="A984" s="3">
        <v>44614</v>
      </c>
      <c r="B984" s="2">
        <v>48.18</v>
      </c>
      <c r="C984" s="2">
        <f t="shared" si="15"/>
        <v>2.1397921517555291E-2</v>
      </c>
    </row>
    <row r="985" spans="1:3" x14ac:dyDescent="0.2">
      <c r="A985" s="3">
        <v>44613</v>
      </c>
      <c r="B985" s="2">
        <v>47.16</v>
      </c>
      <c r="C985" s="2">
        <f t="shared" si="15"/>
        <v>-1.271455988196721E-3</v>
      </c>
    </row>
    <row r="986" spans="1:3" x14ac:dyDescent="0.2">
      <c r="A986" s="3">
        <v>44610</v>
      </c>
      <c r="B986" s="2">
        <v>47.22</v>
      </c>
      <c r="C986" s="2">
        <f t="shared" si="15"/>
        <v>-1.0533065572348465E-2</v>
      </c>
    </row>
    <row r="987" spans="1:3" x14ac:dyDescent="0.2">
      <c r="A987" s="3">
        <v>44609</v>
      </c>
      <c r="B987" s="2">
        <v>47.72</v>
      </c>
      <c r="C987" s="2">
        <f t="shared" si="15"/>
        <v>-2.3608468599879112E-2</v>
      </c>
    </row>
    <row r="988" spans="1:3" x14ac:dyDescent="0.2">
      <c r="A988" s="3">
        <v>44608</v>
      </c>
      <c r="B988" s="2">
        <v>48.86</v>
      </c>
      <c r="C988" s="2">
        <f t="shared" si="15"/>
        <v>2.869442427952739E-3</v>
      </c>
    </row>
    <row r="989" spans="1:3" x14ac:dyDescent="0.2">
      <c r="A989" s="3">
        <v>44607</v>
      </c>
      <c r="B989" s="2">
        <v>48.72</v>
      </c>
      <c r="C989" s="2">
        <f t="shared" si="15"/>
        <v>1.5305365990093217E-2</v>
      </c>
    </row>
    <row r="990" spans="1:3" x14ac:dyDescent="0.2">
      <c r="A990" s="3">
        <v>44606</v>
      </c>
      <c r="B990" s="2">
        <v>47.98</v>
      </c>
      <c r="C990" s="2">
        <f t="shared" si="15"/>
        <v>-5.4154973283143962E-2</v>
      </c>
    </row>
    <row r="991" spans="1:3" x14ac:dyDescent="0.2">
      <c r="A991" s="3">
        <v>44603</v>
      </c>
      <c r="B991" s="2">
        <v>50.65</v>
      </c>
      <c r="C991" s="2">
        <f t="shared" si="15"/>
        <v>-2.2450918570745E-2</v>
      </c>
    </row>
    <row r="992" spans="1:3" x14ac:dyDescent="0.2">
      <c r="A992" s="3">
        <v>44602</v>
      </c>
      <c r="B992" s="2">
        <v>51.8</v>
      </c>
      <c r="C992" s="2">
        <f t="shared" si="15"/>
        <v>-7.6923456231557255E-3</v>
      </c>
    </row>
    <row r="993" spans="1:3" x14ac:dyDescent="0.2">
      <c r="A993" s="3">
        <v>44601</v>
      </c>
      <c r="B993" s="2">
        <v>52.2</v>
      </c>
      <c r="C993" s="2">
        <f t="shared" si="15"/>
        <v>1.9342962843130935E-2</v>
      </c>
    </row>
    <row r="994" spans="1:3" x14ac:dyDescent="0.2">
      <c r="A994" s="3">
        <v>44600</v>
      </c>
      <c r="B994" s="2">
        <v>51.2</v>
      </c>
      <c r="C994" s="2">
        <f t="shared" si="15"/>
        <v>-5.8422756242282907E-3</v>
      </c>
    </row>
    <row r="995" spans="1:3" x14ac:dyDescent="0.2">
      <c r="A995" s="3">
        <v>44599</v>
      </c>
      <c r="B995" s="2">
        <v>51.5</v>
      </c>
      <c r="C995" s="2">
        <f t="shared" si="15"/>
        <v>-1.4458083175229888E-2</v>
      </c>
    </row>
    <row r="996" spans="1:3" x14ac:dyDescent="0.2">
      <c r="A996" s="3">
        <v>44596</v>
      </c>
      <c r="B996" s="2">
        <v>52.25</v>
      </c>
      <c r="C996" s="2">
        <f t="shared" si="15"/>
        <v>-2.0834086902842025E-2</v>
      </c>
    </row>
    <row r="997" spans="1:3" x14ac:dyDescent="0.2">
      <c r="A997" s="3">
        <v>44595</v>
      </c>
      <c r="B997" s="2">
        <v>53.35</v>
      </c>
      <c r="C997" s="2">
        <f t="shared" si="15"/>
        <v>-4.400343259246571E-2</v>
      </c>
    </row>
    <row r="998" spans="1:3" x14ac:dyDescent="0.2">
      <c r="A998" s="3">
        <v>44594</v>
      </c>
      <c r="B998" s="2">
        <v>55.75</v>
      </c>
      <c r="C998" s="2">
        <f t="shared" si="15"/>
        <v>1.9928195717680671E-2</v>
      </c>
    </row>
    <row r="999" spans="1:3" x14ac:dyDescent="0.2">
      <c r="A999" s="3">
        <v>44593</v>
      </c>
      <c r="B999" s="2">
        <v>54.65</v>
      </c>
      <c r="C999" s="2">
        <f t="shared" si="15"/>
        <v>5.5046010553289814E-3</v>
      </c>
    </row>
    <row r="1000" spans="1:3" x14ac:dyDescent="0.2">
      <c r="A1000" s="3">
        <v>44592</v>
      </c>
      <c r="B1000" s="2">
        <v>54.35</v>
      </c>
      <c r="C1000" s="2">
        <f t="shared" si="15"/>
        <v>2.4209748507226448E-2</v>
      </c>
    </row>
    <row r="1001" spans="1:3" x14ac:dyDescent="0.2">
      <c r="A1001" s="3">
        <v>44589</v>
      </c>
      <c r="B1001" s="2">
        <v>53.05</v>
      </c>
      <c r="C1001" s="2">
        <f t="shared" si="15"/>
        <v>-6.5758809061570852E-3</v>
      </c>
    </row>
    <row r="1002" spans="1:3" x14ac:dyDescent="0.2">
      <c r="A1002" s="3">
        <v>44588</v>
      </c>
      <c r="B1002" s="2">
        <v>53.4</v>
      </c>
      <c r="C1002" s="2">
        <f t="shared" si="15"/>
        <v>-1.5792246454419755E-2</v>
      </c>
    </row>
    <row r="1003" spans="1:3" x14ac:dyDescent="0.2">
      <c r="A1003" s="3">
        <v>44587</v>
      </c>
      <c r="B1003" s="2">
        <v>54.25</v>
      </c>
      <c r="C1003" s="2">
        <f t="shared" si="15"/>
        <v>3.278982282299097E-2</v>
      </c>
    </row>
    <row r="1004" spans="1:3" x14ac:dyDescent="0.2">
      <c r="A1004" s="3">
        <v>44586</v>
      </c>
      <c r="B1004" s="2">
        <v>52.5</v>
      </c>
      <c r="C1004" s="2">
        <f t="shared" si="15"/>
        <v>-1.0421695462414072E-2</v>
      </c>
    </row>
    <row r="1005" spans="1:3" x14ac:dyDescent="0.2">
      <c r="A1005" s="3">
        <v>44585</v>
      </c>
      <c r="B1005" s="2">
        <v>53.05</v>
      </c>
      <c r="C1005" s="2">
        <f t="shared" si="15"/>
        <v>-4.69483361965446E-2</v>
      </c>
    </row>
    <row r="1006" spans="1:3" x14ac:dyDescent="0.2">
      <c r="A1006" s="3">
        <v>44582</v>
      </c>
      <c r="B1006" s="2">
        <v>55.6</v>
      </c>
      <c r="C1006" s="2">
        <f t="shared" si="15"/>
        <v>-2.0472455104975345E-2</v>
      </c>
    </row>
    <row r="1007" spans="1:3" x14ac:dyDescent="0.2">
      <c r="A1007" s="3">
        <v>44581</v>
      </c>
      <c r="B1007" s="2">
        <v>56.75</v>
      </c>
      <c r="C1007" s="2">
        <f t="shared" si="15"/>
        <v>-2.6396847707731061E-3</v>
      </c>
    </row>
    <row r="1008" spans="1:3" x14ac:dyDescent="0.2">
      <c r="A1008" s="3">
        <v>44580</v>
      </c>
      <c r="B1008" s="2">
        <v>56.9</v>
      </c>
      <c r="C1008" s="2">
        <f t="shared" si="15"/>
        <v>-2.6327351757994256E-3</v>
      </c>
    </row>
    <row r="1009" spans="1:3" x14ac:dyDescent="0.2">
      <c r="A1009" s="3">
        <v>44579</v>
      </c>
      <c r="B1009" s="2">
        <v>57.05</v>
      </c>
      <c r="C1009" s="2">
        <f t="shared" si="15"/>
        <v>-1.3060699370247173E-2</v>
      </c>
    </row>
    <row r="1010" spans="1:3" x14ac:dyDescent="0.2">
      <c r="A1010" s="3">
        <v>44578</v>
      </c>
      <c r="B1010" s="2">
        <v>57.8</v>
      </c>
      <c r="C1010" s="2">
        <f t="shared" si="15"/>
        <v>8.6881519576378231E-3</v>
      </c>
    </row>
    <row r="1011" spans="1:3" x14ac:dyDescent="0.2">
      <c r="A1011" s="3">
        <v>44575</v>
      </c>
      <c r="B1011" s="2">
        <v>57.3</v>
      </c>
      <c r="C1011" s="2">
        <f t="shared" si="15"/>
        <v>-3.1775966703701919E-2</v>
      </c>
    </row>
    <row r="1012" spans="1:3" x14ac:dyDescent="0.2">
      <c r="A1012" s="3">
        <v>44574</v>
      </c>
      <c r="B1012" s="2">
        <v>59.15</v>
      </c>
      <c r="C1012" s="2">
        <f t="shared" si="15"/>
        <v>-2.0084357119144764E-2</v>
      </c>
    </row>
    <row r="1013" spans="1:3" x14ac:dyDescent="0.2">
      <c r="A1013" s="3">
        <v>44573</v>
      </c>
      <c r="B1013" s="2">
        <v>60.35</v>
      </c>
      <c r="C1013" s="2">
        <f t="shared" si="15"/>
        <v>2.4885952287650322E-3</v>
      </c>
    </row>
    <row r="1014" spans="1:3" x14ac:dyDescent="0.2">
      <c r="A1014" s="3">
        <v>44572</v>
      </c>
      <c r="B1014" s="2">
        <v>60.2</v>
      </c>
      <c r="C1014" s="2">
        <f t="shared" si="15"/>
        <v>1.2536729177984519E-2</v>
      </c>
    </row>
    <row r="1015" spans="1:3" x14ac:dyDescent="0.2">
      <c r="A1015" s="3">
        <v>44571</v>
      </c>
      <c r="B1015" s="2">
        <v>59.45</v>
      </c>
      <c r="C1015" s="2">
        <f t="shared" si="15"/>
        <v>-4.0384556553759478E-2</v>
      </c>
    </row>
    <row r="1016" spans="1:3" x14ac:dyDescent="0.2">
      <c r="A1016" s="3">
        <v>44568</v>
      </c>
      <c r="B1016" s="2">
        <v>61.9</v>
      </c>
      <c r="C1016" s="2">
        <f t="shared" si="15"/>
        <v>-1.0446057222369737E-2</v>
      </c>
    </row>
    <row r="1017" spans="1:3" x14ac:dyDescent="0.2">
      <c r="A1017" s="3">
        <v>44567</v>
      </c>
      <c r="B1017" s="2">
        <v>62.55</v>
      </c>
      <c r="C1017" s="2">
        <f t="shared" si="15"/>
        <v>-2.9147396197387883E-2</v>
      </c>
    </row>
    <row r="1018" spans="1:3" x14ac:dyDescent="0.2">
      <c r="A1018" s="3">
        <v>44566</v>
      </c>
      <c r="B1018" s="2">
        <v>64.400000000000006</v>
      </c>
      <c r="C1018" s="2">
        <f t="shared" si="15"/>
        <v>1.0144449071772456E-2</v>
      </c>
    </row>
    <row r="1019" spans="1:3" x14ac:dyDescent="0.2">
      <c r="A1019" s="3">
        <v>44565</v>
      </c>
      <c r="B1019" s="2">
        <v>63.75</v>
      </c>
      <c r="C1019" s="2">
        <f t="shared" si="15"/>
        <v>-1.0920545346660912E-2</v>
      </c>
    </row>
    <row r="1020" spans="1:3" x14ac:dyDescent="0.2">
      <c r="A1020" s="3">
        <v>44560</v>
      </c>
      <c r="B1020" s="2">
        <v>64.45</v>
      </c>
      <c r="C1020" s="2">
        <f t="shared" si="15"/>
        <v>1.55279534306082E-3</v>
      </c>
    </row>
    <row r="1021" spans="1:3" x14ac:dyDescent="0.2">
      <c r="A1021" s="3">
        <v>44559</v>
      </c>
      <c r="B1021" s="2">
        <v>64.349999999999994</v>
      </c>
      <c r="C1021" s="2">
        <f t="shared" si="15"/>
        <v>1.5552102668064845E-3</v>
      </c>
    </row>
    <row r="1022" spans="1:3" x14ac:dyDescent="0.2">
      <c r="A1022" s="3">
        <v>44558</v>
      </c>
      <c r="B1022" s="2">
        <v>64.25</v>
      </c>
      <c r="C1022" s="2">
        <f t="shared" si="15"/>
        <v>1.3317862332148859E-2</v>
      </c>
    </row>
    <row r="1023" spans="1:3" x14ac:dyDescent="0.2">
      <c r="A1023" s="3">
        <v>44557</v>
      </c>
      <c r="B1023" s="2">
        <v>63.4</v>
      </c>
      <c r="C1023" s="2">
        <f t="shared" si="15"/>
        <v>1.4297304700824394E-2</v>
      </c>
    </row>
    <row r="1024" spans="1:3" x14ac:dyDescent="0.2">
      <c r="A1024" s="3">
        <v>44552</v>
      </c>
      <c r="B1024" s="2">
        <v>62.5</v>
      </c>
      <c r="C1024" s="2">
        <f t="shared" si="15"/>
        <v>1.9386713800190084E-2</v>
      </c>
    </row>
    <row r="1025" spans="1:3" x14ac:dyDescent="0.2">
      <c r="A1025" s="3">
        <v>44551</v>
      </c>
      <c r="B1025" s="2">
        <v>61.3</v>
      </c>
      <c r="C1025" s="2">
        <f t="shared" si="15"/>
        <v>1.8107490627390206E-2</v>
      </c>
    </row>
    <row r="1026" spans="1:3" x14ac:dyDescent="0.2">
      <c r="A1026" s="3">
        <v>44550</v>
      </c>
      <c r="B1026" s="2">
        <v>60.2</v>
      </c>
      <c r="C1026" s="2">
        <f t="shared" si="15"/>
        <v>-1.3201511858535842E-2</v>
      </c>
    </row>
    <row r="1027" spans="1:3" x14ac:dyDescent="0.2">
      <c r="A1027" s="3">
        <v>44547</v>
      </c>
      <c r="B1027" s="2">
        <v>61</v>
      </c>
      <c r="C1027" s="2">
        <f t="shared" ref="C1027:C1090" si="16">+LN(B1027/B1028)</f>
        <v>-7.3499718387326609E-3</v>
      </c>
    </row>
    <row r="1028" spans="1:3" x14ac:dyDescent="0.2">
      <c r="A1028" s="3">
        <v>44546</v>
      </c>
      <c r="B1028" s="2">
        <v>61.45</v>
      </c>
      <c r="C1028" s="2">
        <f t="shared" si="16"/>
        <v>6.5306354553301953E-3</v>
      </c>
    </row>
    <row r="1029" spans="1:3" x14ac:dyDescent="0.2">
      <c r="A1029" s="3">
        <v>44545</v>
      </c>
      <c r="B1029" s="2">
        <v>61.05</v>
      </c>
      <c r="C1029" s="2">
        <f t="shared" si="16"/>
        <v>1.0704095615944339E-2</v>
      </c>
    </row>
    <row r="1030" spans="1:3" x14ac:dyDescent="0.2">
      <c r="A1030" s="3">
        <v>44544</v>
      </c>
      <c r="B1030" s="2">
        <v>60.4</v>
      </c>
      <c r="C1030" s="2">
        <f t="shared" si="16"/>
        <v>-3.1774567185276208E-2</v>
      </c>
    </row>
    <row r="1031" spans="1:3" x14ac:dyDescent="0.2">
      <c r="A1031" s="3">
        <v>44543</v>
      </c>
      <c r="B1031" s="2">
        <v>62.35</v>
      </c>
      <c r="C1031" s="2">
        <f t="shared" si="16"/>
        <v>-7.9872629102110265E-3</v>
      </c>
    </row>
    <row r="1032" spans="1:3" x14ac:dyDescent="0.2">
      <c r="A1032" s="3">
        <v>44540</v>
      </c>
      <c r="B1032" s="2">
        <v>62.85</v>
      </c>
      <c r="C1032" s="2">
        <f t="shared" si="16"/>
        <v>-7.9522867013835771E-4</v>
      </c>
    </row>
    <row r="1033" spans="1:3" x14ac:dyDescent="0.2">
      <c r="A1033" s="3">
        <v>44539</v>
      </c>
      <c r="B1033" s="2">
        <v>62.9</v>
      </c>
      <c r="C1033" s="2">
        <f t="shared" si="16"/>
        <v>5.5799267934747328E-3</v>
      </c>
    </row>
    <row r="1034" spans="1:3" x14ac:dyDescent="0.2">
      <c r="A1034" s="3">
        <v>44538</v>
      </c>
      <c r="B1034" s="2">
        <v>62.55</v>
      </c>
      <c r="C1034" s="2">
        <f t="shared" si="16"/>
        <v>-7.1684894786126279E-3</v>
      </c>
    </row>
    <row r="1035" spans="1:3" x14ac:dyDescent="0.2">
      <c r="A1035" s="3">
        <v>44537</v>
      </c>
      <c r="B1035" s="2">
        <v>63</v>
      </c>
      <c r="C1035" s="2">
        <f t="shared" si="16"/>
        <v>3.5544937419411497E-2</v>
      </c>
    </row>
    <row r="1036" spans="1:3" x14ac:dyDescent="0.2">
      <c r="A1036" s="3">
        <v>44536</v>
      </c>
      <c r="B1036" s="2">
        <v>60.8</v>
      </c>
      <c r="C1036" s="2">
        <f t="shared" si="16"/>
        <v>1.241224044612888E-2</v>
      </c>
    </row>
    <row r="1037" spans="1:3" x14ac:dyDescent="0.2">
      <c r="A1037" s="3">
        <v>44533</v>
      </c>
      <c r="B1037" s="2">
        <v>60.05</v>
      </c>
      <c r="C1037" s="2">
        <f t="shared" si="16"/>
        <v>-6.6390285348091951E-3</v>
      </c>
    </row>
    <row r="1038" spans="1:3" x14ac:dyDescent="0.2">
      <c r="A1038" s="3">
        <v>44532</v>
      </c>
      <c r="B1038" s="2">
        <v>60.45</v>
      </c>
      <c r="C1038" s="2">
        <f t="shared" si="16"/>
        <v>-7.4165976550495949E-3</v>
      </c>
    </row>
    <row r="1039" spans="1:3" x14ac:dyDescent="0.2">
      <c r="A1039" s="3">
        <v>44531</v>
      </c>
      <c r="B1039" s="2">
        <v>60.9</v>
      </c>
      <c r="C1039" s="2">
        <f t="shared" si="16"/>
        <v>2.1577600644547151E-2</v>
      </c>
    </row>
    <row r="1040" spans="1:3" x14ac:dyDescent="0.2">
      <c r="A1040" s="3">
        <v>44530</v>
      </c>
      <c r="B1040" s="2">
        <v>59.6</v>
      </c>
      <c r="C1040" s="2">
        <f t="shared" si="16"/>
        <v>-3.350086885281863E-3</v>
      </c>
    </row>
    <row r="1041" spans="1:3" x14ac:dyDescent="0.2">
      <c r="A1041" s="3">
        <v>44529</v>
      </c>
      <c r="B1041" s="2">
        <v>59.8</v>
      </c>
      <c r="C1041" s="2">
        <f t="shared" si="16"/>
        <v>1.3468217050866611E-2</v>
      </c>
    </row>
    <row r="1042" spans="1:3" x14ac:dyDescent="0.2">
      <c r="A1042" s="3">
        <v>44526</v>
      </c>
      <c r="B1042" s="2">
        <v>59</v>
      </c>
      <c r="C1042" s="2">
        <f t="shared" si="16"/>
        <v>-2.9229638314938366E-2</v>
      </c>
    </row>
    <row r="1043" spans="1:3" x14ac:dyDescent="0.2">
      <c r="A1043" s="3">
        <v>44525</v>
      </c>
      <c r="B1043" s="2">
        <v>60.75</v>
      </c>
      <c r="C1043" s="2">
        <f t="shared" si="16"/>
        <v>-3.2867737066226976E-3</v>
      </c>
    </row>
    <row r="1044" spans="1:3" x14ac:dyDescent="0.2">
      <c r="A1044" s="3">
        <v>44524</v>
      </c>
      <c r="B1044" s="2">
        <v>60.95</v>
      </c>
      <c r="C1044" s="2">
        <f t="shared" si="16"/>
        <v>8.2372788664789292E-3</v>
      </c>
    </row>
    <row r="1045" spans="1:3" x14ac:dyDescent="0.2">
      <c r="A1045" s="3">
        <v>44523</v>
      </c>
      <c r="B1045" s="2">
        <v>60.45</v>
      </c>
      <c r="C1045" s="2">
        <f t="shared" si="16"/>
        <v>-2.934195828401532E-2</v>
      </c>
    </row>
    <row r="1046" spans="1:3" x14ac:dyDescent="0.2">
      <c r="A1046" s="3">
        <v>44522</v>
      </c>
      <c r="B1046" s="2">
        <v>62.25</v>
      </c>
      <c r="C1046" s="2">
        <f t="shared" si="16"/>
        <v>-8.7965381293359669E-3</v>
      </c>
    </row>
    <row r="1047" spans="1:3" x14ac:dyDescent="0.2">
      <c r="A1047" s="3">
        <v>44519</v>
      </c>
      <c r="B1047" s="2">
        <v>62.8</v>
      </c>
      <c r="C1047" s="2">
        <f t="shared" si="16"/>
        <v>7.9936476807455845E-3</v>
      </c>
    </row>
    <row r="1048" spans="1:3" x14ac:dyDescent="0.2">
      <c r="A1048" s="3">
        <v>44518</v>
      </c>
      <c r="B1048" s="2">
        <v>62.3</v>
      </c>
      <c r="C1048" s="2">
        <f t="shared" si="16"/>
        <v>-4.8038523126455006E-3</v>
      </c>
    </row>
    <row r="1049" spans="1:3" x14ac:dyDescent="0.2">
      <c r="A1049" s="3">
        <v>44517</v>
      </c>
      <c r="B1049" s="2">
        <v>62.6</v>
      </c>
      <c r="C1049" s="2">
        <f t="shared" si="16"/>
        <v>-1.2698583337127319E-2</v>
      </c>
    </row>
    <row r="1050" spans="1:3" x14ac:dyDescent="0.2">
      <c r="A1050" s="3">
        <v>44516</v>
      </c>
      <c r="B1050" s="2">
        <v>63.4</v>
      </c>
      <c r="C1050" s="2">
        <f t="shared" si="16"/>
        <v>3.2054026290083477E-2</v>
      </c>
    </row>
    <row r="1051" spans="1:3" x14ac:dyDescent="0.2">
      <c r="A1051" s="3">
        <v>44515</v>
      </c>
      <c r="B1051" s="2">
        <v>61.4</v>
      </c>
      <c r="C1051" s="2">
        <f t="shared" si="16"/>
        <v>-2.4400174773657113E-3</v>
      </c>
    </row>
    <row r="1052" spans="1:3" x14ac:dyDescent="0.2">
      <c r="A1052" s="3">
        <v>44512</v>
      </c>
      <c r="B1052" s="2">
        <v>61.55</v>
      </c>
      <c r="C1052" s="2">
        <f t="shared" si="16"/>
        <v>-8.1201790901169486E-4</v>
      </c>
    </row>
    <row r="1053" spans="1:3" x14ac:dyDescent="0.2">
      <c r="A1053" s="3">
        <v>44511</v>
      </c>
      <c r="B1053" s="2">
        <v>61.6</v>
      </c>
      <c r="C1053" s="2">
        <f t="shared" si="16"/>
        <v>-8.3284201597707441E-2</v>
      </c>
    </row>
    <row r="1054" spans="1:3" x14ac:dyDescent="0.2">
      <c r="A1054" s="3">
        <v>44510</v>
      </c>
      <c r="B1054" s="2">
        <v>66.95</v>
      </c>
      <c r="C1054" s="2">
        <f t="shared" si="16"/>
        <v>-8.9219922690262216E-3</v>
      </c>
    </row>
    <row r="1055" spans="1:3" x14ac:dyDescent="0.2">
      <c r="A1055" s="3">
        <v>44509</v>
      </c>
      <c r="B1055" s="2">
        <v>67.55</v>
      </c>
      <c r="C1055" s="2">
        <f t="shared" si="16"/>
        <v>-5.1679701584426731E-3</v>
      </c>
    </row>
    <row r="1056" spans="1:3" x14ac:dyDescent="0.2">
      <c r="A1056" s="3">
        <v>44508</v>
      </c>
      <c r="B1056" s="2">
        <v>67.900000000000006</v>
      </c>
      <c r="C1056" s="2">
        <f t="shared" si="16"/>
        <v>5.1679701584425976E-3</v>
      </c>
    </row>
    <row r="1057" spans="1:3" x14ac:dyDescent="0.2">
      <c r="A1057" s="3">
        <v>44505</v>
      </c>
      <c r="B1057" s="2">
        <v>67.55</v>
      </c>
      <c r="C1057" s="2">
        <f t="shared" si="16"/>
        <v>-1.0309369658861325E-2</v>
      </c>
    </row>
    <row r="1058" spans="1:3" x14ac:dyDescent="0.2">
      <c r="A1058" s="3">
        <v>44504</v>
      </c>
      <c r="B1058" s="2">
        <v>68.25</v>
      </c>
      <c r="C1058" s="2">
        <f t="shared" si="16"/>
        <v>2.7480377582680959E-2</v>
      </c>
    </row>
    <row r="1059" spans="1:3" x14ac:dyDescent="0.2">
      <c r="A1059" s="3">
        <v>44503</v>
      </c>
      <c r="B1059" s="2">
        <v>66.400000000000006</v>
      </c>
      <c r="C1059" s="2">
        <f t="shared" si="16"/>
        <v>1.8237587549781012E-2</v>
      </c>
    </row>
    <row r="1060" spans="1:3" x14ac:dyDescent="0.2">
      <c r="A1060" s="3">
        <v>44502</v>
      </c>
      <c r="B1060" s="2">
        <v>65.2</v>
      </c>
      <c r="C1060" s="2">
        <f t="shared" si="16"/>
        <v>5.3825581701544296E-3</v>
      </c>
    </row>
    <row r="1061" spans="1:3" x14ac:dyDescent="0.2">
      <c r="A1061" s="3">
        <v>44501</v>
      </c>
      <c r="B1061" s="2">
        <v>64.849999999999994</v>
      </c>
      <c r="C1061" s="2">
        <f t="shared" si="16"/>
        <v>1.7107726723917215E-2</v>
      </c>
    </row>
    <row r="1062" spans="1:3" x14ac:dyDescent="0.2">
      <c r="A1062" s="3">
        <v>44498</v>
      </c>
      <c r="B1062" s="2">
        <v>63.75</v>
      </c>
      <c r="C1062" s="2">
        <f t="shared" si="16"/>
        <v>4.7169898781388667E-3</v>
      </c>
    </row>
    <row r="1063" spans="1:3" x14ac:dyDescent="0.2">
      <c r="A1063" s="3">
        <v>44497</v>
      </c>
      <c r="B1063" s="2">
        <v>63.45</v>
      </c>
      <c r="C1063" s="2">
        <f t="shared" si="16"/>
        <v>7.1174677688639549E-3</v>
      </c>
    </row>
    <row r="1064" spans="1:3" x14ac:dyDescent="0.2">
      <c r="A1064" s="3">
        <v>44496</v>
      </c>
      <c r="B1064" s="2">
        <v>63</v>
      </c>
      <c r="C1064" s="2">
        <f t="shared" si="16"/>
        <v>9.5694510161506725E-3</v>
      </c>
    </row>
    <row r="1065" spans="1:3" x14ac:dyDescent="0.2">
      <c r="A1065" s="3">
        <v>44495</v>
      </c>
      <c r="B1065" s="2">
        <v>62.4</v>
      </c>
      <c r="C1065" s="2">
        <f t="shared" si="16"/>
        <v>2.1872074818668312E-2</v>
      </c>
    </row>
    <row r="1066" spans="1:3" x14ac:dyDescent="0.2">
      <c r="A1066" s="3">
        <v>44494</v>
      </c>
      <c r="B1066" s="2">
        <v>61.05</v>
      </c>
      <c r="C1066" s="2">
        <f t="shared" si="16"/>
        <v>-8.186656208359921E-4</v>
      </c>
    </row>
    <row r="1067" spans="1:3" x14ac:dyDescent="0.2">
      <c r="A1067" s="3">
        <v>44491</v>
      </c>
      <c r="B1067" s="2">
        <v>61.1</v>
      </c>
      <c r="C1067" s="2">
        <f t="shared" si="16"/>
        <v>1.069528911674795E-2</v>
      </c>
    </row>
    <row r="1068" spans="1:3" x14ac:dyDescent="0.2">
      <c r="A1068" s="3">
        <v>44490</v>
      </c>
      <c r="B1068" s="2">
        <v>60.45</v>
      </c>
      <c r="C1068" s="2">
        <f t="shared" si="16"/>
        <v>7.4720148387010564E-3</v>
      </c>
    </row>
    <row r="1069" spans="1:3" x14ac:dyDescent="0.2">
      <c r="A1069" s="3">
        <v>44489</v>
      </c>
      <c r="B1069" s="2">
        <v>60</v>
      </c>
      <c r="C1069" s="2">
        <f t="shared" si="16"/>
        <v>7.5282664207915878E-3</v>
      </c>
    </row>
    <row r="1070" spans="1:3" x14ac:dyDescent="0.2">
      <c r="A1070" s="3">
        <v>44488</v>
      </c>
      <c r="B1070" s="2">
        <v>59.55</v>
      </c>
      <c r="C1070" s="2">
        <f t="shared" si="16"/>
        <v>8.3998324972503209E-4</v>
      </c>
    </row>
    <row r="1071" spans="1:3" x14ac:dyDescent="0.2">
      <c r="A1071" s="3">
        <v>44484</v>
      </c>
      <c r="B1071" s="2">
        <v>59.5</v>
      </c>
      <c r="C1071" s="2">
        <f t="shared" si="16"/>
        <v>-8.3998324972498731E-4</v>
      </c>
    </row>
    <row r="1072" spans="1:3" x14ac:dyDescent="0.2">
      <c r="A1072" s="3">
        <v>44483</v>
      </c>
      <c r="B1072" s="2">
        <v>59.55</v>
      </c>
      <c r="C1072" s="2">
        <f t="shared" si="16"/>
        <v>2.896284216162345E-2</v>
      </c>
    </row>
    <row r="1073" spans="1:3" x14ac:dyDescent="0.2">
      <c r="A1073" s="3">
        <v>44482</v>
      </c>
      <c r="B1073" s="2">
        <v>57.85</v>
      </c>
      <c r="C1073" s="2">
        <f t="shared" si="16"/>
        <v>1.2174063398866019E-2</v>
      </c>
    </row>
    <row r="1074" spans="1:3" x14ac:dyDescent="0.2">
      <c r="A1074" s="3">
        <v>44481</v>
      </c>
      <c r="B1074" s="2">
        <v>57.15</v>
      </c>
      <c r="C1074" s="2">
        <f t="shared" si="16"/>
        <v>6.1430645137140714E-3</v>
      </c>
    </row>
    <row r="1075" spans="1:3" x14ac:dyDescent="0.2">
      <c r="A1075" s="3">
        <v>44480</v>
      </c>
      <c r="B1075" s="2">
        <v>56.8</v>
      </c>
      <c r="C1075" s="2">
        <f t="shared" si="16"/>
        <v>-9.636517848274153E-3</v>
      </c>
    </row>
    <row r="1076" spans="1:3" x14ac:dyDescent="0.2">
      <c r="A1076" s="3">
        <v>44477</v>
      </c>
      <c r="B1076" s="2">
        <v>57.35</v>
      </c>
      <c r="C1076" s="2">
        <f t="shared" si="16"/>
        <v>2.0256086675734322E-2</v>
      </c>
    </row>
    <row r="1077" spans="1:3" x14ac:dyDescent="0.2">
      <c r="A1077" s="3">
        <v>44476</v>
      </c>
      <c r="B1077" s="2">
        <v>56.2</v>
      </c>
      <c r="C1077" s="2">
        <f t="shared" si="16"/>
        <v>2.6139388203035262E-2</v>
      </c>
    </row>
    <row r="1078" spans="1:3" x14ac:dyDescent="0.2">
      <c r="A1078" s="3">
        <v>44475</v>
      </c>
      <c r="B1078" s="2">
        <v>54.75</v>
      </c>
      <c r="C1078" s="2">
        <f t="shared" si="16"/>
        <v>-1.2704345099765849E-2</v>
      </c>
    </row>
    <row r="1079" spans="1:3" x14ac:dyDescent="0.2">
      <c r="A1079" s="3">
        <v>44474</v>
      </c>
      <c r="B1079" s="2">
        <v>55.45</v>
      </c>
      <c r="C1079" s="2">
        <f t="shared" si="16"/>
        <v>2.0037100229157535E-2</v>
      </c>
    </row>
    <row r="1080" spans="1:3" x14ac:dyDescent="0.2">
      <c r="A1080" s="3">
        <v>44473</v>
      </c>
      <c r="B1080" s="2">
        <v>54.35</v>
      </c>
      <c r="C1080" s="2">
        <f t="shared" si="16"/>
        <v>-2.45355333660199E-2</v>
      </c>
    </row>
    <row r="1081" spans="1:3" x14ac:dyDescent="0.2">
      <c r="A1081" s="3">
        <v>44470</v>
      </c>
      <c r="B1081" s="2">
        <v>55.7</v>
      </c>
      <c r="C1081" s="2">
        <f t="shared" si="16"/>
        <v>-5.3715438019108766E-3</v>
      </c>
    </row>
    <row r="1082" spans="1:3" x14ac:dyDescent="0.2">
      <c r="A1082" s="3">
        <v>44469</v>
      </c>
      <c r="B1082" s="2">
        <v>56</v>
      </c>
      <c r="C1082" s="2">
        <f t="shared" si="16"/>
        <v>8.9325597721492066E-4</v>
      </c>
    </row>
    <row r="1083" spans="1:3" x14ac:dyDescent="0.2">
      <c r="A1083" s="3">
        <v>44468</v>
      </c>
      <c r="B1083" s="2">
        <v>55.95</v>
      </c>
      <c r="C1083" s="2">
        <f t="shared" si="16"/>
        <v>6.2752335013976186E-3</v>
      </c>
    </row>
    <row r="1084" spans="1:3" x14ac:dyDescent="0.2">
      <c r="A1084" s="3">
        <v>44467</v>
      </c>
      <c r="B1084" s="2">
        <v>55.6</v>
      </c>
      <c r="C1084" s="2">
        <f t="shared" si="16"/>
        <v>-3.9670252383148925E-2</v>
      </c>
    </row>
    <row r="1085" spans="1:3" x14ac:dyDescent="0.2">
      <c r="A1085" s="3">
        <v>44466</v>
      </c>
      <c r="B1085" s="2">
        <v>57.85</v>
      </c>
      <c r="C1085" s="2">
        <f t="shared" si="16"/>
        <v>-1.8836173343694411E-2</v>
      </c>
    </row>
    <row r="1086" spans="1:3" x14ac:dyDescent="0.2">
      <c r="A1086" s="3">
        <v>44463</v>
      </c>
      <c r="B1086" s="2">
        <v>58.95</v>
      </c>
      <c r="C1086" s="2">
        <f t="shared" si="16"/>
        <v>-1.6821254490143371E-2</v>
      </c>
    </row>
    <row r="1087" spans="1:3" x14ac:dyDescent="0.2">
      <c r="A1087" s="3">
        <v>44462</v>
      </c>
      <c r="B1087" s="2">
        <v>59.95</v>
      </c>
      <c r="C1087" s="2">
        <f t="shared" si="16"/>
        <v>1.682125449014325E-2</v>
      </c>
    </row>
    <row r="1088" spans="1:3" x14ac:dyDescent="0.2">
      <c r="A1088" s="3">
        <v>44461</v>
      </c>
      <c r="B1088" s="2">
        <v>58.95</v>
      </c>
      <c r="C1088" s="2">
        <f t="shared" si="16"/>
        <v>1.7972242404430436E-2</v>
      </c>
    </row>
    <row r="1089" spans="1:3" x14ac:dyDescent="0.2">
      <c r="A1089" s="3">
        <v>44460</v>
      </c>
      <c r="B1089" s="2">
        <v>57.9</v>
      </c>
      <c r="C1089" s="2">
        <f t="shared" si="16"/>
        <v>9.544541003569872E-3</v>
      </c>
    </row>
    <row r="1090" spans="1:3" x14ac:dyDescent="0.2">
      <c r="A1090" s="3">
        <v>44459</v>
      </c>
      <c r="B1090" s="2">
        <v>57.35</v>
      </c>
      <c r="C1090" s="2">
        <f t="shared" si="16"/>
        <v>-3.0903746849016003E-2</v>
      </c>
    </row>
    <row r="1091" spans="1:3" x14ac:dyDescent="0.2">
      <c r="A1091" s="3">
        <v>44456</v>
      </c>
      <c r="B1091" s="2">
        <v>59.15</v>
      </c>
      <c r="C1091" s="2">
        <f t="shared" ref="C1091:C1154" si="17">+LN(B1091/B1092)</f>
        <v>-6.7397053769132778E-3</v>
      </c>
    </row>
    <row r="1092" spans="1:3" x14ac:dyDescent="0.2">
      <c r="A1092" s="3">
        <v>44455</v>
      </c>
      <c r="B1092" s="2">
        <v>59.55</v>
      </c>
      <c r="C1092" s="2">
        <f t="shared" si="17"/>
        <v>7.5853713892565641E-3</v>
      </c>
    </row>
    <row r="1093" spans="1:3" x14ac:dyDescent="0.2">
      <c r="A1093" s="3">
        <v>44454</v>
      </c>
      <c r="B1093" s="2">
        <v>59.1</v>
      </c>
      <c r="C1093" s="2">
        <f t="shared" si="17"/>
        <v>-1.7610518008635279E-2</v>
      </c>
    </row>
    <row r="1094" spans="1:3" x14ac:dyDescent="0.2">
      <c r="A1094" s="3">
        <v>44453</v>
      </c>
      <c r="B1094" s="2">
        <v>60.15</v>
      </c>
      <c r="C1094" s="2">
        <f t="shared" si="17"/>
        <v>1.5075662405447396E-2</v>
      </c>
    </row>
    <row r="1095" spans="1:3" x14ac:dyDescent="0.2">
      <c r="A1095" s="3">
        <v>44452</v>
      </c>
      <c r="B1095" s="2">
        <v>59.25</v>
      </c>
      <c r="C1095" s="2">
        <f t="shared" si="17"/>
        <v>5.9246893576996558E-3</v>
      </c>
    </row>
    <row r="1096" spans="1:3" x14ac:dyDescent="0.2">
      <c r="A1096" s="3">
        <v>44449</v>
      </c>
      <c r="B1096" s="2">
        <v>58.9</v>
      </c>
      <c r="C1096" s="2">
        <f t="shared" si="17"/>
        <v>-1.2653057886384073E-2</v>
      </c>
    </row>
    <row r="1097" spans="1:3" x14ac:dyDescent="0.2">
      <c r="A1097" s="3">
        <v>44448</v>
      </c>
      <c r="B1097" s="2">
        <v>59.65</v>
      </c>
      <c r="C1097" s="2">
        <f t="shared" si="17"/>
        <v>1.7759451960958069E-2</v>
      </c>
    </row>
    <row r="1098" spans="1:3" x14ac:dyDescent="0.2">
      <c r="A1098" s="3">
        <v>44447</v>
      </c>
      <c r="B1098" s="2">
        <v>58.6</v>
      </c>
      <c r="C1098" s="2">
        <f t="shared" si="17"/>
        <v>-1.943449422865309E-2</v>
      </c>
    </row>
    <row r="1099" spans="1:3" x14ac:dyDescent="0.2">
      <c r="A1099" s="3">
        <v>44446</v>
      </c>
      <c r="B1099" s="2">
        <v>59.75</v>
      </c>
      <c r="C1099" s="2">
        <f t="shared" si="17"/>
        <v>-5.0083577143724082E-3</v>
      </c>
    </row>
    <row r="1100" spans="1:3" x14ac:dyDescent="0.2">
      <c r="A1100" s="3">
        <v>44445</v>
      </c>
      <c r="B1100" s="2">
        <v>60.05</v>
      </c>
      <c r="C1100" s="2">
        <f t="shared" si="17"/>
        <v>1.1725427470315507E-2</v>
      </c>
    </row>
    <row r="1101" spans="1:3" x14ac:dyDescent="0.2">
      <c r="A1101" s="3">
        <v>44442</v>
      </c>
      <c r="B1101" s="2">
        <v>59.35</v>
      </c>
      <c r="C1101" s="2">
        <f t="shared" si="17"/>
        <v>-1.0058760417846238E-2</v>
      </c>
    </row>
    <row r="1102" spans="1:3" x14ac:dyDescent="0.2">
      <c r="A1102" s="3">
        <v>44441</v>
      </c>
      <c r="B1102" s="2">
        <v>59.95</v>
      </c>
      <c r="C1102" s="2">
        <f t="shared" si="17"/>
        <v>9.2166551049240476E-3</v>
      </c>
    </row>
    <row r="1103" spans="1:3" x14ac:dyDescent="0.2">
      <c r="A1103" s="3">
        <v>44440</v>
      </c>
      <c r="B1103" s="2">
        <v>59.4</v>
      </c>
      <c r="C1103" s="2">
        <f t="shared" si="17"/>
        <v>-1.3378125946176199E-2</v>
      </c>
    </row>
    <row r="1104" spans="1:3" x14ac:dyDescent="0.2">
      <c r="A1104" s="3">
        <v>44439</v>
      </c>
      <c r="B1104" s="2">
        <v>60.2</v>
      </c>
      <c r="C1104" s="2">
        <f t="shared" si="17"/>
        <v>-9.0947299058823979E-3</v>
      </c>
    </row>
    <row r="1105" spans="1:3" x14ac:dyDescent="0.2">
      <c r="A1105" s="3">
        <v>44438</v>
      </c>
      <c r="B1105" s="2">
        <v>60.75</v>
      </c>
      <c r="C1105" s="2">
        <f t="shared" si="17"/>
        <v>2.2472855852058576E-2</v>
      </c>
    </row>
    <row r="1106" spans="1:3" x14ac:dyDescent="0.2">
      <c r="A1106" s="3">
        <v>44435</v>
      </c>
      <c r="B1106" s="2">
        <v>59.4</v>
      </c>
      <c r="C1106" s="2">
        <f t="shared" si="17"/>
        <v>1.2706651269114883E-2</v>
      </c>
    </row>
    <row r="1107" spans="1:3" x14ac:dyDescent="0.2">
      <c r="A1107" s="3">
        <v>44434</v>
      </c>
      <c r="B1107" s="2">
        <v>58.65</v>
      </c>
      <c r="C1107" s="2">
        <f t="shared" si="17"/>
        <v>2.5608208616736505E-3</v>
      </c>
    </row>
    <row r="1108" spans="1:3" x14ac:dyDescent="0.2">
      <c r="A1108" s="3">
        <v>44433</v>
      </c>
      <c r="B1108" s="2">
        <v>58.5</v>
      </c>
      <c r="C1108" s="2">
        <f t="shared" si="17"/>
        <v>1.3769580723756817E-2</v>
      </c>
    </row>
    <row r="1109" spans="1:3" x14ac:dyDescent="0.2">
      <c r="A1109" s="3">
        <v>44432</v>
      </c>
      <c r="B1109" s="2">
        <v>57.7</v>
      </c>
      <c r="C1109" s="2">
        <f t="shared" si="17"/>
        <v>-2.5962801256316243E-3</v>
      </c>
    </row>
    <row r="1110" spans="1:3" x14ac:dyDescent="0.2">
      <c r="A1110" s="3">
        <v>44431</v>
      </c>
      <c r="B1110" s="2">
        <v>57.85</v>
      </c>
      <c r="C1110" s="2">
        <f t="shared" si="17"/>
        <v>1.1299555253933247E-2</v>
      </c>
    </row>
    <row r="1111" spans="1:3" x14ac:dyDescent="0.2">
      <c r="A1111" s="3">
        <v>44428</v>
      </c>
      <c r="B1111" s="2">
        <v>57.2</v>
      </c>
      <c r="C1111" s="2">
        <f t="shared" si="17"/>
        <v>-6.9686693160933158E-3</v>
      </c>
    </row>
    <row r="1112" spans="1:3" x14ac:dyDescent="0.2">
      <c r="A1112" s="3">
        <v>44427</v>
      </c>
      <c r="B1112" s="2">
        <v>57.6</v>
      </c>
      <c r="C1112" s="2">
        <f t="shared" si="17"/>
        <v>-1.0362787035546659E-2</v>
      </c>
    </row>
    <row r="1113" spans="1:3" x14ac:dyDescent="0.2">
      <c r="A1113" s="3">
        <v>44426</v>
      </c>
      <c r="B1113" s="2">
        <v>58.2</v>
      </c>
      <c r="C1113" s="2">
        <f t="shared" si="17"/>
        <v>2.522969837588019E-2</v>
      </c>
    </row>
    <row r="1114" spans="1:3" x14ac:dyDescent="0.2">
      <c r="A1114" s="3">
        <v>44425</v>
      </c>
      <c r="B1114" s="2">
        <v>56.75</v>
      </c>
      <c r="C1114" s="2">
        <f t="shared" si="17"/>
        <v>1.7636688874967138E-3</v>
      </c>
    </row>
    <row r="1115" spans="1:3" x14ac:dyDescent="0.2">
      <c r="A1115" s="3">
        <v>44421</v>
      </c>
      <c r="B1115" s="2">
        <v>56.65</v>
      </c>
      <c r="C1115" s="2">
        <f t="shared" si="17"/>
        <v>1.1540296738866158E-2</v>
      </c>
    </row>
    <row r="1116" spans="1:3" x14ac:dyDescent="0.2">
      <c r="A1116" s="3">
        <v>44420</v>
      </c>
      <c r="B1116" s="2">
        <v>56</v>
      </c>
      <c r="C1116" s="2">
        <f t="shared" si="17"/>
        <v>1.4388737452099452E-2</v>
      </c>
    </row>
    <row r="1117" spans="1:3" x14ac:dyDescent="0.2">
      <c r="A1117" s="3">
        <v>44419</v>
      </c>
      <c r="B1117" s="2">
        <v>55.2</v>
      </c>
      <c r="C1117" s="2">
        <f t="shared" si="17"/>
        <v>2.5689486115311085E-2</v>
      </c>
    </row>
    <row r="1118" spans="1:3" x14ac:dyDescent="0.2">
      <c r="A1118" s="3">
        <v>44417</v>
      </c>
      <c r="B1118" s="2">
        <v>53.8</v>
      </c>
      <c r="C1118" s="2">
        <f t="shared" si="17"/>
        <v>-5.5607186846971766E-3</v>
      </c>
    </row>
    <row r="1119" spans="1:3" x14ac:dyDescent="0.2">
      <c r="A1119" s="3">
        <v>44414</v>
      </c>
      <c r="B1119" s="2">
        <v>54.1</v>
      </c>
      <c r="C1119" s="2">
        <f t="shared" si="17"/>
        <v>3.7037079374844318E-3</v>
      </c>
    </row>
    <row r="1120" spans="1:3" x14ac:dyDescent="0.2">
      <c r="A1120" s="3">
        <v>44412</v>
      </c>
      <c r="B1120" s="2">
        <v>53.9</v>
      </c>
      <c r="C1120" s="2">
        <f t="shared" si="17"/>
        <v>7.4488240129904747E-3</v>
      </c>
    </row>
    <row r="1121" spans="1:3" x14ac:dyDescent="0.2">
      <c r="A1121" s="3">
        <v>44411</v>
      </c>
      <c r="B1121" s="2">
        <v>53.5</v>
      </c>
      <c r="C1121" s="2">
        <f t="shared" si="17"/>
        <v>3.7453227301621132E-3</v>
      </c>
    </row>
    <row r="1122" spans="1:3" x14ac:dyDescent="0.2">
      <c r="A1122" s="3">
        <v>44410</v>
      </c>
      <c r="B1122" s="2">
        <v>53.3</v>
      </c>
      <c r="C1122" s="2">
        <f t="shared" si="17"/>
        <v>1.2270092591814401E-2</v>
      </c>
    </row>
    <row r="1123" spans="1:3" x14ac:dyDescent="0.2">
      <c r="A1123" s="3">
        <v>44407</v>
      </c>
      <c r="B1123" s="2">
        <v>52.65</v>
      </c>
      <c r="C1123" s="2">
        <f t="shared" si="17"/>
        <v>9.5011883632025666E-4</v>
      </c>
    </row>
    <row r="1124" spans="1:3" x14ac:dyDescent="0.2">
      <c r="A1124" s="3">
        <v>44406</v>
      </c>
      <c r="B1124" s="2">
        <v>52.6</v>
      </c>
      <c r="C1124" s="2">
        <f t="shared" si="17"/>
        <v>-2.8476526125116187E-3</v>
      </c>
    </row>
    <row r="1125" spans="1:3" x14ac:dyDescent="0.2">
      <c r="A1125" s="3">
        <v>44405</v>
      </c>
      <c r="B1125" s="2">
        <v>52.75</v>
      </c>
      <c r="C1125" s="2">
        <f t="shared" si="17"/>
        <v>1.3358977295198074E-2</v>
      </c>
    </row>
    <row r="1126" spans="1:3" x14ac:dyDescent="0.2">
      <c r="A1126" s="3">
        <v>44404</v>
      </c>
      <c r="B1126" s="2">
        <v>52.05</v>
      </c>
      <c r="C1126" s="2">
        <f t="shared" si="17"/>
        <v>-8.6083745366002749E-3</v>
      </c>
    </row>
    <row r="1127" spans="1:3" x14ac:dyDescent="0.2">
      <c r="A1127" s="3">
        <v>44403</v>
      </c>
      <c r="B1127" s="2">
        <v>52.5</v>
      </c>
      <c r="C1127" s="2">
        <f t="shared" si="17"/>
        <v>-9.5192772538206895E-4</v>
      </c>
    </row>
    <row r="1128" spans="1:3" x14ac:dyDescent="0.2">
      <c r="A1128" s="3">
        <v>44400</v>
      </c>
      <c r="B1128" s="2">
        <v>52.55</v>
      </c>
      <c r="C1128" s="2">
        <f t="shared" si="17"/>
        <v>1.4374948057522784E-2</v>
      </c>
    </row>
    <row r="1129" spans="1:3" x14ac:dyDescent="0.2">
      <c r="A1129" s="3">
        <v>44399</v>
      </c>
      <c r="B1129" s="2">
        <v>51.8</v>
      </c>
      <c r="C1129" s="2">
        <f t="shared" si="17"/>
        <v>6.7796869853785488E-3</v>
      </c>
    </row>
    <row r="1130" spans="1:3" x14ac:dyDescent="0.2">
      <c r="A1130" s="3">
        <v>44398</v>
      </c>
      <c r="B1130" s="2">
        <v>51.45</v>
      </c>
      <c r="C1130" s="2">
        <f t="shared" si="17"/>
        <v>1.7647516813578359E-2</v>
      </c>
    </row>
    <row r="1131" spans="1:3" x14ac:dyDescent="0.2">
      <c r="A1131" s="3">
        <v>44397</v>
      </c>
      <c r="B1131" s="2">
        <v>50.55</v>
      </c>
      <c r="C1131" s="2">
        <f t="shared" si="17"/>
        <v>1.4947961435873148E-2</v>
      </c>
    </row>
    <row r="1132" spans="1:3" x14ac:dyDescent="0.2">
      <c r="A1132" s="3">
        <v>44396</v>
      </c>
      <c r="B1132" s="2">
        <v>49.8</v>
      </c>
      <c r="C1132" s="2">
        <f t="shared" si="17"/>
        <v>-3.3566823639083275E-2</v>
      </c>
    </row>
    <row r="1133" spans="1:3" x14ac:dyDescent="0.2">
      <c r="A1133" s="3">
        <v>44393</v>
      </c>
      <c r="B1133" s="2">
        <v>51.5</v>
      </c>
      <c r="C1133" s="2">
        <f t="shared" si="17"/>
        <v>-3.875973844693072E-3</v>
      </c>
    </row>
    <row r="1134" spans="1:3" x14ac:dyDescent="0.2">
      <c r="A1134" s="3">
        <v>44391</v>
      </c>
      <c r="B1134" s="2">
        <v>51.7</v>
      </c>
      <c r="C1134" s="2">
        <f t="shared" si="17"/>
        <v>-2.8971531611528983E-3</v>
      </c>
    </row>
    <row r="1135" spans="1:3" x14ac:dyDescent="0.2">
      <c r="A1135" s="3">
        <v>44389</v>
      </c>
      <c r="B1135" s="2">
        <v>51.85</v>
      </c>
      <c r="C1135" s="2">
        <f t="shared" si="17"/>
        <v>1.2615402630074235E-2</v>
      </c>
    </row>
    <row r="1136" spans="1:3" x14ac:dyDescent="0.2">
      <c r="A1136" s="3">
        <v>44386</v>
      </c>
      <c r="B1136" s="2">
        <v>51.2</v>
      </c>
      <c r="C1136" s="2">
        <f t="shared" si="17"/>
        <v>1.9724505347778573E-2</v>
      </c>
    </row>
    <row r="1137" spans="1:3" x14ac:dyDescent="0.2">
      <c r="A1137" s="3">
        <v>44385</v>
      </c>
      <c r="B1137" s="2">
        <v>50.2</v>
      </c>
      <c r="C1137" s="2">
        <f t="shared" si="17"/>
        <v>-2.8475168867964012E-2</v>
      </c>
    </row>
    <row r="1138" spans="1:3" x14ac:dyDescent="0.2">
      <c r="A1138" s="3">
        <v>44384</v>
      </c>
      <c r="B1138" s="2">
        <v>51.65</v>
      </c>
      <c r="C1138" s="2">
        <f t="shared" si="17"/>
        <v>2.2516859284333432E-2</v>
      </c>
    </row>
    <row r="1139" spans="1:3" x14ac:dyDescent="0.2">
      <c r="A1139" s="3">
        <v>44383</v>
      </c>
      <c r="B1139" s="2">
        <v>50.5</v>
      </c>
      <c r="C1139" s="2">
        <f t="shared" si="17"/>
        <v>-1.9782400121057075E-3</v>
      </c>
    </row>
    <row r="1140" spans="1:3" x14ac:dyDescent="0.2">
      <c r="A1140" s="3">
        <v>44382</v>
      </c>
      <c r="B1140" s="2">
        <v>50.6</v>
      </c>
      <c r="C1140" s="2">
        <f t="shared" si="17"/>
        <v>9.88630826939435E-4</v>
      </c>
    </row>
    <row r="1141" spans="1:3" x14ac:dyDescent="0.2">
      <c r="A1141" s="3">
        <v>44379</v>
      </c>
      <c r="B1141" s="2">
        <v>50.55</v>
      </c>
      <c r="C1141" s="2">
        <f t="shared" si="17"/>
        <v>9.9404397052509346E-3</v>
      </c>
    </row>
    <row r="1142" spans="1:3" x14ac:dyDescent="0.2">
      <c r="A1142" s="3">
        <v>44378</v>
      </c>
      <c r="B1142" s="2">
        <v>50.05</v>
      </c>
      <c r="C1142" s="2">
        <f t="shared" si="17"/>
        <v>2.2002209096023376E-3</v>
      </c>
    </row>
    <row r="1143" spans="1:3" x14ac:dyDescent="0.2">
      <c r="A1143" s="3">
        <v>44377</v>
      </c>
      <c r="B1143" s="2">
        <v>49.94</v>
      </c>
      <c r="C1143" s="2">
        <f t="shared" si="17"/>
        <v>-1.2140660614853204E-2</v>
      </c>
    </row>
    <row r="1144" spans="1:3" x14ac:dyDescent="0.2">
      <c r="A1144" s="3">
        <v>44376</v>
      </c>
      <c r="B1144" s="2">
        <v>50.55</v>
      </c>
      <c r="C1144" s="2">
        <f t="shared" si="17"/>
        <v>1.0939940038334263E-2</v>
      </c>
    </row>
    <row r="1145" spans="1:3" x14ac:dyDescent="0.2">
      <c r="A1145" s="3">
        <v>44375</v>
      </c>
      <c r="B1145" s="2">
        <v>50</v>
      </c>
      <c r="C1145" s="2">
        <f t="shared" si="17"/>
        <v>-9.950330853168092E-3</v>
      </c>
    </row>
    <row r="1146" spans="1:3" x14ac:dyDescent="0.2">
      <c r="A1146" s="3">
        <v>44372</v>
      </c>
      <c r="B1146" s="2">
        <v>50.5</v>
      </c>
      <c r="C1146" s="2">
        <f t="shared" si="17"/>
        <v>1.5163897906055511E-2</v>
      </c>
    </row>
    <row r="1147" spans="1:3" x14ac:dyDescent="0.2">
      <c r="A1147" s="3">
        <v>44371</v>
      </c>
      <c r="B1147" s="2">
        <v>49.74</v>
      </c>
      <c r="C1147" s="2">
        <f t="shared" si="17"/>
        <v>1.9899133762187871E-2</v>
      </c>
    </row>
    <row r="1148" spans="1:3" x14ac:dyDescent="0.2">
      <c r="A1148" s="3">
        <v>44370</v>
      </c>
      <c r="B1148" s="2">
        <v>48.76</v>
      </c>
      <c r="C1148" s="2">
        <f t="shared" si="17"/>
        <v>-1.3849508536364588E-2</v>
      </c>
    </row>
    <row r="1149" spans="1:3" x14ac:dyDescent="0.2">
      <c r="A1149" s="3">
        <v>44369</v>
      </c>
      <c r="B1149" s="2">
        <v>49.44</v>
      </c>
      <c r="C1149" s="2">
        <f t="shared" si="17"/>
        <v>-2.8277134576091428E-3</v>
      </c>
    </row>
    <row r="1150" spans="1:3" x14ac:dyDescent="0.2">
      <c r="A1150" s="3">
        <v>44368</v>
      </c>
      <c r="B1150" s="2">
        <v>49.58</v>
      </c>
      <c r="C1150" s="2">
        <f t="shared" si="17"/>
        <v>4.0346984610264075E-4</v>
      </c>
    </row>
    <row r="1151" spans="1:3" x14ac:dyDescent="0.2">
      <c r="A1151" s="3">
        <v>44365</v>
      </c>
      <c r="B1151" s="2">
        <v>49.56</v>
      </c>
      <c r="C1151" s="2">
        <f t="shared" si="17"/>
        <v>-1.779869003867628E-2</v>
      </c>
    </row>
    <row r="1152" spans="1:3" x14ac:dyDescent="0.2">
      <c r="A1152" s="3">
        <v>44364</v>
      </c>
      <c r="B1152" s="2">
        <v>50.45</v>
      </c>
      <c r="C1152" s="2">
        <f t="shared" si="17"/>
        <v>-1.084288592470777E-2</v>
      </c>
    </row>
    <row r="1153" spans="1:3" x14ac:dyDescent="0.2">
      <c r="A1153" s="3">
        <v>44363</v>
      </c>
      <c r="B1153" s="2">
        <v>51</v>
      </c>
      <c r="C1153" s="2">
        <f t="shared" si="17"/>
        <v>5.899722127188322E-3</v>
      </c>
    </row>
    <row r="1154" spans="1:3" x14ac:dyDescent="0.2">
      <c r="A1154" s="3">
        <v>44362</v>
      </c>
      <c r="B1154" s="2">
        <v>50.7</v>
      </c>
      <c r="C1154" s="2">
        <f t="shared" si="17"/>
        <v>1.0907396189192953E-2</v>
      </c>
    </row>
    <row r="1155" spans="1:3" x14ac:dyDescent="0.2">
      <c r="A1155" s="3">
        <v>44361</v>
      </c>
      <c r="B1155" s="2">
        <v>50.15</v>
      </c>
      <c r="C1155" s="2">
        <f t="shared" ref="C1155:C1218" si="18">+LN(B1155/B1156)</f>
        <v>-9.9651228973908447E-4</v>
      </c>
    </row>
    <row r="1156" spans="1:3" x14ac:dyDescent="0.2">
      <c r="A1156" s="3">
        <v>44358</v>
      </c>
      <c r="B1156" s="2">
        <v>50.2</v>
      </c>
      <c r="C1156" s="2">
        <f t="shared" si="18"/>
        <v>1.0010093595100425E-2</v>
      </c>
    </row>
    <row r="1157" spans="1:3" x14ac:dyDescent="0.2">
      <c r="A1157" s="3">
        <v>44357</v>
      </c>
      <c r="B1157" s="2">
        <v>49.7</v>
      </c>
      <c r="C1157" s="2">
        <f t="shared" si="18"/>
        <v>-1.2000144003110409E-2</v>
      </c>
    </row>
    <row r="1158" spans="1:3" x14ac:dyDescent="0.2">
      <c r="A1158" s="3">
        <v>44355</v>
      </c>
      <c r="B1158" s="2">
        <v>50.3</v>
      </c>
      <c r="C1158" s="2">
        <f t="shared" si="18"/>
        <v>-7.9208334914441098E-3</v>
      </c>
    </row>
    <row r="1159" spans="1:3" x14ac:dyDescent="0.2">
      <c r="A1159" s="3">
        <v>44354</v>
      </c>
      <c r="B1159" s="2">
        <v>50.7</v>
      </c>
      <c r="C1159" s="2">
        <f t="shared" si="18"/>
        <v>7.9208334914440577E-3</v>
      </c>
    </row>
    <row r="1160" spans="1:3" x14ac:dyDescent="0.2">
      <c r="A1160" s="3">
        <v>44351</v>
      </c>
      <c r="B1160" s="2">
        <v>50.3</v>
      </c>
      <c r="C1160" s="2">
        <f t="shared" si="18"/>
        <v>4.9825713444638731E-3</v>
      </c>
    </row>
    <row r="1161" spans="1:3" x14ac:dyDescent="0.2">
      <c r="A1161" s="3">
        <v>44350</v>
      </c>
      <c r="B1161" s="2">
        <v>50.05</v>
      </c>
      <c r="C1161" s="2">
        <f t="shared" si="18"/>
        <v>3.001503003756558E-3</v>
      </c>
    </row>
    <row r="1162" spans="1:3" x14ac:dyDescent="0.2">
      <c r="A1162" s="3">
        <v>44349</v>
      </c>
      <c r="B1162" s="2">
        <v>49.9</v>
      </c>
      <c r="C1162" s="2">
        <f t="shared" si="18"/>
        <v>6.11508123345956E-2</v>
      </c>
    </row>
    <row r="1163" spans="1:3" x14ac:dyDescent="0.2">
      <c r="A1163" s="3">
        <v>44348</v>
      </c>
      <c r="B1163" s="2">
        <v>46.94</v>
      </c>
      <c r="C1163" s="2">
        <f t="shared" si="18"/>
        <v>3.8420538190098458E-3</v>
      </c>
    </row>
    <row r="1164" spans="1:3" x14ac:dyDescent="0.2">
      <c r="A1164" s="3">
        <v>44347</v>
      </c>
      <c r="B1164" s="2">
        <v>46.76</v>
      </c>
      <c r="C1164" s="2">
        <f t="shared" si="18"/>
        <v>1.5517552750185657E-2</v>
      </c>
    </row>
    <row r="1165" spans="1:3" x14ac:dyDescent="0.2">
      <c r="A1165" s="3">
        <v>44344</v>
      </c>
      <c r="B1165" s="2">
        <v>46.04</v>
      </c>
      <c r="C1165" s="2">
        <f t="shared" si="18"/>
        <v>6.9747449270719511E-3</v>
      </c>
    </row>
    <row r="1166" spans="1:3" x14ac:dyDescent="0.2">
      <c r="A1166" s="3">
        <v>44343</v>
      </c>
      <c r="B1166" s="2">
        <v>45.72</v>
      </c>
      <c r="C1166" s="2">
        <f t="shared" si="18"/>
        <v>8.7527357885517471E-4</v>
      </c>
    </row>
    <row r="1167" spans="1:3" x14ac:dyDescent="0.2">
      <c r="A1167" s="3">
        <v>44342</v>
      </c>
      <c r="B1167" s="2">
        <v>45.68</v>
      </c>
      <c r="C1167" s="2">
        <f t="shared" si="18"/>
        <v>-8.7527357885515281E-4</v>
      </c>
    </row>
    <row r="1168" spans="1:3" x14ac:dyDescent="0.2">
      <c r="A1168" s="3">
        <v>44341</v>
      </c>
      <c r="B1168" s="2">
        <v>45.72</v>
      </c>
      <c r="C1168" s="2">
        <f t="shared" si="18"/>
        <v>-1.3114755978107554E-3</v>
      </c>
    </row>
    <row r="1169" spans="1:3" x14ac:dyDescent="0.2">
      <c r="A1169" s="3">
        <v>44340</v>
      </c>
      <c r="B1169" s="2">
        <v>45.78</v>
      </c>
      <c r="C1169" s="2">
        <f t="shared" si="18"/>
        <v>8.7412592978559803E-4</v>
      </c>
    </row>
    <row r="1170" spans="1:3" x14ac:dyDescent="0.2">
      <c r="A1170" s="3">
        <v>44337</v>
      </c>
      <c r="B1170" s="2">
        <v>45.74</v>
      </c>
      <c r="C1170" s="2">
        <f t="shared" si="18"/>
        <v>7.4610835473328165E-3</v>
      </c>
    </row>
    <row r="1171" spans="1:3" x14ac:dyDescent="0.2">
      <c r="A1171" s="3">
        <v>44336</v>
      </c>
      <c r="B1171" s="2">
        <v>45.4</v>
      </c>
      <c r="C1171" s="2">
        <f t="shared" si="18"/>
        <v>1.4197221603577753E-2</v>
      </c>
    </row>
    <row r="1172" spans="1:3" x14ac:dyDescent="0.2">
      <c r="A1172" s="3">
        <v>44335</v>
      </c>
      <c r="B1172" s="2">
        <v>44.76</v>
      </c>
      <c r="C1172" s="2">
        <f t="shared" si="18"/>
        <v>-4.0133833134586763E-3</v>
      </c>
    </row>
    <row r="1173" spans="1:3" x14ac:dyDescent="0.2">
      <c r="A1173" s="3">
        <v>44334</v>
      </c>
      <c r="B1173" s="2">
        <v>44.94</v>
      </c>
      <c r="C1173" s="2">
        <f t="shared" si="18"/>
        <v>-8.8967977398647852E-4</v>
      </c>
    </row>
    <row r="1174" spans="1:3" x14ac:dyDescent="0.2">
      <c r="A1174" s="3">
        <v>44333</v>
      </c>
      <c r="B1174" s="2">
        <v>44.98</v>
      </c>
      <c r="C1174" s="2">
        <f t="shared" si="18"/>
        <v>1.0728757358975017E-2</v>
      </c>
    </row>
    <row r="1175" spans="1:3" x14ac:dyDescent="0.2">
      <c r="A1175" s="3">
        <v>44330</v>
      </c>
      <c r="B1175" s="2">
        <v>44.5</v>
      </c>
      <c r="C1175" s="2">
        <f t="shared" si="18"/>
        <v>3.1966192062492287E-2</v>
      </c>
    </row>
    <row r="1176" spans="1:3" x14ac:dyDescent="0.2">
      <c r="A1176" s="3">
        <v>44329</v>
      </c>
      <c r="B1176" s="2">
        <v>43.1</v>
      </c>
      <c r="C1176" s="2">
        <f t="shared" si="18"/>
        <v>1.3078187337610951E-2</v>
      </c>
    </row>
    <row r="1177" spans="1:3" x14ac:dyDescent="0.2">
      <c r="A1177" s="3">
        <v>44328</v>
      </c>
      <c r="B1177" s="2">
        <v>42.54</v>
      </c>
      <c r="C1177" s="2">
        <f t="shared" si="18"/>
        <v>-8.8931079904066533E-3</v>
      </c>
    </row>
    <row r="1178" spans="1:3" x14ac:dyDescent="0.2">
      <c r="A1178" s="3">
        <v>44327</v>
      </c>
      <c r="B1178" s="2">
        <v>42.92</v>
      </c>
      <c r="C1178" s="2">
        <f t="shared" si="18"/>
        <v>-2.8028483066092645E-2</v>
      </c>
    </row>
    <row r="1179" spans="1:3" x14ac:dyDescent="0.2">
      <c r="A1179" s="3">
        <v>44326</v>
      </c>
      <c r="B1179" s="2">
        <v>44.14</v>
      </c>
      <c r="C1179" s="2">
        <f t="shared" si="18"/>
        <v>-3.1667070118458233E-3</v>
      </c>
    </row>
    <row r="1180" spans="1:3" x14ac:dyDescent="0.2">
      <c r="A1180" s="3">
        <v>44323</v>
      </c>
      <c r="B1180" s="2">
        <v>44.28</v>
      </c>
      <c r="C1180" s="2">
        <f t="shared" si="18"/>
        <v>1.9152432214756137E-2</v>
      </c>
    </row>
    <row r="1181" spans="1:3" x14ac:dyDescent="0.2">
      <c r="A1181" s="3">
        <v>44322</v>
      </c>
      <c r="B1181" s="2">
        <v>43.44</v>
      </c>
      <c r="C1181" s="2">
        <f t="shared" si="18"/>
        <v>-2.0957486856486341E-2</v>
      </c>
    </row>
    <row r="1182" spans="1:3" x14ac:dyDescent="0.2">
      <c r="A1182" s="3">
        <v>44321</v>
      </c>
      <c r="B1182" s="2">
        <v>44.36</v>
      </c>
      <c r="C1182" s="2">
        <f t="shared" si="18"/>
        <v>1.3618004368440496E-2</v>
      </c>
    </row>
    <row r="1183" spans="1:3" x14ac:dyDescent="0.2">
      <c r="A1183" s="3">
        <v>44320</v>
      </c>
      <c r="B1183" s="2">
        <v>43.76</v>
      </c>
      <c r="C1183" s="2">
        <f t="shared" si="18"/>
        <v>-1.6769031058468862E-2</v>
      </c>
    </row>
    <row r="1184" spans="1:3" x14ac:dyDescent="0.2">
      <c r="A1184" s="3">
        <v>44319</v>
      </c>
      <c r="B1184" s="2">
        <v>44.5</v>
      </c>
      <c r="C1184" s="2">
        <f t="shared" si="18"/>
        <v>4.5045121211047291E-3</v>
      </c>
    </row>
    <row r="1185" spans="1:3" x14ac:dyDescent="0.2">
      <c r="A1185" s="3">
        <v>44316</v>
      </c>
      <c r="B1185" s="2">
        <v>44.3</v>
      </c>
      <c r="C1185" s="2">
        <f t="shared" si="18"/>
        <v>-4.5136538793853293E-4</v>
      </c>
    </row>
    <row r="1186" spans="1:3" x14ac:dyDescent="0.2">
      <c r="A1186" s="3">
        <v>44315</v>
      </c>
      <c r="B1186" s="2">
        <v>44.32</v>
      </c>
      <c r="C1186" s="2">
        <f t="shared" si="18"/>
        <v>-1.4337163146407331E-2</v>
      </c>
    </row>
    <row r="1187" spans="1:3" x14ac:dyDescent="0.2">
      <c r="A1187" s="3">
        <v>44314</v>
      </c>
      <c r="B1187" s="2">
        <v>44.96</v>
      </c>
      <c r="C1187" s="2">
        <f t="shared" si="18"/>
        <v>-7.0922283094919103E-3</v>
      </c>
    </row>
    <row r="1188" spans="1:3" x14ac:dyDescent="0.2">
      <c r="A1188" s="3">
        <v>44313</v>
      </c>
      <c r="B1188" s="2">
        <v>45.28</v>
      </c>
      <c r="C1188" s="2">
        <f t="shared" si="18"/>
        <v>4.4179368953616531E-4</v>
      </c>
    </row>
    <row r="1189" spans="1:3" x14ac:dyDescent="0.2">
      <c r="A1189" s="3">
        <v>44312</v>
      </c>
      <c r="B1189" s="2">
        <v>45.26</v>
      </c>
      <c r="C1189" s="2">
        <f t="shared" si="18"/>
        <v>1.1555684143407755E-2</v>
      </c>
    </row>
    <row r="1190" spans="1:3" x14ac:dyDescent="0.2">
      <c r="A1190" s="3">
        <v>44309</v>
      </c>
      <c r="B1190" s="2">
        <v>44.74</v>
      </c>
      <c r="C1190" s="2">
        <f t="shared" si="18"/>
        <v>1.7897096499719309E-3</v>
      </c>
    </row>
    <row r="1191" spans="1:3" x14ac:dyDescent="0.2">
      <c r="A1191" s="3">
        <v>44308</v>
      </c>
      <c r="B1191" s="2">
        <v>44.66</v>
      </c>
      <c r="C1191" s="2">
        <f t="shared" si="18"/>
        <v>1.5343261285396738E-2</v>
      </c>
    </row>
    <row r="1192" spans="1:3" x14ac:dyDescent="0.2">
      <c r="A1192" s="3">
        <v>44307</v>
      </c>
      <c r="B1192" s="2">
        <v>43.98</v>
      </c>
      <c r="C1192" s="2">
        <f t="shared" si="18"/>
        <v>-9.053932377832823E-3</v>
      </c>
    </row>
    <row r="1193" spans="1:3" x14ac:dyDescent="0.2">
      <c r="A1193" s="3">
        <v>44306</v>
      </c>
      <c r="B1193" s="2">
        <v>44.38</v>
      </c>
      <c r="C1193" s="2">
        <f t="shared" si="18"/>
        <v>-1.3429029026721688E-2</v>
      </c>
    </row>
    <row r="1194" spans="1:3" x14ac:dyDescent="0.2">
      <c r="A1194" s="3">
        <v>44305</v>
      </c>
      <c r="B1194" s="2">
        <v>44.98</v>
      </c>
      <c r="C1194" s="2">
        <f t="shared" si="18"/>
        <v>1.2077981759740409E-2</v>
      </c>
    </row>
    <row r="1195" spans="1:3" x14ac:dyDescent="0.2">
      <c r="A1195" s="3">
        <v>44302</v>
      </c>
      <c r="B1195" s="2">
        <v>44.44</v>
      </c>
      <c r="C1195" s="2">
        <f t="shared" si="18"/>
        <v>1.3137221781687069E-2</v>
      </c>
    </row>
    <row r="1196" spans="1:3" x14ac:dyDescent="0.2">
      <c r="A1196" s="3">
        <v>44301</v>
      </c>
      <c r="B1196" s="2">
        <v>43.86</v>
      </c>
      <c r="C1196" s="2">
        <f t="shared" si="18"/>
        <v>6.863444924982429E-3</v>
      </c>
    </row>
    <row r="1197" spans="1:3" x14ac:dyDescent="0.2">
      <c r="A1197" s="3">
        <v>44300</v>
      </c>
      <c r="B1197" s="2">
        <v>43.56</v>
      </c>
      <c r="C1197" s="2">
        <f t="shared" si="18"/>
        <v>-1.0050335853501338E-2</v>
      </c>
    </row>
    <row r="1198" spans="1:3" x14ac:dyDescent="0.2">
      <c r="A1198" s="3">
        <v>44299</v>
      </c>
      <c r="B1198" s="2">
        <v>44</v>
      </c>
      <c r="C1198" s="2">
        <f t="shared" si="18"/>
        <v>2.7651531330510164E-2</v>
      </c>
    </row>
    <row r="1199" spans="1:3" x14ac:dyDescent="0.2">
      <c r="A1199" s="3">
        <v>44298</v>
      </c>
      <c r="B1199" s="2">
        <v>42.8</v>
      </c>
      <c r="C1199" s="2">
        <f t="shared" si="18"/>
        <v>-8.839322498910257E-3</v>
      </c>
    </row>
    <row r="1200" spans="1:3" x14ac:dyDescent="0.2">
      <c r="A1200" s="3">
        <v>44295</v>
      </c>
      <c r="B1200" s="2">
        <v>43.18</v>
      </c>
      <c r="C1200" s="2">
        <f t="shared" si="18"/>
        <v>4.6328469672735599E-4</v>
      </c>
    </row>
    <row r="1201" spans="1:3" x14ac:dyDescent="0.2">
      <c r="A1201" s="3">
        <v>44294</v>
      </c>
      <c r="B1201" s="2">
        <v>43.16</v>
      </c>
      <c r="C1201" s="2">
        <f t="shared" si="18"/>
        <v>-6.9268344383497573E-3</v>
      </c>
    </row>
    <row r="1202" spans="1:3" x14ac:dyDescent="0.2">
      <c r="A1202" s="3">
        <v>44293</v>
      </c>
      <c r="B1202" s="2">
        <v>43.46</v>
      </c>
      <c r="C1202" s="2">
        <f t="shared" si="18"/>
        <v>2.303617696892751E-3</v>
      </c>
    </row>
    <row r="1203" spans="1:3" x14ac:dyDescent="0.2">
      <c r="A1203" s="3">
        <v>44292</v>
      </c>
      <c r="B1203" s="2">
        <v>43.36</v>
      </c>
      <c r="C1203" s="2">
        <f t="shared" si="18"/>
        <v>-3.2235809632476754E-3</v>
      </c>
    </row>
    <row r="1204" spans="1:3" x14ac:dyDescent="0.2">
      <c r="A1204" s="3">
        <v>44287</v>
      </c>
      <c r="B1204" s="2">
        <v>43.5</v>
      </c>
      <c r="C1204" s="2">
        <f t="shared" si="18"/>
        <v>1.2026046880273982E-2</v>
      </c>
    </row>
    <row r="1205" spans="1:3" x14ac:dyDescent="0.2">
      <c r="A1205" s="3">
        <v>44286</v>
      </c>
      <c r="B1205" s="2">
        <v>42.98</v>
      </c>
      <c r="C1205" s="2">
        <f t="shared" si="18"/>
        <v>6.5359709797854493E-3</v>
      </c>
    </row>
    <row r="1206" spans="1:3" x14ac:dyDescent="0.2">
      <c r="A1206" s="3">
        <v>44285</v>
      </c>
      <c r="B1206" s="2">
        <v>42.7</v>
      </c>
      <c r="C1206" s="2">
        <f t="shared" si="18"/>
        <v>1.2252745183950347E-2</v>
      </c>
    </row>
    <row r="1207" spans="1:3" x14ac:dyDescent="0.2">
      <c r="A1207" s="3">
        <v>44284</v>
      </c>
      <c r="B1207" s="2">
        <v>42.18</v>
      </c>
      <c r="C1207" s="2">
        <f t="shared" si="18"/>
        <v>0</v>
      </c>
    </row>
    <row r="1208" spans="1:3" x14ac:dyDescent="0.2">
      <c r="A1208" s="3">
        <v>44280</v>
      </c>
      <c r="B1208" s="2">
        <v>42.18</v>
      </c>
      <c r="C1208" s="2">
        <f t="shared" si="18"/>
        <v>-8.0283784231187181E-3</v>
      </c>
    </row>
    <row r="1209" spans="1:3" x14ac:dyDescent="0.2">
      <c r="A1209" s="3">
        <v>44279</v>
      </c>
      <c r="B1209" s="2">
        <v>42.52</v>
      </c>
      <c r="C1209" s="2">
        <f t="shared" si="18"/>
        <v>1.0877383199193564E-2</v>
      </c>
    </row>
    <row r="1210" spans="1:3" x14ac:dyDescent="0.2">
      <c r="A1210" s="3">
        <v>44278</v>
      </c>
      <c r="B1210" s="2">
        <v>42.06</v>
      </c>
      <c r="C1210" s="2">
        <f t="shared" si="18"/>
        <v>-2.0706622176081119E-2</v>
      </c>
    </row>
    <row r="1211" spans="1:3" x14ac:dyDescent="0.2">
      <c r="A1211" s="3">
        <v>44277</v>
      </c>
      <c r="B1211" s="2">
        <v>42.94</v>
      </c>
      <c r="C1211" s="2">
        <f t="shared" si="18"/>
        <v>2.3315468710867213E-3</v>
      </c>
    </row>
    <row r="1212" spans="1:3" x14ac:dyDescent="0.2">
      <c r="A1212" s="3">
        <v>44274</v>
      </c>
      <c r="B1212" s="2">
        <v>42.84</v>
      </c>
      <c r="C1212" s="2">
        <f t="shared" si="18"/>
        <v>-2.6262739547066909E-2</v>
      </c>
    </row>
    <row r="1213" spans="1:3" x14ac:dyDescent="0.2">
      <c r="A1213" s="3">
        <v>44273</v>
      </c>
      <c r="B1213" s="2">
        <v>43.98</v>
      </c>
      <c r="C1213" s="2">
        <f t="shared" si="18"/>
        <v>1.2814820676469323E-2</v>
      </c>
    </row>
    <row r="1214" spans="1:3" x14ac:dyDescent="0.2">
      <c r="A1214" s="3">
        <v>44272</v>
      </c>
      <c r="B1214" s="2">
        <v>43.42</v>
      </c>
      <c r="C1214" s="2">
        <f t="shared" si="18"/>
        <v>-4.6051117553412926E-4</v>
      </c>
    </row>
    <row r="1215" spans="1:3" x14ac:dyDescent="0.2">
      <c r="A1215" s="3">
        <v>44270</v>
      </c>
      <c r="B1215" s="2">
        <v>43.44</v>
      </c>
      <c r="C1215" s="2">
        <f t="shared" si="18"/>
        <v>-7.3394824880457996E-3</v>
      </c>
    </row>
    <row r="1216" spans="1:3" x14ac:dyDescent="0.2">
      <c r="A1216" s="3">
        <v>44267</v>
      </c>
      <c r="B1216" s="2">
        <v>43.76</v>
      </c>
      <c r="C1216" s="2">
        <f t="shared" si="18"/>
        <v>-1.5419806657703452E-2</v>
      </c>
    </row>
    <row r="1217" spans="1:3" x14ac:dyDescent="0.2">
      <c r="A1217" s="3">
        <v>44266</v>
      </c>
      <c r="B1217" s="2">
        <v>44.44</v>
      </c>
      <c r="C1217" s="2">
        <f t="shared" si="18"/>
        <v>2.1838902518420668E-2</v>
      </c>
    </row>
    <row r="1218" spans="1:3" x14ac:dyDescent="0.2">
      <c r="A1218" s="3">
        <v>44265</v>
      </c>
      <c r="B1218" s="2">
        <v>43.48</v>
      </c>
      <c r="C1218" s="2">
        <f t="shared" si="18"/>
        <v>3.4155366836154111E-2</v>
      </c>
    </row>
    <row r="1219" spans="1:3" x14ac:dyDescent="0.2">
      <c r="A1219" s="3">
        <v>44264</v>
      </c>
      <c r="B1219" s="2">
        <v>42.02</v>
      </c>
      <c r="C1219" s="2">
        <f t="shared" ref="C1219:C1282" si="19">+LN(B1219/B1220)</f>
        <v>2.6526754333428604E-2</v>
      </c>
    </row>
    <row r="1220" spans="1:3" x14ac:dyDescent="0.2">
      <c r="A1220" s="3">
        <v>44263</v>
      </c>
      <c r="B1220" s="2">
        <v>40.92</v>
      </c>
      <c r="C1220" s="2">
        <f t="shared" si="19"/>
        <v>3.5318269176349691E-2</v>
      </c>
    </row>
    <row r="1221" spans="1:3" x14ac:dyDescent="0.2">
      <c r="A1221" s="3">
        <v>44259</v>
      </c>
      <c r="B1221" s="2">
        <v>39.5</v>
      </c>
      <c r="C1221" s="2">
        <f t="shared" si="19"/>
        <v>8.1342593906816047E-3</v>
      </c>
    </row>
    <row r="1222" spans="1:3" x14ac:dyDescent="0.2">
      <c r="A1222" s="3">
        <v>44258</v>
      </c>
      <c r="B1222" s="2">
        <v>39.18</v>
      </c>
      <c r="C1222" s="2">
        <f t="shared" si="19"/>
        <v>5.1059485408513287E-4</v>
      </c>
    </row>
    <row r="1223" spans="1:3" x14ac:dyDescent="0.2">
      <c r="A1223" s="3">
        <v>44257</v>
      </c>
      <c r="B1223" s="2">
        <v>39.159999999999997</v>
      </c>
      <c r="C1223" s="2">
        <f t="shared" si="19"/>
        <v>1.1816217626573342E-2</v>
      </c>
    </row>
    <row r="1224" spans="1:3" x14ac:dyDescent="0.2">
      <c r="A1224" s="3">
        <v>44256</v>
      </c>
      <c r="B1224" s="2">
        <v>38.700000000000003</v>
      </c>
      <c r="C1224" s="2">
        <f t="shared" si="19"/>
        <v>1.720136235854668E-2</v>
      </c>
    </row>
    <row r="1225" spans="1:3" x14ac:dyDescent="0.2">
      <c r="A1225" s="3">
        <v>44253</v>
      </c>
      <c r="B1225" s="2">
        <v>38.04</v>
      </c>
      <c r="C1225" s="2">
        <f t="shared" si="19"/>
        <v>-1.6684432907904043E-2</v>
      </c>
    </row>
    <row r="1226" spans="1:3" x14ac:dyDescent="0.2">
      <c r="A1226" s="3">
        <v>44251</v>
      </c>
      <c r="B1226" s="2">
        <v>38.68</v>
      </c>
      <c r="C1226" s="2">
        <f t="shared" si="19"/>
        <v>3.1072008427487003E-3</v>
      </c>
    </row>
    <row r="1227" spans="1:3" x14ac:dyDescent="0.2">
      <c r="A1227" s="3">
        <v>44250</v>
      </c>
      <c r="B1227" s="2">
        <v>38.56</v>
      </c>
      <c r="C1227" s="2">
        <f t="shared" si="19"/>
        <v>-2.2565059992089676E-2</v>
      </c>
    </row>
    <row r="1228" spans="1:3" x14ac:dyDescent="0.2">
      <c r="A1228" s="3">
        <v>44249</v>
      </c>
      <c r="B1228" s="2">
        <v>39.44</v>
      </c>
      <c r="C1228" s="2">
        <f t="shared" si="19"/>
        <v>-1.3598799337819266E-2</v>
      </c>
    </row>
    <row r="1229" spans="1:3" x14ac:dyDescent="0.2">
      <c r="A1229" s="3">
        <v>44246</v>
      </c>
      <c r="B1229" s="2">
        <v>39.979999999999997</v>
      </c>
      <c r="C1229" s="2">
        <f t="shared" si="19"/>
        <v>1.9702582275836895E-2</v>
      </c>
    </row>
    <row r="1230" spans="1:3" x14ac:dyDescent="0.2">
      <c r="A1230" s="3">
        <v>44245</v>
      </c>
      <c r="B1230" s="2">
        <v>39.200000000000003</v>
      </c>
      <c r="C1230" s="2">
        <f t="shared" si="19"/>
        <v>-2.5190248828558519E-2</v>
      </c>
    </row>
    <row r="1231" spans="1:3" x14ac:dyDescent="0.2">
      <c r="A1231" s="3">
        <v>44244</v>
      </c>
      <c r="B1231" s="2">
        <v>40.200000000000003</v>
      </c>
      <c r="C1231" s="2">
        <f t="shared" si="19"/>
        <v>-1.8240584608167951E-2</v>
      </c>
    </row>
    <row r="1232" spans="1:3" x14ac:dyDescent="0.2">
      <c r="A1232" s="3">
        <v>44243</v>
      </c>
      <c r="B1232" s="2">
        <v>40.94</v>
      </c>
      <c r="C1232" s="2">
        <f t="shared" si="19"/>
        <v>-2.9268313576441296E-3</v>
      </c>
    </row>
    <row r="1233" spans="1:3" x14ac:dyDescent="0.2">
      <c r="A1233" s="3">
        <v>44242</v>
      </c>
      <c r="B1233" s="2">
        <v>41.06</v>
      </c>
      <c r="C1233" s="2">
        <f t="shared" si="19"/>
        <v>3.4154705073617775E-3</v>
      </c>
    </row>
    <row r="1234" spans="1:3" x14ac:dyDescent="0.2">
      <c r="A1234" s="3">
        <v>44239</v>
      </c>
      <c r="B1234" s="2">
        <v>40.92</v>
      </c>
      <c r="C1234" s="2">
        <f t="shared" si="19"/>
        <v>-1.4652017273278806E-3</v>
      </c>
    </row>
    <row r="1235" spans="1:3" x14ac:dyDescent="0.2">
      <c r="A1235" s="3">
        <v>44238</v>
      </c>
      <c r="B1235" s="2">
        <v>40.98</v>
      </c>
      <c r="C1235" s="2">
        <f t="shared" si="19"/>
        <v>2.4204688696817359E-2</v>
      </c>
    </row>
    <row r="1236" spans="1:3" x14ac:dyDescent="0.2">
      <c r="A1236" s="3">
        <v>44237</v>
      </c>
      <c r="B1236" s="2">
        <v>40</v>
      </c>
      <c r="C1236" s="2">
        <f t="shared" si="19"/>
        <v>-1.3902905168991493E-2</v>
      </c>
    </row>
    <row r="1237" spans="1:3" x14ac:dyDescent="0.2">
      <c r="A1237" s="3">
        <v>44236</v>
      </c>
      <c r="B1237" s="2">
        <v>40.56</v>
      </c>
      <c r="C1237" s="2">
        <f t="shared" si="19"/>
        <v>-2.9542118974314087E-3</v>
      </c>
    </row>
    <row r="1238" spans="1:3" x14ac:dyDescent="0.2">
      <c r="A1238" s="3">
        <v>44235</v>
      </c>
      <c r="B1238" s="2">
        <v>40.68</v>
      </c>
      <c r="C1238" s="2">
        <f t="shared" si="19"/>
        <v>2.7918064425847697E-2</v>
      </c>
    </row>
    <row r="1239" spans="1:3" x14ac:dyDescent="0.2">
      <c r="A1239" s="3">
        <v>44232</v>
      </c>
      <c r="B1239" s="2">
        <v>39.56</v>
      </c>
      <c r="C1239" s="2">
        <f t="shared" si="19"/>
        <v>2.6640919824586488E-2</v>
      </c>
    </row>
    <row r="1240" spans="1:3" x14ac:dyDescent="0.2">
      <c r="A1240" s="3">
        <v>44231</v>
      </c>
      <c r="B1240" s="2">
        <v>38.520000000000003</v>
      </c>
      <c r="C1240" s="2">
        <f t="shared" si="19"/>
        <v>-9.8166636944756521E-3</v>
      </c>
    </row>
    <row r="1241" spans="1:3" x14ac:dyDescent="0.2">
      <c r="A1241" s="3">
        <v>44230</v>
      </c>
      <c r="B1241" s="2">
        <v>38.9</v>
      </c>
      <c r="C1241" s="2">
        <f t="shared" si="19"/>
        <v>1.6589286612293863E-2</v>
      </c>
    </row>
    <row r="1242" spans="1:3" x14ac:dyDescent="0.2">
      <c r="A1242" s="3">
        <v>44229</v>
      </c>
      <c r="B1242" s="2">
        <v>38.26</v>
      </c>
      <c r="C1242" s="2">
        <f t="shared" si="19"/>
        <v>4.7157540889422355E-3</v>
      </c>
    </row>
    <row r="1243" spans="1:3" x14ac:dyDescent="0.2">
      <c r="A1243" s="3">
        <v>44228</v>
      </c>
      <c r="B1243" s="2">
        <v>38.08</v>
      </c>
      <c r="C1243" s="2">
        <f t="shared" si="19"/>
        <v>2.7690800145185983E-2</v>
      </c>
    </row>
    <row r="1244" spans="1:3" x14ac:dyDescent="0.2">
      <c r="A1244" s="3">
        <v>44225</v>
      </c>
      <c r="B1244" s="2">
        <v>37.04</v>
      </c>
      <c r="C1244" s="2">
        <f t="shared" si="19"/>
        <v>-3.2406554234128165E-2</v>
      </c>
    </row>
    <row r="1245" spans="1:3" x14ac:dyDescent="0.2">
      <c r="A1245" s="3">
        <v>44224</v>
      </c>
      <c r="B1245" s="2">
        <v>38.26</v>
      </c>
      <c r="C1245" s="2">
        <f t="shared" si="19"/>
        <v>2.5947974194716384E-2</v>
      </c>
    </row>
    <row r="1246" spans="1:3" x14ac:dyDescent="0.2">
      <c r="A1246" s="3">
        <v>44223</v>
      </c>
      <c r="B1246" s="2">
        <v>37.28</v>
      </c>
      <c r="C1246" s="2">
        <f t="shared" si="19"/>
        <v>-6.4907283608435701E-2</v>
      </c>
    </row>
    <row r="1247" spans="1:3" x14ac:dyDescent="0.2">
      <c r="A1247" s="3">
        <v>44222</v>
      </c>
      <c r="B1247" s="2">
        <v>39.78</v>
      </c>
      <c r="C1247" s="2">
        <f t="shared" si="19"/>
        <v>1.8777511880934555E-2</v>
      </c>
    </row>
    <row r="1248" spans="1:3" x14ac:dyDescent="0.2">
      <c r="A1248" s="3">
        <v>44221</v>
      </c>
      <c r="B1248" s="2">
        <v>39.04</v>
      </c>
      <c r="C1248" s="2">
        <f t="shared" si="19"/>
        <v>-2.1288183548745957E-2</v>
      </c>
    </row>
    <row r="1249" spans="1:3" x14ac:dyDescent="0.2">
      <c r="A1249" s="3">
        <v>44218</v>
      </c>
      <c r="B1249" s="2">
        <v>39.880000000000003</v>
      </c>
      <c r="C1249" s="2">
        <f t="shared" si="19"/>
        <v>-9.9801227567239675E-3</v>
      </c>
    </row>
    <row r="1250" spans="1:3" x14ac:dyDescent="0.2">
      <c r="A1250" s="3">
        <v>44217</v>
      </c>
      <c r="B1250" s="2">
        <v>40.28</v>
      </c>
      <c r="C1250" s="2">
        <f t="shared" si="19"/>
        <v>-1.4884646757042583E-3</v>
      </c>
    </row>
    <row r="1251" spans="1:3" x14ac:dyDescent="0.2">
      <c r="A1251" s="3">
        <v>44216</v>
      </c>
      <c r="B1251" s="2">
        <v>40.340000000000003</v>
      </c>
      <c r="C1251" s="2">
        <f t="shared" si="19"/>
        <v>-1.486252441038562E-3</v>
      </c>
    </row>
    <row r="1252" spans="1:3" x14ac:dyDescent="0.2">
      <c r="A1252" s="3">
        <v>44215</v>
      </c>
      <c r="B1252" s="2">
        <v>40.4</v>
      </c>
      <c r="C1252" s="2">
        <f t="shared" si="19"/>
        <v>-1.5717415895409707E-2</v>
      </c>
    </row>
    <row r="1253" spans="1:3" x14ac:dyDescent="0.2">
      <c r="A1253" s="3">
        <v>44214</v>
      </c>
      <c r="B1253" s="2">
        <v>41.04</v>
      </c>
      <c r="C1253" s="2">
        <f t="shared" si="19"/>
        <v>1.8195731909876903E-2</v>
      </c>
    </row>
    <row r="1254" spans="1:3" x14ac:dyDescent="0.2">
      <c r="A1254" s="3">
        <v>44211</v>
      </c>
      <c r="B1254" s="2">
        <v>40.299999999999997</v>
      </c>
      <c r="C1254" s="2">
        <f t="shared" si="19"/>
        <v>-1.7220597751670522E-2</v>
      </c>
    </row>
    <row r="1255" spans="1:3" x14ac:dyDescent="0.2">
      <c r="A1255" s="3">
        <v>44210</v>
      </c>
      <c r="B1255" s="2">
        <v>41</v>
      </c>
      <c r="C1255" s="2">
        <f t="shared" si="19"/>
        <v>5.3803015579986435E-3</v>
      </c>
    </row>
    <row r="1256" spans="1:3" x14ac:dyDescent="0.2">
      <c r="A1256" s="3">
        <v>44209</v>
      </c>
      <c r="B1256" s="2">
        <v>40.78</v>
      </c>
      <c r="C1256" s="2">
        <f t="shared" si="19"/>
        <v>1.1840296193672018E-2</v>
      </c>
    </row>
    <row r="1257" spans="1:3" x14ac:dyDescent="0.2">
      <c r="A1257" s="3">
        <v>44208</v>
      </c>
      <c r="B1257" s="2">
        <v>40.299999999999997</v>
      </c>
      <c r="C1257" s="2">
        <f t="shared" si="19"/>
        <v>-3.4679251996333586E-3</v>
      </c>
    </row>
    <row r="1258" spans="1:3" x14ac:dyDescent="0.2">
      <c r="A1258" s="3">
        <v>44207</v>
      </c>
      <c r="B1258" s="2">
        <v>40.44</v>
      </c>
      <c r="C1258" s="2">
        <f t="shared" si="19"/>
        <v>8.4430598397471478E-3</v>
      </c>
    </row>
    <row r="1259" spans="1:3" x14ac:dyDescent="0.2">
      <c r="A1259" s="3">
        <v>44204</v>
      </c>
      <c r="B1259" s="2">
        <v>40.1</v>
      </c>
      <c r="C1259" s="2">
        <f t="shared" si="19"/>
        <v>-4.2954382705330078E-2</v>
      </c>
    </row>
    <row r="1260" spans="1:3" x14ac:dyDescent="0.2">
      <c r="A1260" s="3">
        <v>44203</v>
      </c>
      <c r="B1260" s="2">
        <v>41.86</v>
      </c>
      <c r="C1260" s="2">
        <f t="shared" si="19"/>
        <v>8.1554781602203828E-3</v>
      </c>
    </row>
    <row r="1261" spans="1:3" x14ac:dyDescent="0.2">
      <c r="A1261" s="3">
        <v>44202</v>
      </c>
      <c r="B1261" s="2">
        <v>41.52</v>
      </c>
      <c r="C1261" s="2">
        <f t="shared" si="19"/>
        <v>2.3392879574705594E-2</v>
      </c>
    </row>
    <row r="1262" spans="1:3" x14ac:dyDescent="0.2">
      <c r="A1262" s="3">
        <v>44201</v>
      </c>
      <c r="B1262" s="2">
        <v>40.56</v>
      </c>
      <c r="C1262" s="2">
        <f t="shared" si="19"/>
        <v>5.4388267568620044E-3</v>
      </c>
    </row>
    <row r="1263" spans="1:3" x14ac:dyDescent="0.2">
      <c r="A1263" s="3">
        <v>44195</v>
      </c>
      <c r="B1263" s="2">
        <v>40.340000000000003</v>
      </c>
      <c r="C1263" s="2">
        <f t="shared" si="19"/>
        <v>7.4645780790460114E-3</v>
      </c>
    </row>
    <row r="1264" spans="1:3" x14ac:dyDescent="0.2">
      <c r="A1264" s="3">
        <v>44194</v>
      </c>
      <c r="B1264" s="2">
        <v>40.04</v>
      </c>
      <c r="C1264" s="2">
        <f t="shared" si="19"/>
        <v>5.007521730622193E-3</v>
      </c>
    </row>
    <row r="1265" spans="1:3" x14ac:dyDescent="0.2">
      <c r="A1265" s="3">
        <v>44193</v>
      </c>
      <c r="B1265" s="2">
        <v>39.840000000000003</v>
      </c>
      <c r="C1265" s="2">
        <f t="shared" si="19"/>
        <v>8.5707608093214781E-3</v>
      </c>
    </row>
    <row r="1266" spans="1:3" x14ac:dyDescent="0.2">
      <c r="A1266" s="3">
        <v>44188</v>
      </c>
      <c r="B1266" s="2">
        <v>39.5</v>
      </c>
      <c r="C1266" s="2">
        <f t="shared" si="19"/>
        <v>2.5348556031881157E-3</v>
      </c>
    </row>
    <row r="1267" spans="1:3" x14ac:dyDescent="0.2">
      <c r="A1267" s="3">
        <v>44187</v>
      </c>
      <c r="B1267" s="2">
        <v>39.4</v>
      </c>
      <c r="C1267" s="2">
        <f t="shared" si="19"/>
        <v>1.6377029281322765E-2</v>
      </c>
    </row>
    <row r="1268" spans="1:3" x14ac:dyDescent="0.2">
      <c r="A1268" s="3">
        <v>44186</v>
      </c>
      <c r="B1268" s="2">
        <v>38.76</v>
      </c>
      <c r="C1268" s="2">
        <f t="shared" si="19"/>
        <v>-5.6599070568492636E-3</v>
      </c>
    </row>
    <row r="1269" spans="1:3" x14ac:dyDescent="0.2">
      <c r="A1269" s="3">
        <v>44182</v>
      </c>
      <c r="B1269" s="2">
        <v>38.979999999999997</v>
      </c>
      <c r="C1269" s="2">
        <f t="shared" si="19"/>
        <v>-2.5621330951673014E-3</v>
      </c>
    </row>
    <row r="1270" spans="1:3" x14ac:dyDescent="0.2">
      <c r="A1270" s="3">
        <v>44181</v>
      </c>
      <c r="B1270" s="2">
        <v>39.08</v>
      </c>
      <c r="C1270" s="2">
        <f t="shared" si="19"/>
        <v>2.2775311562052453E-2</v>
      </c>
    </row>
    <row r="1271" spans="1:3" x14ac:dyDescent="0.2">
      <c r="A1271" s="3">
        <v>44180</v>
      </c>
      <c r="B1271" s="2">
        <v>38.200000000000003</v>
      </c>
      <c r="C1271" s="2">
        <f t="shared" si="19"/>
        <v>5.2369731492798771E-4</v>
      </c>
    </row>
    <row r="1272" spans="1:3" x14ac:dyDescent="0.2">
      <c r="A1272" s="3">
        <v>44179</v>
      </c>
      <c r="B1272" s="2">
        <v>38.18</v>
      </c>
      <c r="C1272" s="2">
        <f t="shared" si="19"/>
        <v>2.0641113877115431E-2</v>
      </c>
    </row>
    <row r="1273" spans="1:3" x14ac:dyDescent="0.2">
      <c r="A1273" s="3">
        <v>44176</v>
      </c>
      <c r="B1273" s="2">
        <v>37.4</v>
      </c>
      <c r="C1273" s="2">
        <f t="shared" si="19"/>
        <v>-5.346164254574462E-4</v>
      </c>
    </row>
    <row r="1274" spans="1:3" x14ac:dyDescent="0.2">
      <c r="A1274" s="3">
        <v>44175</v>
      </c>
      <c r="B1274" s="2">
        <v>37.42</v>
      </c>
      <c r="C1274" s="2">
        <f t="shared" si="19"/>
        <v>-1.6432916831245897E-2</v>
      </c>
    </row>
    <row r="1275" spans="1:3" x14ac:dyDescent="0.2">
      <c r="A1275" s="3">
        <v>44174</v>
      </c>
      <c r="B1275" s="2">
        <v>38.04</v>
      </c>
      <c r="C1275" s="2">
        <f t="shared" si="19"/>
        <v>-1.0509722459750043E-3</v>
      </c>
    </row>
    <row r="1276" spans="1:3" x14ac:dyDescent="0.2">
      <c r="A1276" s="3">
        <v>44172</v>
      </c>
      <c r="B1276" s="2">
        <v>38.08</v>
      </c>
      <c r="C1276" s="2">
        <f t="shared" si="19"/>
        <v>8.4388686458646035E-3</v>
      </c>
    </row>
    <row r="1277" spans="1:3" x14ac:dyDescent="0.2">
      <c r="A1277" s="3">
        <v>44169</v>
      </c>
      <c r="B1277" s="2">
        <v>37.76</v>
      </c>
      <c r="C1277" s="2">
        <f t="shared" si="19"/>
        <v>1.9251931499321306E-2</v>
      </c>
    </row>
    <row r="1278" spans="1:3" x14ac:dyDescent="0.2">
      <c r="A1278" s="3">
        <v>44168</v>
      </c>
      <c r="B1278" s="2">
        <v>37.04</v>
      </c>
      <c r="C1278" s="2">
        <f t="shared" si="19"/>
        <v>1.0804971337541789E-3</v>
      </c>
    </row>
    <row r="1279" spans="1:3" x14ac:dyDescent="0.2">
      <c r="A1279" s="3">
        <v>44167</v>
      </c>
      <c r="B1279" s="2">
        <v>37</v>
      </c>
      <c r="C1279" s="2">
        <f t="shared" si="19"/>
        <v>1.0816658707409699E-3</v>
      </c>
    </row>
    <row r="1280" spans="1:3" x14ac:dyDescent="0.2">
      <c r="A1280" s="3">
        <v>44166</v>
      </c>
      <c r="B1280" s="2">
        <v>36.96</v>
      </c>
      <c r="C1280" s="2">
        <f t="shared" si="19"/>
        <v>1.581707368350721E-2</v>
      </c>
    </row>
    <row r="1281" spans="1:3" x14ac:dyDescent="0.2">
      <c r="A1281" s="3">
        <v>44165</v>
      </c>
      <c r="B1281" s="2">
        <v>36.380000000000003</v>
      </c>
      <c r="C1281" s="2">
        <f t="shared" si="19"/>
        <v>-5.4824698727432737E-3</v>
      </c>
    </row>
    <row r="1282" spans="1:3" x14ac:dyDescent="0.2">
      <c r="A1282" s="3">
        <v>44162</v>
      </c>
      <c r="B1282" s="2">
        <v>36.58</v>
      </c>
      <c r="C1282" s="2">
        <f t="shared" si="19"/>
        <v>1.2654914413934959E-2</v>
      </c>
    </row>
    <row r="1283" spans="1:3" x14ac:dyDescent="0.2">
      <c r="A1283" s="3">
        <v>44161</v>
      </c>
      <c r="B1283" s="2">
        <v>36.119999999999997</v>
      </c>
      <c r="C1283" s="2">
        <f t="shared" ref="C1283:C1346" si="20">+LN(B1283/B1284)</f>
        <v>-4.9710127220203857E-3</v>
      </c>
    </row>
    <row r="1284" spans="1:3" x14ac:dyDescent="0.2">
      <c r="A1284" s="3">
        <v>44160</v>
      </c>
      <c r="B1284" s="2">
        <v>36.299999999999997</v>
      </c>
      <c r="C1284" s="2">
        <f t="shared" si="20"/>
        <v>2.7586224390796607E-3</v>
      </c>
    </row>
    <row r="1285" spans="1:3" x14ac:dyDescent="0.2">
      <c r="A1285" s="3">
        <v>44159</v>
      </c>
      <c r="B1285" s="2">
        <v>36.200000000000003</v>
      </c>
      <c r="C1285" s="2">
        <f t="shared" si="20"/>
        <v>-1.9152432214756009E-2</v>
      </c>
    </row>
    <row r="1286" spans="1:3" x14ac:dyDescent="0.2">
      <c r="A1286" s="3">
        <v>44158</v>
      </c>
      <c r="B1286" s="2">
        <v>36.9</v>
      </c>
      <c r="C1286" s="2">
        <f t="shared" si="20"/>
        <v>-2.1656749124972612E-3</v>
      </c>
    </row>
    <row r="1287" spans="1:3" x14ac:dyDescent="0.2">
      <c r="A1287" s="3">
        <v>44155</v>
      </c>
      <c r="B1287" s="2">
        <v>36.979999999999997</v>
      </c>
      <c r="C1287" s="2">
        <f t="shared" si="20"/>
        <v>1.0875582996259037E-2</v>
      </c>
    </row>
    <row r="1288" spans="1:3" x14ac:dyDescent="0.2">
      <c r="A1288" s="3">
        <v>44154</v>
      </c>
      <c r="B1288" s="2">
        <v>36.58</v>
      </c>
      <c r="C1288" s="2">
        <f t="shared" si="20"/>
        <v>-1.3576097734934735E-2</v>
      </c>
    </row>
    <row r="1289" spans="1:3" x14ac:dyDescent="0.2">
      <c r="A1289" s="3">
        <v>44153</v>
      </c>
      <c r="B1289" s="2">
        <v>37.08</v>
      </c>
      <c r="C1289" s="2">
        <f t="shared" si="20"/>
        <v>4.8661896511729063E-3</v>
      </c>
    </row>
    <row r="1290" spans="1:3" x14ac:dyDescent="0.2">
      <c r="A1290" s="3">
        <v>44152</v>
      </c>
      <c r="B1290" s="2">
        <v>36.9</v>
      </c>
      <c r="C1290" s="2">
        <f t="shared" si="20"/>
        <v>2.7137058715963258E-3</v>
      </c>
    </row>
    <row r="1291" spans="1:3" x14ac:dyDescent="0.2">
      <c r="A1291" s="3">
        <v>44151</v>
      </c>
      <c r="B1291" s="2">
        <v>36.799999999999997</v>
      </c>
      <c r="C1291" s="2">
        <f t="shared" si="20"/>
        <v>4.9578518317179368E-2</v>
      </c>
    </row>
    <row r="1292" spans="1:3" x14ac:dyDescent="0.2">
      <c r="A1292" s="3">
        <v>44148</v>
      </c>
      <c r="B1292" s="2">
        <v>35.020000000000003</v>
      </c>
      <c r="C1292" s="2">
        <f t="shared" si="20"/>
        <v>-5.6947762103541815E-3</v>
      </c>
    </row>
    <row r="1293" spans="1:3" x14ac:dyDescent="0.2">
      <c r="A1293" s="3">
        <v>44147</v>
      </c>
      <c r="B1293" s="2">
        <v>35.22</v>
      </c>
      <c r="C1293" s="2">
        <f t="shared" si="20"/>
        <v>1.084795108375799E-2</v>
      </c>
    </row>
    <row r="1294" spans="1:3" x14ac:dyDescent="0.2">
      <c r="A1294" s="3">
        <v>44146</v>
      </c>
      <c r="B1294" s="2">
        <v>34.840000000000003</v>
      </c>
      <c r="C1294" s="2">
        <f t="shared" si="20"/>
        <v>-3.1641057619117396E-2</v>
      </c>
    </row>
    <row r="1295" spans="1:3" x14ac:dyDescent="0.2">
      <c r="A1295" s="3">
        <v>44145</v>
      </c>
      <c r="B1295" s="2">
        <v>35.96</v>
      </c>
      <c r="C1295" s="2">
        <f t="shared" si="20"/>
        <v>-9.4105316673855095E-3</v>
      </c>
    </row>
    <row r="1296" spans="1:3" x14ac:dyDescent="0.2">
      <c r="A1296" s="3">
        <v>44144</v>
      </c>
      <c r="B1296" s="2">
        <v>36.299999999999997</v>
      </c>
      <c r="C1296" s="2">
        <f t="shared" si="20"/>
        <v>2.7934777331554066E-2</v>
      </c>
    </row>
    <row r="1297" spans="1:3" x14ac:dyDescent="0.2">
      <c r="A1297" s="3">
        <v>44141</v>
      </c>
      <c r="B1297" s="2">
        <v>35.299999999999997</v>
      </c>
      <c r="C1297" s="2">
        <f t="shared" si="20"/>
        <v>4.5428811802998839E-3</v>
      </c>
    </row>
    <row r="1298" spans="1:3" x14ac:dyDescent="0.2">
      <c r="A1298" s="3">
        <v>44140</v>
      </c>
      <c r="B1298" s="2">
        <v>35.14</v>
      </c>
      <c r="C1298" s="2">
        <f t="shared" si="20"/>
        <v>2.4194728587056971E-2</v>
      </c>
    </row>
    <row r="1299" spans="1:3" x14ac:dyDescent="0.2">
      <c r="A1299" s="3">
        <v>44139</v>
      </c>
      <c r="B1299" s="2">
        <v>34.299999999999997</v>
      </c>
      <c r="C1299" s="2">
        <f t="shared" si="20"/>
        <v>1.4684551682921099E-2</v>
      </c>
    </row>
    <row r="1300" spans="1:3" x14ac:dyDescent="0.2">
      <c r="A1300" s="3">
        <v>44138</v>
      </c>
      <c r="B1300" s="2">
        <v>33.799999999999997</v>
      </c>
      <c r="C1300" s="2">
        <f t="shared" si="20"/>
        <v>3.6762199315074039E-2</v>
      </c>
    </row>
    <row r="1301" spans="1:3" x14ac:dyDescent="0.2">
      <c r="A1301" s="3">
        <v>44137</v>
      </c>
      <c r="B1301" s="2">
        <v>32.58</v>
      </c>
      <c r="C1301" s="2">
        <f t="shared" si="20"/>
        <v>5.5401803756153509E-3</v>
      </c>
    </row>
    <row r="1302" spans="1:3" x14ac:dyDescent="0.2">
      <c r="A1302" s="3">
        <v>44134</v>
      </c>
      <c r="B1302" s="2">
        <v>32.4</v>
      </c>
      <c r="C1302" s="2">
        <f t="shared" si="20"/>
        <v>2.4368591016957732E-2</v>
      </c>
    </row>
    <row r="1303" spans="1:3" x14ac:dyDescent="0.2">
      <c r="A1303" s="3">
        <v>44133</v>
      </c>
      <c r="B1303" s="2">
        <v>31.62</v>
      </c>
      <c r="C1303" s="2">
        <f t="shared" si="20"/>
        <v>-4.4178045976089857E-3</v>
      </c>
    </row>
    <row r="1304" spans="1:3" x14ac:dyDescent="0.2">
      <c r="A1304" s="3">
        <v>44132</v>
      </c>
      <c r="B1304" s="2">
        <v>31.76</v>
      </c>
      <c r="C1304" s="2">
        <f t="shared" si="20"/>
        <v>-2.0567879928595021E-2</v>
      </c>
    </row>
    <row r="1305" spans="1:3" x14ac:dyDescent="0.2">
      <c r="A1305" s="3">
        <v>44131</v>
      </c>
      <c r="B1305" s="2">
        <v>32.42</v>
      </c>
      <c r="C1305" s="2">
        <f t="shared" si="20"/>
        <v>-7.9877536842720403E-3</v>
      </c>
    </row>
    <row r="1306" spans="1:3" x14ac:dyDescent="0.2">
      <c r="A1306" s="3">
        <v>44130</v>
      </c>
      <c r="B1306" s="2">
        <v>32.68</v>
      </c>
      <c r="C1306" s="2">
        <f t="shared" si="20"/>
        <v>-1.3977742006614695E-2</v>
      </c>
    </row>
    <row r="1307" spans="1:3" x14ac:dyDescent="0.2">
      <c r="A1307" s="3">
        <v>44127</v>
      </c>
      <c r="B1307" s="2">
        <v>33.14</v>
      </c>
      <c r="C1307" s="2">
        <f t="shared" si="20"/>
        <v>1.5202481902510648E-2</v>
      </c>
    </row>
    <row r="1308" spans="1:3" x14ac:dyDescent="0.2">
      <c r="A1308" s="3">
        <v>44126</v>
      </c>
      <c r="B1308" s="2">
        <v>32.64</v>
      </c>
      <c r="C1308" s="2">
        <f t="shared" si="20"/>
        <v>-1.8816943668875308E-2</v>
      </c>
    </row>
    <row r="1309" spans="1:3" x14ac:dyDescent="0.2">
      <c r="A1309" s="3">
        <v>44125</v>
      </c>
      <c r="B1309" s="2">
        <v>33.26</v>
      </c>
      <c r="C1309" s="2">
        <f t="shared" si="20"/>
        <v>-1.6696869705652723E-2</v>
      </c>
    </row>
    <row r="1310" spans="1:3" x14ac:dyDescent="0.2">
      <c r="A1310" s="3">
        <v>44124</v>
      </c>
      <c r="B1310" s="2">
        <v>33.82</v>
      </c>
      <c r="C1310" s="2">
        <f t="shared" si="20"/>
        <v>-1.4093010701459952E-2</v>
      </c>
    </row>
    <row r="1311" spans="1:3" x14ac:dyDescent="0.2">
      <c r="A1311" s="3">
        <v>44123</v>
      </c>
      <c r="B1311" s="2">
        <v>34.299999999999997</v>
      </c>
      <c r="C1311" s="2">
        <f t="shared" si="20"/>
        <v>-1.3897154754242896E-2</v>
      </c>
    </row>
    <row r="1312" spans="1:3" x14ac:dyDescent="0.2">
      <c r="A1312" s="3">
        <v>44120</v>
      </c>
      <c r="B1312" s="2">
        <v>34.78</v>
      </c>
      <c r="C1312" s="2">
        <f t="shared" si="20"/>
        <v>1.7987140005768041E-2</v>
      </c>
    </row>
    <row r="1313" spans="1:3" x14ac:dyDescent="0.2">
      <c r="A1313" s="3">
        <v>44119</v>
      </c>
      <c r="B1313" s="2">
        <v>34.159999999999997</v>
      </c>
      <c r="C1313" s="2">
        <f t="shared" si="20"/>
        <v>-1.1062703798163487E-2</v>
      </c>
    </row>
    <row r="1314" spans="1:3" x14ac:dyDescent="0.2">
      <c r="A1314" s="3">
        <v>44118</v>
      </c>
      <c r="B1314" s="2">
        <v>34.54</v>
      </c>
      <c r="C1314" s="2">
        <f t="shared" si="20"/>
        <v>-1.6652696048383323E-2</v>
      </c>
    </row>
    <row r="1315" spans="1:3" x14ac:dyDescent="0.2">
      <c r="A1315" s="3">
        <v>44117</v>
      </c>
      <c r="B1315" s="2">
        <v>35.119999999999997</v>
      </c>
      <c r="C1315" s="2">
        <f t="shared" si="20"/>
        <v>-3.4110323010629324E-3</v>
      </c>
    </row>
    <row r="1316" spans="1:3" x14ac:dyDescent="0.2">
      <c r="A1316" s="3">
        <v>44116</v>
      </c>
      <c r="B1316" s="2">
        <v>35.24</v>
      </c>
      <c r="C1316" s="2">
        <f t="shared" si="20"/>
        <v>6.8709143296652717E-2</v>
      </c>
    </row>
    <row r="1317" spans="1:3" x14ac:dyDescent="0.2">
      <c r="A1317" s="3">
        <v>44113</v>
      </c>
      <c r="B1317" s="2">
        <v>32.9</v>
      </c>
      <c r="C1317" s="2">
        <f t="shared" si="20"/>
        <v>4.8750858283372013E-3</v>
      </c>
    </row>
    <row r="1318" spans="1:3" x14ac:dyDescent="0.2">
      <c r="A1318" s="3">
        <v>44112</v>
      </c>
      <c r="B1318" s="2">
        <v>32.74</v>
      </c>
      <c r="C1318" s="2">
        <f t="shared" si="20"/>
        <v>8.5890098565436519E-3</v>
      </c>
    </row>
    <row r="1319" spans="1:3" x14ac:dyDescent="0.2">
      <c r="A1319" s="3">
        <v>44111</v>
      </c>
      <c r="B1319" s="2">
        <v>32.46</v>
      </c>
      <c r="C1319" s="2">
        <f t="shared" si="20"/>
        <v>8.6634205222080873E-3</v>
      </c>
    </row>
    <row r="1320" spans="1:3" x14ac:dyDescent="0.2">
      <c r="A1320" s="3">
        <v>44110</v>
      </c>
      <c r="B1320" s="2">
        <v>32.18</v>
      </c>
      <c r="C1320" s="2">
        <f t="shared" si="20"/>
        <v>-1.8627760741904925E-3</v>
      </c>
    </row>
    <row r="1321" spans="1:3" x14ac:dyDescent="0.2">
      <c r="A1321" s="3">
        <v>44109</v>
      </c>
      <c r="B1321" s="2">
        <v>32.24</v>
      </c>
      <c r="C1321" s="2">
        <f t="shared" si="20"/>
        <v>1.9418085857101516E-2</v>
      </c>
    </row>
    <row r="1322" spans="1:3" x14ac:dyDescent="0.2">
      <c r="A1322" s="3">
        <v>44106</v>
      </c>
      <c r="B1322" s="2">
        <v>31.62</v>
      </c>
      <c r="C1322" s="2">
        <f t="shared" si="20"/>
        <v>8.2566362991189721E-3</v>
      </c>
    </row>
    <row r="1323" spans="1:3" x14ac:dyDescent="0.2">
      <c r="A1323" s="3">
        <v>44105</v>
      </c>
      <c r="B1323" s="2">
        <v>31.36</v>
      </c>
      <c r="C1323" s="2">
        <f t="shared" si="20"/>
        <v>-1.1414201284440123E-2</v>
      </c>
    </row>
    <row r="1324" spans="1:3" x14ac:dyDescent="0.2">
      <c r="A1324" s="3">
        <v>44104</v>
      </c>
      <c r="B1324" s="2">
        <v>31.72</v>
      </c>
      <c r="C1324" s="2">
        <f t="shared" si="20"/>
        <v>-6.3031833161574782E-4</v>
      </c>
    </row>
    <row r="1325" spans="1:3" x14ac:dyDescent="0.2">
      <c r="A1325" s="3">
        <v>44103</v>
      </c>
      <c r="B1325" s="2">
        <v>31.74</v>
      </c>
      <c r="C1325" s="2">
        <f t="shared" si="20"/>
        <v>6.3031833161568559E-4</v>
      </c>
    </row>
    <row r="1326" spans="1:3" x14ac:dyDescent="0.2">
      <c r="A1326" s="3">
        <v>44102</v>
      </c>
      <c r="B1326" s="2">
        <v>31.72</v>
      </c>
      <c r="C1326" s="2">
        <f t="shared" si="20"/>
        <v>2.425134804512084E-2</v>
      </c>
    </row>
    <row r="1327" spans="1:3" x14ac:dyDescent="0.2">
      <c r="A1327" s="3">
        <v>44099</v>
      </c>
      <c r="B1327" s="2">
        <v>30.96</v>
      </c>
      <c r="C1327" s="2">
        <f t="shared" si="20"/>
        <v>-3.2247689990145888E-3</v>
      </c>
    </row>
    <row r="1328" spans="1:3" x14ac:dyDescent="0.2">
      <c r="A1328" s="3">
        <v>44098</v>
      </c>
      <c r="B1328" s="2">
        <v>31.06</v>
      </c>
      <c r="C1328" s="2">
        <f t="shared" si="20"/>
        <v>-3.856045909089429E-3</v>
      </c>
    </row>
    <row r="1329" spans="1:3" x14ac:dyDescent="0.2">
      <c r="A1329" s="3">
        <v>44097</v>
      </c>
      <c r="B1329" s="2">
        <v>31.18</v>
      </c>
      <c r="C1329" s="2">
        <f t="shared" si="20"/>
        <v>1.421212551918076E-2</v>
      </c>
    </row>
    <row r="1330" spans="1:3" x14ac:dyDescent="0.2">
      <c r="A1330" s="3">
        <v>44096</v>
      </c>
      <c r="B1330" s="2">
        <v>30.74</v>
      </c>
      <c r="C1330" s="2">
        <f t="shared" si="20"/>
        <v>2.1039566355619634E-2</v>
      </c>
    </row>
    <row r="1331" spans="1:3" x14ac:dyDescent="0.2">
      <c r="A1331" s="3">
        <v>44095</v>
      </c>
      <c r="B1331" s="2">
        <v>30.1</v>
      </c>
      <c r="C1331" s="2">
        <f t="shared" si="20"/>
        <v>-5.3052543343432866E-2</v>
      </c>
    </row>
    <row r="1332" spans="1:3" x14ac:dyDescent="0.2">
      <c r="A1332" s="3">
        <v>44092</v>
      </c>
      <c r="B1332" s="2">
        <v>31.74</v>
      </c>
      <c r="C1332" s="2">
        <f t="shared" si="20"/>
        <v>1.1406967793376381E-2</v>
      </c>
    </row>
    <row r="1333" spans="1:3" x14ac:dyDescent="0.2">
      <c r="A1333" s="3">
        <v>44091</v>
      </c>
      <c r="B1333" s="2">
        <v>31.38</v>
      </c>
      <c r="C1333" s="2">
        <f t="shared" si="20"/>
        <v>5.7526524894498414E-3</v>
      </c>
    </row>
    <row r="1334" spans="1:3" x14ac:dyDescent="0.2">
      <c r="A1334" s="3">
        <v>44090</v>
      </c>
      <c r="B1334" s="2">
        <v>31.2</v>
      </c>
      <c r="C1334" s="2">
        <f t="shared" si="20"/>
        <v>-1.0838486719455594E-2</v>
      </c>
    </row>
    <row r="1335" spans="1:3" x14ac:dyDescent="0.2">
      <c r="A1335" s="3">
        <v>44089</v>
      </c>
      <c r="B1335" s="2">
        <v>31.54</v>
      </c>
      <c r="C1335" s="2">
        <f t="shared" si="20"/>
        <v>-3.7974729179738325E-3</v>
      </c>
    </row>
    <row r="1336" spans="1:3" x14ac:dyDescent="0.2">
      <c r="A1336" s="3">
        <v>44088</v>
      </c>
      <c r="B1336" s="2">
        <v>31.66</v>
      </c>
      <c r="C1336" s="2">
        <f t="shared" si="20"/>
        <v>6.3371568227343711E-3</v>
      </c>
    </row>
    <row r="1337" spans="1:3" x14ac:dyDescent="0.2">
      <c r="A1337" s="3">
        <v>44085</v>
      </c>
      <c r="B1337" s="2">
        <v>31.46</v>
      </c>
      <c r="C1337" s="2">
        <f t="shared" si="20"/>
        <v>6.3775726368011706E-3</v>
      </c>
    </row>
    <row r="1338" spans="1:3" x14ac:dyDescent="0.2">
      <c r="A1338" s="3">
        <v>44084</v>
      </c>
      <c r="B1338" s="2">
        <v>31.26</v>
      </c>
      <c r="C1338" s="2">
        <f t="shared" si="20"/>
        <v>1.9212301778938723E-3</v>
      </c>
    </row>
    <row r="1339" spans="1:3" x14ac:dyDescent="0.2">
      <c r="A1339" s="3">
        <v>44083</v>
      </c>
      <c r="B1339" s="2">
        <v>31.2</v>
      </c>
      <c r="C1339" s="2">
        <f t="shared" si="20"/>
        <v>3.2102756302481894E-3</v>
      </c>
    </row>
    <row r="1340" spans="1:3" x14ac:dyDescent="0.2">
      <c r="A1340" s="3">
        <v>44082</v>
      </c>
      <c r="B1340" s="2">
        <v>31.1</v>
      </c>
      <c r="C1340" s="2">
        <f t="shared" si="20"/>
        <v>-1.5949301407677953E-2</v>
      </c>
    </row>
    <row r="1341" spans="1:3" x14ac:dyDescent="0.2">
      <c r="A1341" s="3">
        <v>44081</v>
      </c>
      <c r="B1341" s="2">
        <v>31.6</v>
      </c>
      <c r="C1341" s="2">
        <f t="shared" si="20"/>
        <v>1.1457795621381358E-2</v>
      </c>
    </row>
    <row r="1342" spans="1:3" x14ac:dyDescent="0.2">
      <c r="A1342" s="3">
        <v>44078</v>
      </c>
      <c r="B1342" s="2">
        <v>31.24</v>
      </c>
      <c r="C1342" s="2">
        <f t="shared" si="20"/>
        <v>5.1347994720384402E-3</v>
      </c>
    </row>
    <row r="1343" spans="1:3" x14ac:dyDescent="0.2">
      <c r="A1343" s="3">
        <v>44077</v>
      </c>
      <c r="B1343" s="2">
        <v>31.08</v>
      </c>
      <c r="C1343" s="2">
        <f t="shared" si="20"/>
        <v>-2.0382871267200557E-2</v>
      </c>
    </row>
    <row r="1344" spans="1:3" x14ac:dyDescent="0.2">
      <c r="A1344" s="3">
        <v>44076</v>
      </c>
      <c r="B1344" s="2">
        <v>31.72</v>
      </c>
      <c r="C1344" s="2">
        <f t="shared" si="20"/>
        <v>7.3913985732162887E-2</v>
      </c>
    </row>
    <row r="1345" spans="1:3" x14ac:dyDescent="0.2">
      <c r="A1345" s="3">
        <v>44075</v>
      </c>
      <c r="B1345" s="2">
        <v>29.46</v>
      </c>
      <c r="C1345" s="2">
        <f t="shared" si="20"/>
        <v>5.4458950114625376E-3</v>
      </c>
    </row>
    <row r="1346" spans="1:3" x14ac:dyDescent="0.2">
      <c r="A1346" s="3">
        <v>44074</v>
      </c>
      <c r="B1346" s="2">
        <v>29.3</v>
      </c>
      <c r="C1346" s="2">
        <f t="shared" si="20"/>
        <v>6.1622926945363796E-3</v>
      </c>
    </row>
    <row r="1347" spans="1:3" x14ac:dyDescent="0.2">
      <c r="A1347" s="3">
        <v>44071</v>
      </c>
      <c r="B1347" s="2">
        <v>29.12</v>
      </c>
      <c r="C1347" s="2">
        <f t="shared" ref="C1347:C1410" si="21">+LN(B1347/B1348)</f>
        <v>-1.0929070532190317E-2</v>
      </c>
    </row>
    <row r="1348" spans="1:3" x14ac:dyDescent="0.2">
      <c r="A1348" s="3">
        <v>44070</v>
      </c>
      <c r="B1348" s="2">
        <v>29.44</v>
      </c>
      <c r="C1348" s="2">
        <f t="shared" si="21"/>
        <v>-1.2154099650683283E-2</v>
      </c>
    </row>
    <row r="1349" spans="1:3" x14ac:dyDescent="0.2">
      <c r="A1349" s="3">
        <v>44069</v>
      </c>
      <c r="B1349" s="2">
        <v>29.8</v>
      </c>
      <c r="C1349" s="2">
        <f t="shared" si="21"/>
        <v>2.1710486370901342E-2</v>
      </c>
    </row>
    <row r="1350" spans="1:3" x14ac:dyDescent="0.2">
      <c r="A1350" s="3">
        <v>44068</v>
      </c>
      <c r="B1350" s="2">
        <v>29.16</v>
      </c>
      <c r="C1350" s="2">
        <f t="shared" si="21"/>
        <v>-1.7675511158722328E-2</v>
      </c>
    </row>
    <row r="1351" spans="1:3" x14ac:dyDescent="0.2">
      <c r="A1351" s="3">
        <v>44067</v>
      </c>
      <c r="B1351" s="2">
        <v>29.68</v>
      </c>
      <c r="C1351" s="2">
        <f t="shared" si="21"/>
        <v>1.9048194970694411E-2</v>
      </c>
    </row>
    <row r="1352" spans="1:3" x14ac:dyDescent="0.2">
      <c r="A1352" s="3">
        <v>44063</v>
      </c>
      <c r="B1352" s="2">
        <v>29.12</v>
      </c>
      <c r="C1352" s="2">
        <f t="shared" si="21"/>
        <v>-3.4281829940681612E-3</v>
      </c>
    </row>
    <row r="1353" spans="1:3" x14ac:dyDescent="0.2">
      <c r="A1353" s="3">
        <v>44061</v>
      </c>
      <c r="B1353" s="2">
        <v>29.22</v>
      </c>
      <c r="C1353" s="2">
        <f t="shared" si="21"/>
        <v>4.8027536572348871E-3</v>
      </c>
    </row>
    <row r="1354" spans="1:3" x14ac:dyDescent="0.2">
      <c r="A1354" s="3">
        <v>44060</v>
      </c>
      <c r="B1354" s="2">
        <v>29.08</v>
      </c>
      <c r="C1354" s="2">
        <f t="shared" si="21"/>
        <v>4.8259314619807413E-3</v>
      </c>
    </row>
    <row r="1355" spans="1:3" x14ac:dyDescent="0.2">
      <c r="A1355" s="3">
        <v>44057</v>
      </c>
      <c r="B1355" s="2">
        <v>28.94</v>
      </c>
      <c r="C1355" s="2">
        <f t="shared" si="21"/>
        <v>-2.322508763631493E-2</v>
      </c>
    </row>
    <row r="1356" spans="1:3" x14ac:dyDescent="0.2">
      <c r="A1356" s="3">
        <v>44056</v>
      </c>
      <c r="B1356" s="2">
        <v>29.62</v>
      </c>
      <c r="C1356" s="2">
        <f t="shared" si="21"/>
        <v>-6.7499158823336523E-4</v>
      </c>
    </row>
    <row r="1357" spans="1:3" x14ac:dyDescent="0.2">
      <c r="A1357" s="3">
        <v>44055</v>
      </c>
      <c r="B1357" s="2">
        <v>29.64</v>
      </c>
      <c r="C1357" s="2">
        <f t="shared" si="21"/>
        <v>2.702704347885073E-3</v>
      </c>
    </row>
    <row r="1358" spans="1:3" x14ac:dyDescent="0.2">
      <c r="A1358" s="3">
        <v>44054</v>
      </c>
      <c r="B1358" s="2">
        <v>29.56</v>
      </c>
      <c r="C1358" s="2">
        <f t="shared" si="21"/>
        <v>4.780958960946681E-2</v>
      </c>
    </row>
    <row r="1359" spans="1:3" x14ac:dyDescent="0.2">
      <c r="A1359" s="3">
        <v>44053</v>
      </c>
      <c r="B1359" s="2">
        <v>28.18</v>
      </c>
      <c r="C1359" s="2">
        <f t="shared" si="21"/>
        <v>6.4079962953302559E-3</v>
      </c>
    </row>
    <row r="1360" spans="1:3" x14ac:dyDescent="0.2">
      <c r="A1360" s="3">
        <v>44050</v>
      </c>
      <c r="B1360" s="2">
        <v>28</v>
      </c>
      <c r="C1360" s="2">
        <f t="shared" si="21"/>
        <v>1.5839064029746167E-2</v>
      </c>
    </row>
    <row r="1361" spans="1:3" x14ac:dyDescent="0.2">
      <c r="A1361" s="3">
        <v>44049</v>
      </c>
      <c r="B1361" s="2">
        <v>27.56</v>
      </c>
      <c r="C1361" s="2">
        <f t="shared" si="21"/>
        <v>-1.4409471220151793E-2</v>
      </c>
    </row>
    <row r="1362" spans="1:3" x14ac:dyDescent="0.2">
      <c r="A1362" s="3">
        <v>44048</v>
      </c>
      <c r="B1362" s="2">
        <v>27.96</v>
      </c>
      <c r="C1362" s="2">
        <f t="shared" si="21"/>
        <v>1.4409471220151784E-2</v>
      </c>
    </row>
    <row r="1363" spans="1:3" x14ac:dyDescent="0.2">
      <c r="A1363" s="3">
        <v>44047</v>
      </c>
      <c r="B1363" s="2">
        <v>27.56</v>
      </c>
      <c r="C1363" s="2">
        <f t="shared" si="21"/>
        <v>-7.2306894931460589E-3</v>
      </c>
    </row>
    <row r="1364" spans="1:3" x14ac:dyDescent="0.2">
      <c r="A1364" s="3">
        <v>44046</v>
      </c>
      <c r="B1364" s="2">
        <v>27.76</v>
      </c>
      <c r="C1364" s="2">
        <f t="shared" si="21"/>
        <v>2.886004889135073E-3</v>
      </c>
    </row>
    <row r="1365" spans="1:3" x14ac:dyDescent="0.2">
      <c r="A1365" s="3">
        <v>44043</v>
      </c>
      <c r="B1365" s="2">
        <v>27.68</v>
      </c>
      <c r="C1365" s="2">
        <f t="shared" si="21"/>
        <v>1.4556297774207454E-2</v>
      </c>
    </row>
    <row r="1366" spans="1:3" x14ac:dyDescent="0.2">
      <c r="A1366" s="3">
        <v>44042</v>
      </c>
      <c r="B1366" s="2">
        <v>27.28</v>
      </c>
      <c r="C1366" s="2">
        <f t="shared" si="21"/>
        <v>-1.6721581911424123E-2</v>
      </c>
    </row>
    <row r="1367" spans="1:3" x14ac:dyDescent="0.2">
      <c r="A1367" s="3">
        <v>44041</v>
      </c>
      <c r="B1367" s="2">
        <v>27.74</v>
      </c>
      <c r="C1367" s="2">
        <f t="shared" si="21"/>
        <v>1.7454988618298879E-2</v>
      </c>
    </row>
    <row r="1368" spans="1:3" x14ac:dyDescent="0.2">
      <c r="A1368" s="3">
        <v>44040</v>
      </c>
      <c r="B1368" s="2">
        <v>27.26</v>
      </c>
      <c r="C1368" s="2">
        <f t="shared" si="21"/>
        <v>-2.9637152889223747E-2</v>
      </c>
    </row>
    <row r="1369" spans="1:3" x14ac:dyDescent="0.2">
      <c r="A1369" s="3">
        <v>44039</v>
      </c>
      <c r="B1369" s="2">
        <v>28.08</v>
      </c>
      <c r="C1369" s="2">
        <f t="shared" si="21"/>
        <v>1.7241806434505954E-2</v>
      </c>
    </row>
    <row r="1370" spans="1:3" x14ac:dyDescent="0.2">
      <c r="A1370" s="3">
        <v>44036</v>
      </c>
      <c r="B1370" s="2">
        <v>27.6</v>
      </c>
      <c r="C1370" s="2">
        <f t="shared" si="21"/>
        <v>-2.5752496102414625E-2</v>
      </c>
    </row>
    <row r="1371" spans="1:3" x14ac:dyDescent="0.2">
      <c r="A1371" s="3">
        <v>44035</v>
      </c>
      <c r="B1371" s="2">
        <v>28.32</v>
      </c>
      <c r="C1371" s="2">
        <f t="shared" si="21"/>
        <v>4.2462908814512243E-3</v>
      </c>
    </row>
    <row r="1372" spans="1:3" x14ac:dyDescent="0.2">
      <c r="A1372" s="3">
        <v>44034</v>
      </c>
      <c r="B1372" s="2">
        <v>28.2</v>
      </c>
      <c r="C1372" s="2">
        <f t="shared" si="21"/>
        <v>7.0947147353377657E-4</v>
      </c>
    </row>
    <row r="1373" spans="1:3" x14ac:dyDescent="0.2">
      <c r="A1373" s="3">
        <v>44033</v>
      </c>
      <c r="B1373" s="2">
        <v>28.18</v>
      </c>
      <c r="C1373" s="2">
        <f t="shared" si="21"/>
        <v>4.2674317962193399E-3</v>
      </c>
    </row>
    <row r="1374" spans="1:3" x14ac:dyDescent="0.2">
      <c r="A1374" s="3">
        <v>44032</v>
      </c>
      <c r="B1374" s="2">
        <v>28.06</v>
      </c>
      <c r="C1374" s="2">
        <f t="shared" si="21"/>
        <v>7.1531063226551441E-3</v>
      </c>
    </row>
    <row r="1375" spans="1:3" x14ac:dyDescent="0.2">
      <c r="A1375" s="3">
        <v>44029</v>
      </c>
      <c r="B1375" s="2">
        <v>27.86</v>
      </c>
      <c r="C1375" s="2">
        <f t="shared" si="21"/>
        <v>1.8109875597310005E-2</v>
      </c>
    </row>
    <row r="1376" spans="1:3" x14ac:dyDescent="0.2">
      <c r="A1376" s="3">
        <v>44028</v>
      </c>
      <c r="B1376" s="2">
        <v>27.36</v>
      </c>
      <c r="C1376" s="2">
        <f t="shared" si="21"/>
        <v>-4.3763745997988882E-3</v>
      </c>
    </row>
    <row r="1377" spans="1:3" x14ac:dyDescent="0.2">
      <c r="A1377" s="3">
        <v>44027</v>
      </c>
      <c r="B1377" s="2">
        <v>27.48</v>
      </c>
      <c r="C1377" s="2">
        <f t="shared" si="21"/>
        <v>3.0294152603585964E-2</v>
      </c>
    </row>
    <row r="1378" spans="1:3" x14ac:dyDescent="0.2">
      <c r="A1378" s="3">
        <v>44026</v>
      </c>
      <c r="B1378" s="2">
        <v>26.66</v>
      </c>
      <c r="C1378" s="2">
        <f t="shared" si="21"/>
        <v>-2.2256111517824046E-2</v>
      </c>
    </row>
    <row r="1379" spans="1:3" x14ac:dyDescent="0.2">
      <c r="A1379" s="3">
        <v>44025</v>
      </c>
      <c r="B1379" s="2">
        <v>27.26</v>
      </c>
      <c r="C1379" s="2">
        <f t="shared" si="21"/>
        <v>1.2550921491859456E-2</v>
      </c>
    </row>
    <row r="1380" spans="1:3" x14ac:dyDescent="0.2">
      <c r="A1380" s="3">
        <v>44022</v>
      </c>
      <c r="B1380" s="2">
        <v>26.92</v>
      </c>
      <c r="C1380" s="2">
        <f t="shared" si="21"/>
        <v>3.0934190447879414E-2</v>
      </c>
    </row>
    <row r="1381" spans="1:3" x14ac:dyDescent="0.2">
      <c r="A1381" s="3">
        <v>44021</v>
      </c>
      <c r="B1381" s="2">
        <v>26.1</v>
      </c>
      <c r="C1381" s="2">
        <f t="shared" si="21"/>
        <v>-3.5381936846115541E-2</v>
      </c>
    </row>
    <row r="1382" spans="1:3" x14ac:dyDescent="0.2">
      <c r="A1382" s="3">
        <v>44020</v>
      </c>
      <c r="B1382" s="2">
        <v>27.04</v>
      </c>
      <c r="C1382" s="2">
        <f t="shared" si="21"/>
        <v>8.9153636579523288E-3</v>
      </c>
    </row>
    <row r="1383" spans="1:3" x14ac:dyDescent="0.2">
      <c r="A1383" s="3">
        <v>44019</v>
      </c>
      <c r="B1383" s="2">
        <v>26.8</v>
      </c>
      <c r="C1383" s="2">
        <f t="shared" si="21"/>
        <v>8.2428342317118226E-3</v>
      </c>
    </row>
    <row r="1384" spans="1:3" x14ac:dyDescent="0.2">
      <c r="A1384" s="3">
        <v>44018</v>
      </c>
      <c r="B1384" s="2">
        <v>26.58</v>
      </c>
      <c r="C1384" s="2">
        <f t="shared" si="21"/>
        <v>3.0143202929226571E-3</v>
      </c>
    </row>
    <row r="1385" spans="1:3" x14ac:dyDescent="0.2">
      <c r="A1385" s="3">
        <v>44014</v>
      </c>
      <c r="B1385" s="2">
        <v>26.5</v>
      </c>
      <c r="C1385" s="2">
        <f t="shared" si="21"/>
        <v>6.0560366770416093E-3</v>
      </c>
    </row>
    <row r="1386" spans="1:3" x14ac:dyDescent="0.2">
      <c r="A1386" s="3">
        <v>44013</v>
      </c>
      <c r="B1386" s="2">
        <v>26.34</v>
      </c>
      <c r="C1386" s="2">
        <f t="shared" si="21"/>
        <v>-3.7893186683505909E-3</v>
      </c>
    </row>
    <row r="1387" spans="1:3" x14ac:dyDescent="0.2">
      <c r="A1387" s="3">
        <v>44012</v>
      </c>
      <c r="B1387" s="2">
        <v>26.44</v>
      </c>
      <c r="C1387" s="2">
        <f t="shared" si="21"/>
        <v>-3.7750139205757847E-3</v>
      </c>
    </row>
    <row r="1388" spans="1:3" x14ac:dyDescent="0.2">
      <c r="A1388" s="3">
        <v>44008</v>
      </c>
      <c r="B1388" s="2">
        <v>26.54</v>
      </c>
      <c r="C1388" s="2">
        <f t="shared" si="21"/>
        <v>1.6717714575413732E-2</v>
      </c>
    </row>
    <row r="1389" spans="1:3" x14ac:dyDescent="0.2">
      <c r="A1389" s="3">
        <v>44007</v>
      </c>
      <c r="B1389" s="2">
        <v>26.1</v>
      </c>
      <c r="C1389" s="2">
        <f t="shared" si="21"/>
        <v>-1.5313938674281365E-3</v>
      </c>
    </row>
    <row r="1390" spans="1:3" x14ac:dyDescent="0.2">
      <c r="A1390" s="3">
        <v>44006</v>
      </c>
      <c r="B1390" s="2">
        <v>26.14</v>
      </c>
      <c r="C1390" s="2">
        <f t="shared" si="21"/>
        <v>-4.6346111664226919E-2</v>
      </c>
    </row>
    <row r="1391" spans="1:3" x14ac:dyDescent="0.2">
      <c r="A1391" s="3">
        <v>44005</v>
      </c>
      <c r="B1391" s="2">
        <v>27.38</v>
      </c>
      <c r="C1391" s="2">
        <f t="shared" si="21"/>
        <v>1.8430304205354027E-2</v>
      </c>
    </row>
    <row r="1392" spans="1:3" x14ac:dyDescent="0.2">
      <c r="A1392" s="3">
        <v>44004</v>
      </c>
      <c r="B1392" s="2">
        <v>26.88</v>
      </c>
      <c r="C1392" s="2">
        <f t="shared" si="21"/>
        <v>6.0578119921474112E-2</v>
      </c>
    </row>
    <row r="1393" spans="1:3" x14ac:dyDescent="0.2">
      <c r="A1393" s="3">
        <v>44001</v>
      </c>
      <c r="B1393" s="2">
        <v>25.3</v>
      </c>
      <c r="C1393" s="2">
        <f t="shared" si="21"/>
        <v>-3.9524710723641859E-2</v>
      </c>
    </row>
    <row r="1394" spans="1:3" x14ac:dyDescent="0.2">
      <c r="A1394" s="3">
        <v>44000</v>
      </c>
      <c r="B1394" s="2">
        <v>26.32</v>
      </c>
      <c r="C1394" s="2">
        <f t="shared" si="21"/>
        <v>-9.0772181511165392E-3</v>
      </c>
    </row>
    <row r="1395" spans="1:3" x14ac:dyDescent="0.2">
      <c r="A1395" s="3">
        <v>43999</v>
      </c>
      <c r="B1395" s="2">
        <v>26.56</v>
      </c>
      <c r="C1395" s="2">
        <f t="shared" si="21"/>
        <v>-1.1976191046715649E-2</v>
      </c>
    </row>
    <row r="1396" spans="1:3" x14ac:dyDescent="0.2">
      <c r="A1396" s="3">
        <v>43998</v>
      </c>
      <c r="B1396" s="2">
        <v>26.88</v>
      </c>
      <c r="C1396" s="2">
        <f t="shared" si="21"/>
        <v>2.0293819339813682E-2</v>
      </c>
    </row>
    <row r="1397" spans="1:3" x14ac:dyDescent="0.2">
      <c r="A1397" s="3">
        <v>43997</v>
      </c>
      <c r="B1397" s="2">
        <v>26.34</v>
      </c>
      <c r="C1397" s="2">
        <f t="shared" si="21"/>
        <v>-6.8104690025267518E-3</v>
      </c>
    </row>
    <row r="1398" spans="1:3" x14ac:dyDescent="0.2">
      <c r="A1398" s="3">
        <v>43994</v>
      </c>
      <c r="B1398" s="2">
        <v>26.52</v>
      </c>
      <c r="C1398" s="2">
        <f t="shared" si="21"/>
        <v>7.570058860545294E-3</v>
      </c>
    </row>
    <row r="1399" spans="1:3" x14ac:dyDescent="0.2">
      <c r="A1399" s="3">
        <v>43993</v>
      </c>
      <c r="B1399" s="2">
        <v>26.32</v>
      </c>
      <c r="C1399" s="2">
        <f t="shared" si="21"/>
        <v>-4.2401293882708593E-2</v>
      </c>
    </row>
    <row r="1400" spans="1:3" x14ac:dyDescent="0.2">
      <c r="A1400" s="3">
        <v>43992</v>
      </c>
      <c r="B1400" s="2">
        <v>27.46</v>
      </c>
      <c r="C1400" s="2">
        <f t="shared" si="21"/>
        <v>-3.3658744827335323E-2</v>
      </c>
    </row>
    <row r="1401" spans="1:3" x14ac:dyDescent="0.2">
      <c r="A1401" s="3">
        <v>43991</v>
      </c>
      <c r="B1401" s="2">
        <v>28.4</v>
      </c>
      <c r="C1401" s="2">
        <f t="shared" si="21"/>
        <v>-2.021679172537599E-2</v>
      </c>
    </row>
    <row r="1402" spans="1:3" x14ac:dyDescent="0.2">
      <c r="A1402" s="3">
        <v>43990</v>
      </c>
      <c r="B1402" s="2">
        <v>28.98</v>
      </c>
      <c r="C1402" s="2">
        <f t="shared" si="21"/>
        <v>4.1493835468116181E-3</v>
      </c>
    </row>
    <row r="1403" spans="1:3" x14ac:dyDescent="0.2">
      <c r="A1403" s="3">
        <v>43987</v>
      </c>
      <c r="B1403" s="2">
        <v>28.86</v>
      </c>
      <c r="C1403" s="2">
        <f t="shared" si="21"/>
        <v>-1.3850417726616845E-3</v>
      </c>
    </row>
    <row r="1404" spans="1:3" x14ac:dyDescent="0.2">
      <c r="A1404" s="3">
        <v>43986</v>
      </c>
      <c r="B1404" s="2">
        <v>28.9</v>
      </c>
      <c r="C1404" s="2">
        <f t="shared" si="21"/>
        <v>-1.1696039763191298E-2</v>
      </c>
    </row>
    <row r="1405" spans="1:3" x14ac:dyDescent="0.2">
      <c r="A1405" s="3">
        <v>43985</v>
      </c>
      <c r="B1405" s="2">
        <v>29.24</v>
      </c>
      <c r="C1405" s="2">
        <f t="shared" si="21"/>
        <v>2.8444512212623094E-2</v>
      </c>
    </row>
    <row r="1406" spans="1:3" x14ac:dyDescent="0.2">
      <c r="A1406" s="3">
        <v>43984</v>
      </c>
      <c r="B1406" s="2">
        <v>28.42</v>
      </c>
      <c r="C1406" s="2">
        <f t="shared" si="21"/>
        <v>4.8297674624880355E-2</v>
      </c>
    </row>
    <row r="1407" spans="1:3" x14ac:dyDescent="0.2">
      <c r="A1407" s="3">
        <v>43983</v>
      </c>
      <c r="B1407" s="2">
        <v>27.08</v>
      </c>
      <c r="C1407" s="2">
        <f t="shared" si="21"/>
        <v>7.4129323891255336E-3</v>
      </c>
    </row>
    <row r="1408" spans="1:3" x14ac:dyDescent="0.2">
      <c r="A1408" s="3">
        <v>43980</v>
      </c>
      <c r="B1408" s="2">
        <v>26.88</v>
      </c>
      <c r="C1408" s="2">
        <f t="shared" si="21"/>
        <v>-2.2296553272692031E-3</v>
      </c>
    </row>
    <row r="1409" spans="1:3" x14ac:dyDescent="0.2">
      <c r="A1409" s="3">
        <v>43979</v>
      </c>
      <c r="B1409" s="2">
        <v>26.94</v>
      </c>
      <c r="C1409" s="2">
        <f t="shared" si="21"/>
        <v>-1.0339826241102041E-2</v>
      </c>
    </row>
    <row r="1410" spans="1:3" x14ac:dyDescent="0.2">
      <c r="A1410" s="3">
        <v>43978</v>
      </c>
      <c r="B1410" s="2">
        <v>27.22</v>
      </c>
      <c r="C1410" s="2">
        <f t="shared" si="21"/>
        <v>-1.4588150757826072E-2</v>
      </c>
    </row>
    <row r="1411" spans="1:3" x14ac:dyDescent="0.2">
      <c r="A1411" s="3">
        <v>43977</v>
      </c>
      <c r="B1411" s="2">
        <v>27.62</v>
      </c>
      <c r="C1411" s="2">
        <f t="shared" ref="C1411:C1474" si="22">+LN(B1411/B1412)</f>
        <v>-8.6518203705135566E-3</v>
      </c>
    </row>
    <row r="1412" spans="1:3" x14ac:dyDescent="0.2">
      <c r="A1412" s="3">
        <v>43976</v>
      </c>
      <c r="B1412" s="2">
        <v>27.86</v>
      </c>
      <c r="C1412" s="2">
        <f t="shared" si="22"/>
        <v>8.6518203705134647E-3</v>
      </c>
    </row>
    <row r="1413" spans="1:3" x14ac:dyDescent="0.2">
      <c r="A1413" s="3">
        <v>43973</v>
      </c>
      <c r="B1413" s="2">
        <v>27.62</v>
      </c>
      <c r="C1413" s="2">
        <f t="shared" si="22"/>
        <v>1.826868490895114E-2</v>
      </c>
    </row>
    <row r="1414" spans="1:3" x14ac:dyDescent="0.2">
      <c r="A1414" s="3">
        <v>43972</v>
      </c>
      <c r="B1414" s="2">
        <v>27.12</v>
      </c>
      <c r="C1414" s="2">
        <f t="shared" si="22"/>
        <v>4.4345970678657748E-3</v>
      </c>
    </row>
    <row r="1415" spans="1:3" x14ac:dyDescent="0.2">
      <c r="A1415" s="3">
        <v>43971</v>
      </c>
      <c r="B1415" s="2">
        <v>27</v>
      </c>
      <c r="C1415" s="2">
        <f t="shared" si="22"/>
        <v>2.3230718715160657E-2</v>
      </c>
    </row>
    <row r="1416" spans="1:3" x14ac:dyDescent="0.2">
      <c r="A1416" s="3">
        <v>43970</v>
      </c>
      <c r="B1416" s="2">
        <v>26.38</v>
      </c>
      <c r="C1416" s="2">
        <f t="shared" si="22"/>
        <v>-6.5296384000673127E-2</v>
      </c>
    </row>
    <row r="1417" spans="1:3" x14ac:dyDescent="0.2">
      <c r="A1417" s="3">
        <v>43969</v>
      </c>
      <c r="B1417" s="2">
        <v>28.16</v>
      </c>
      <c r="C1417" s="2">
        <f t="shared" si="22"/>
        <v>5.6980211146377959E-3</v>
      </c>
    </row>
    <row r="1418" spans="1:3" x14ac:dyDescent="0.2">
      <c r="A1418" s="3">
        <v>43966</v>
      </c>
      <c r="B1418" s="2">
        <v>28</v>
      </c>
      <c r="C1418" s="2">
        <f t="shared" si="22"/>
        <v>2.9723101452206278E-2</v>
      </c>
    </row>
    <row r="1419" spans="1:3" x14ac:dyDescent="0.2">
      <c r="A1419" s="3">
        <v>43965</v>
      </c>
      <c r="B1419" s="2">
        <v>27.18</v>
      </c>
      <c r="C1419" s="2">
        <f t="shared" si="22"/>
        <v>2.081859575603209E-2</v>
      </c>
    </row>
    <row r="1420" spans="1:3" x14ac:dyDescent="0.2">
      <c r="A1420" s="3">
        <v>43964</v>
      </c>
      <c r="B1420" s="2">
        <v>26.62</v>
      </c>
      <c r="C1420" s="2">
        <f t="shared" si="22"/>
        <v>1.2093873783246634E-2</v>
      </c>
    </row>
    <row r="1421" spans="1:3" x14ac:dyDescent="0.2">
      <c r="A1421" s="3">
        <v>43963</v>
      </c>
      <c r="B1421" s="2">
        <v>26.3</v>
      </c>
      <c r="C1421" s="2">
        <f t="shared" si="22"/>
        <v>-4.1703734950449552E-2</v>
      </c>
    </row>
    <row r="1422" spans="1:3" x14ac:dyDescent="0.2">
      <c r="A1422" s="3">
        <v>43962</v>
      </c>
      <c r="B1422" s="2">
        <v>27.42</v>
      </c>
      <c r="C1422" s="2">
        <f t="shared" si="22"/>
        <v>1.8403169357641212E-2</v>
      </c>
    </row>
    <row r="1423" spans="1:3" x14ac:dyDescent="0.2">
      <c r="A1423" s="3">
        <v>43959</v>
      </c>
      <c r="B1423" s="2">
        <v>26.92</v>
      </c>
      <c r="C1423" s="2">
        <f t="shared" si="22"/>
        <v>2.4061311160117293E-2</v>
      </c>
    </row>
    <row r="1424" spans="1:3" x14ac:dyDescent="0.2">
      <c r="A1424" s="3">
        <v>43958</v>
      </c>
      <c r="B1424" s="2">
        <v>26.28</v>
      </c>
      <c r="C1424" s="2">
        <f t="shared" si="22"/>
        <v>-2.0339684237122672E-2</v>
      </c>
    </row>
    <row r="1425" spans="1:3" x14ac:dyDescent="0.2">
      <c r="A1425" s="3">
        <v>43957</v>
      </c>
      <c r="B1425" s="2">
        <v>26.82</v>
      </c>
      <c r="C1425" s="2">
        <f t="shared" si="22"/>
        <v>1.5026578759353195E-2</v>
      </c>
    </row>
    <row r="1426" spans="1:3" x14ac:dyDescent="0.2">
      <c r="A1426" s="3">
        <v>43955</v>
      </c>
      <c r="B1426" s="2">
        <v>26.42</v>
      </c>
      <c r="C1426" s="2">
        <f t="shared" si="22"/>
        <v>-6.0377541909199207E-3</v>
      </c>
    </row>
    <row r="1427" spans="1:3" x14ac:dyDescent="0.2">
      <c r="A1427" s="3">
        <v>43951</v>
      </c>
      <c r="B1427" s="2">
        <v>26.58</v>
      </c>
      <c r="C1427" s="2">
        <f t="shared" si="22"/>
        <v>4.5248945982895028E-3</v>
      </c>
    </row>
    <row r="1428" spans="1:3" x14ac:dyDescent="0.2">
      <c r="A1428" s="3">
        <v>43950</v>
      </c>
      <c r="B1428" s="2">
        <v>26.46</v>
      </c>
      <c r="C1428" s="2">
        <f t="shared" si="22"/>
        <v>1.830714744435611E-2</v>
      </c>
    </row>
    <row r="1429" spans="1:3" x14ac:dyDescent="0.2">
      <c r="A1429" s="3">
        <v>43949</v>
      </c>
      <c r="B1429" s="2">
        <v>25.98</v>
      </c>
      <c r="C1429" s="2">
        <f t="shared" si="22"/>
        <v>-9.1954670931002746E-3</v>
      </c>
    </row>
    <row r="1430" spans="1:3" x14ac:dyDescent="0.2">
      <c r="A1430" s="3">
        <v>43948</v>
      </c>
      <c r="B1430" s="2">
        <v>26.22</v>
      </c>
      <c r="C1430" s="2">
        <f t="shared" si="22"/>
        <v>-1.0622254656622761E-2</v>
      </c>
    </row>
    <row r="1431" spans="1:3" x14ac:dyDescent="0.2">
      <c r="A1431" s="3">
        <v>43945</v>
      </c>
      <c r="B1431" s="2">
        <v>26.5</v>
      </c>
      <c r="C1431" s="2">
        <f t="shared" si="22"/>
        <v>2.8321831756023645E-2</v>
      </c>
    </row>
    <row r="1432" spans="1:3" x14ac:dyDescent="0.2">
      <c r="A1432" s="3">
        <v>43944</v>
      </c>
      <c r="B1432" s="2">
        <v>25.76</v>
      </c>
      <c r="C1432" s="2">
        <f t="shared" si="22"/>
        <v>2.0392863563140535E-2</v>
      </c>
    </row>
    <row r="1433" spans="1:3" x14ac:dyDescent="0.2">
      <c r="A1433" s="3">
        <v>43943</v>
      </c>
      <c r="B1433" s="2">
        <v>25.24</v>
      </c>
      <c r="C1433" s="2">
        <f t="shared" si="22"/>
        <v>9.5542128048114912E-3</v>
      </c>
    </row>
    <row r="1434" spans="1:3" x14ac:dyDescent="0.2">
      <c r="A1434" s="3">
        <v>43942</v>
      </c>
      <c r="B1434" s="2">
        <v>25</v>
      </c>
      <c r="C1434" s="2">
        <f t="shared" si="22"/>
        <v>-2.761516703297338E-2</v>
      </c>
    </row>
    <row r="1435" spans="1:3" x14ac:dyDescent="0.2">
      <c r="A1435" s="3">
        <v>43941</v>
      </c>
      <c r="B1435" s="2">
        <v>25.7</v>
      </c>
      <c r="C1435" s="2">
        <f t="shared" si="22"/>
        <v>5.6014641554671306E-2</v>
      </c>
    </row>
    <row r="1436" spans="1:3" x14ac:dyDescent="0.2">
      <c r="A1436" s="3">
        <v>43937</v>
      </c>
      <c r="B1436" s="2">
        <v>24.3</v>
      </c>
      <c r="C1436" s="2">
        <f t="shared" si="22"/>
        <v>-1.2270092591814359E-2</v>
      </c>
    </row>
    <row r="1437" spans="1:3" x14ac:dyDescent="0.2">
      <c r="A1437" s="3">
        <v>43936</v>
      </c>
      <c r="B1437" s="2">
        <v>24.6</v>
      </c>
      <c r="C1437" s="2">
        <f t="shared" si="22"/>
        <v>-5.5350095083164838E-2</v>
      </c>
    </row>
    <row r="1438" spans="1:3" x14ac:dyDescent="0.2">
      <c r="A1438" s="3">
        <v>43935</v>
      </c>
      <c r="B1438" s="2">
        <v>26</v>
      </c>
      <c r="C1438" s="2">
        <f t="shared" si="22"/>
        <v>3.125254350410453E-2</v>
      </c>
    </row>
    <row r="1439" spans="1:3" x14ac:dyDescent="0.2">
      <c r="A1439" s="3">
        <v>43930</v>
      </c>
      <c r="B1439" s="2">
        <v>25.2</v>
      </c>
      <c r="C1439" s="2">
        <f t="shared" si="22"/>
        <v>2.4097551579060524E-2</v>
      </c>
    </row>
    <row r="1440" spans="1:3" x14ac:dyDescent="0.2">
      <c r="A1440" s="3">
        <v>43929</v>
      </c>
      <c r="B1440" s="2">
        <v>24.6</v>
      </c>
      <c r="C1440" s="2">
        <f t="shared" si="22"/>
        <v>3.4742948443872837E-2</v>
      </c>
    </row>
    <row r="1441" spans="1:3" x14ac:dyDescent="0.2">
      <c r="A1441" s="3">
        <v>43928</v>
      </c>
      <c r="B1441" s="2">
        <v>23.76</v>
      </c>
      <c r="C1441" s="2">
        <f t="shared" si="22"/>
        <v>1.6978336534418048E-2</v>
      </c>
    </row>
    <row r="1442" spans="1:3" x14ac:dyDescent="0.2">
      <c r="A1442" s="3">
        <v>43927</v>
      </c>
      <c r="B1442" s="2">
        <v>23.36</v>
      </c>
      <c r="C1442" s="2">
        <f t="shared" si="22"/>
        <v>4.1964199099032207E-2</v>
      </c>
    </row>
    <row r="1443" spans="1:3" x14ac:dyDescent="0.2">
      <c r="A1443" s="3">
        <v>43924</v>
      </c>
      <c r="B1443" s="2">
        <v>22.4</v>
      </c>
      <c r="C1443" s="2">
        <f t="shared" si="22"/>
        <v>-1.7699577099400975E-2</v>
      </c>
    </row>
    <row r="1444" spans="1:3" x14ac:dyDescent="0.2">
      <c r="A1444" s="3">
        <v>43923</v>
      </c>
      <c r="B1444" s="2">
        <v>22.8</v>
      </c>
      <c r="C1444" s="2">
        <f t="shared" si="22"/>
        <v>5.8707600826777909E-2</v>
      </c>
    </row>
    <row r="1445" spans="1:3" x14ac:dyDescent="0.2">
      <c r="A1445" s="3">
        <v>43922</v>
      </c>
      <c r="B1445" s="2">
        <v>21.5</v>
      </c>
      <c r="C1445" s="2">
        <f t="shared" si="22"/>
        <v>-2.2080013841858266E-2</v>
      </c>
    </row>
    <row r="1446" spans="1:3" x14ac:dyDescent="0.2">
      <c r="A1446" s="3">
        <v>43921</v>
      </c>
      <c r="B1446" s="2">
        <v>21.98</v>
      </c>
      <c r="C1446" s="2">
        <f t="shared" si="22"/>
        <v>4.5610511252052274E-2</v>
      </c>
    </row>
    <row r="1447" spans="1:3" x14ac:dyDescent="0.2">
      <c r="A1447" s="3">
        <v>43920</v>
      </c>
      <c r="B1447" s="2">
        <v>21</v>
      </c>
      <c r="C1447" s="2">
        <f t="shared" si="22"/>
        <v>-4.0136045024969494E-2</v>
      </c>
    </row>
    <row r="1448" spans="1:3" x14ac:dyDescent="0.2">
      <c r="A1448" s="3">
        <v>43917</v>
      </c>
      <c r="B1448" s="2">
        <v>21.86</v>
      </c>
      <c r="C1448" s="2">
        <f t="shared" si="22"/>
        <v>2.0333417728789722E-2</v>
      </c>
    </row>
    <row r="1449" spans="1:3" x14ac:dyDescent="0.2">
      <c r="A1449" s="3">
        <v>43916</v>
      </c>
      <c r="B1449" s="2">
        <v>21.42</v>
      </c>
      <c r="C1449" s="2">
        <f t="shared" si="22"/>
        <v>2.9372078312330532E-2</v>
      </c>
    </row>
    <row r="1450" spans="1:3" x14ac:dyDescent="0.2">
      <c r="A1450" s="3">
        <v>43915</v>
      </c>
      <c r="B1450" s="2">
        <v>20.8</v>
      </c>
      <c r="C1450" s="2">
        <f t="shared" si="22"/>
        <v>1.160554612030811E-2</v>
      </c>
    </row>
    <row r="1451" spans="1:3" x14ac:dyDescent="0.2">
      <c r="A1451" s="3">
        <v>43914</v>
      </c>
      <c r="B1451" s="2">
        <v>20.56</v>
      </c>
      <c r="C1451" s="2">
        <f t="shared" si="22"/>
        <v>5.242028595194427E-2</v>
      </c>
    </row>
    <row r="1452" spans="1:3" x14ac:dyDescent="0.2">
      <c r="A1452" s="3">
        <v>43913</v>
      </c>
      <c r="B1452" s="2">
        <v>19.510000000000002</v>
      </c>
      <c r="C1452" s="2">
        <f t="shared" si="22"/>
        <v>-9.7125780498597228E-2</v>
      </c>
    </row>
    <row r="1453" spans="1:3" x14ac:dyDescent="0.2">
      <c r="A1453" s="3">
        <v>43910</v>
      </c>
      <c r="B1453" s="2">
        <v>21.5</v>
      </c>
      <c r="C1453" s="2">
        <f t="shared" si="22"/>
        <v>-2.2989518224698718E-2</v>
      </c>
    </row>
    <row r="1454" spans="1:3" x14ac:dyDescent="0.2">
      <c r="A1454" s="3">
        <v>43909</v>
      </c>
      <c r="B1454" s="2">
        <v>22</v>
      </c>
      <c r="C1454" s="2">
        <f t="shared" si="22"/>
        <v>1.7423641147253692E-2</v>
      </c>
    </row>
    <row r="1455" spans="1:3" x14ac:dyDescent="0.2">
      <c r="A1455" s="3">
        <v>43908</v>
      </c>
      <c r="B1455" s="2">
        <v>21.62</v>
      </c>
      <c r="C1455" s="2">
        <f t="shared" si="22"/>
        <v>-3.1864325302047906E-2</v>
      </c>
    </row>
    <row r="1456" spans="1:3" x14ac:dyDescent="0.2">
      <c r="A1456" s="3">
        <v>43906</v>
      </c>
      <c r="B1456" s="2">
        <v>22.32</v>
      </c>
      <c r="C1456" s="2">
        <f t="shared" si="22"/>
        <v>2.724964244737554E-2</v>
      </c>
    </row>
    <row r="1457" spans="1:3" x14ac:dyDescent="0.2">
      <c r="A1457" s="3">
        <v>43903</v>
      </c>
      <c r="B1457" s="2">
        <v>21.72</v>
      </c>
      <c r="C1457" s="2">
        <f t="shared" si="22"/>
        <v>6.3679467271155962E-2</v>
      </c>
    </row>
    <row r="1458" spans="1:3" x14ac:dyDescent="0.2">
      <c r="A1458" s="3">
        <v>43902</v>
      </c>
      <c r="B1458" s="2">
        <v>20.38</v>
      </c>
      <c r="C1458" s="2">
        <f t="shared" si="22"/>
        <v>-0.11919954365678706</v>
      </c>
    </row>
    <row r="1459" spans="1:3" x14ac:dyDescent="0.2">
      <c r="A1459" s="3">
        <v>43901</v>
      </c>
      <c r="B1459" s="2">
        <v>22.96</v>
      </c>
      <c r="C1459" s="2">
        <f t="shared" si="22"/>
        <v>2.2908490796870122E-2</v>
      </c>
    </row>
    <row r="1460" spans="1:3" x14ac:dyDescent="0.2">
      <c r="A1460" s="3">
        <v>43900</v>
      </c>
      <c r="B1460" s="2">
        <v>22.44</v>
      </c>
      <c r="C1460" s="2">
        <f t="shared" si="22"/>
        <v>-1.5915455305899457E-2</v>
      </c>
    </row>
    <row r="1461" spans="1:3" x14ac:dyDescent="0.2">
      <c r="A1461" s="3">
        <v>43899</v>
      </c>
      <c r="B1461" s="2">
        <v>22.8</v>
      </c>
      <c r="C1461" s="2">
        <f t="shared" si="22"/>
        <v>-8.166083100394661E-2</v>
      </c>
    </row>
    <row r="1462" spans="1:3" x14ac:dyDescent="0.2">
      <c r="A1462" s="3">
        <v>43896</v>
      </c>
      <c r="B1462" s="2">
        <v>24.74</v>
      </c>
      <c r="C1462" s="2">
        <f t="shared" si="22"/>
        <v>-3.2284128121194341E-3</v>
      </c>
    </row>
    <row r="1463" spans="1:3" x14ac:dyDescent="0.2">
      <c r="A1463" s="3">
        <v>43895</v>
      </c>
      <c r="B1463" s="2">
        <v>24.82</v>
      </c>
      <c r="C1463" s="2">
        <f t="shared" si="22"/>
        <v>-4.7984037563907268E-2</v>
      </c>
    </row>
    <row r="1464" spans="1:3" x14ac:dyDescent="0.2">
      <c r="A1464" s="3">
        <v>43894</v>
      </c>
      <c r="B1464" s="2">
        <v>26.04</v>
      </c>
      <c r="C1464" s="2">
        <f t="shared" si="22"/>
        <v>-3.2492469267424877E-2</v>
      </c>
    </row>
    <row r="1465" spans="1:3" x14ac:dyDescent="0.2">
      <c r="A1465" s="3">
        <v>43893</v>
      </c>
      <c r="B1465" s="2">
        <v>26.9</v>
      </c>
      <c r="C1465" s="2">
        <f t="shared" si="22"/>
        <v>8.9619718572307421E-3</v>
      </c>
    </row>
    <row r="1466" spans="1:3" x14ac:dyDescent="0.2">
      <c r="A1466" s="3">
        <v>43892</v>
      </c>
      <c r="B1466" s="2">
        <v>26.66</v>
      </c>
      <c r="C1466" s="2">
        <f t="shared" si="22"/>
        <v>-2.5186516545240841E-2</v>
      </c>
    </row>
    <row r="1467" spans="1:3" x14ac:dyDescent="0.2">
      <c r="A1467" s="3">
        <v>43889</v>
      </c>
      <c r="B1467" s="2">
        <v>27.34</v>
      </c>
      <c r="C1467" s="2">
        <f t="shared" si="22"/>
        <v>-5.6182565994760465E-2</v>
      </c>
    </row>
    <row r="1468" spans="1:3" x14ac:dyDescent="0.2">
      <c r="A1468" s="3">
        <v>43888</v>
      </c>
      <c r="B1468" s="2">
        <v>28.92</v>
      </c>
      <c r="C1468" s="2">
        <f t="shared" si="22"/>
        <v>-1.4418375424271712E-2</v>
      </c>
    </row>
    <row r="1469" spans="1:3" x14ac:dyDescent="0.2">
      <c r="A1469" s="3">
        <v>43887</v>
      </c>
      <c r="B1469" s="2">
        <v>29.34</v>
      </c>
      <c r="C1469" s="2">
        <f t="shared" si="22"/>
        <v>6.8189569638482249E-4</v>
      </c>
    </row>
    <row r="1470" spans="1:3" x14ac:dyDescent="0.2">
      <c r="A1470" s="3">
        <v>43886</v>
      </c>
      <c r="B1470" s="2">
        <v>29.32</v>
      </c>
      <c r="C1470" s="2">
        <f t="shared" si="22"/>
        <v>-2.4259949877483249E-2</v>
      </c>
    </row>
    <row r="1471" spans="1:3" x14ac:dyDescent="0.2">
      <c r="A1471" s="3">
        <v>43885</v>
      </c>
      <c r="B1471" s="2">
        <v>30.04</v>
      </c>
      <c r="C1471" s="2">
        <f t="shared" si="22"/>
        <v>-4.8092438093744444E-2</v>
      </c>
    </row>
    <row r="1472" spans="1:3" x14ac:dyDescent="0.2">
      <c r="A1472" s="3">
        <v>43882</v>
      </c>
      <c r="B1472" s="2">
        <v>31.52</v>
      </c>
      <c r="C1472" s="2">
        <f t="shared" si="22"/>
        <v>-1.3862855908395621E-2</v>
      </c>
    </row>
    <row r="1473" spans="1:3" x14ac:dyDescent="0.2">
      <c r="A1473" s="3">
        <v>43881</v>
      </c>
      <c r="B1473" s="2">
        <v>31.96</v>
      </c>
      <c r="C1473" s="2">
        <f t="shared" si="22"/>
        <v>-3.7476621002397615E-3</v>
      </c>
    </row>
    <row r="1474" spans="1:3" x14ac:dyDescent="0.2">
      <c r="A1474" s="3">
        <v>43880</v>
      </c>
      <c r="B1474" s="2">
        <v>32.08</v>
      </c>
      <c r="C1474" s="2">
        <f t="shared" si="22"/>
        <v>2.4614685452206162E-2</v>
      </c>
    </row>
    <row r="1475" spans="1:3" x14ac:dyDescent="0.2">
      <c r="A1475" s="3">
        <v>43879</v>
      </c>
      <c r="B1475" s="2">
        <v>31.3</v>
      </c>
      <c r="C1475" s="2">
        <f t="shared" ref="C1475:C1538" si="23">+LN(B1475/B1476)</f>
        <v>-1.9614675035500496E-2</v>
      </c>
    </row>
    <row r="1476" spans="1:3" x14ac:dyDescent="0.2">
      <c r="A1476" s="3">
        <v>43878</v>
      </c>
      <c r="B1476" s="2">
        <v>31.92</v>
      </c>
      <c r="C1476" s="2">
        <f t="shared" si="23"/>
        <v>7.9520705260472127E-2</v>
      </c>
    </row>
    <row r="1477" spans="1:3" x14ac:dyDescent="0.2">
      <c r="A1477" s="3">
        <v>43875</v>
      </c>
      <c r="B1477" s="2">
        <v>29.48</v>
      </c>
      <c r="C1477" s="2">
        <f t="shared" si="23"/>
        <v>6.662119495598022E-2</v>
      </c>
    </row>
    <row r="1478" spans="1:3" x14ac:dyDescent="0.2">
      <c r="A1478" s="3">
        <v>43874</v>
      </c>
      <c r="B1478" s="2">
        <v>27.58</v>
      </c>
      <c r="C1478" s="2">
        <f t="shared" si="23"/>
        <v>-1.7966706792454629E-2</v>
      </c>
    </row>
    <row r="1479" spans="1:3" x14ac:dyDescent="0.2">
      <c r="A1479" s="3">
        <v>43873</v>
      </c>
      <c r="B1479" s="2">
        <v>28.08</v>
      </c>
      <c r="C1479" s="2">
        <f t="shared" si="23"/>
        <v>4.2826617920007281E-3</v>
      </c>
    </row>
    <row r="1480" spans="1:3" x14ac:dyDescent="0.2">
      <c r="A1480" s="3">
        <v>43872</v>
      </c>
      <c r="B1480" s="2">
        <v>27.96</v>
      </c>
      <c r="C1480" s="2">
        <f t="shared" si="23"/>
        <v>2.2424086069806056E-2</v>
      </c>
    </row>
    <row r="1481" spans="1:3" x14ac:dyDescent="0.2">
      <c r="A1481" s="3">
        <v>43871</v>
      </c>
      <c r="B1481" s="2">
        <v>27.34</v>
      </c>
      <c r="C1481" s="2">
        <f t="shared" si="23"/>
        <v>-2.1921820982210472E-3</v>
      </c>
    </row>
    <row r="1482" spans="1:3" x14ac:dyDescent="0.2">
      <c r="A1482" s="3">
        <v>43868</v>
      </c>
      <c r="B1482" s="2">
        <v>27.4</v>
      </c>
      <c r="C1482" s="2">
        <f t="shared" si="23"/>
        <v>-7.9971345871216338E-3</v>
      </c>
    </row>
    <row r="1483" spans="1:3" x14ac:dyDescent="0.2">
      <c r="A1483" s="3">
        <v>43867</v>
      </c>
      <c r="B1483" s="2">
        <v>27.62</v>
      </c>
      <c r="C1483" s="2">
        <f t="shared" si="23"/>
        <v>-7.9336874850728205E-3</v>
      </c>
    </row>
    <row r="1484" spans="1:3" x14ac:dyDescent="0.2">
      <c r="A1484" s="3">
        <v>43866</v>
      </c>
      <c r="B1484" s="2">
        <v>27.84</v>
      </c>
      <c r="C1484" s="2">
        <f t="shared" si="23"/>
        <v>2.4728532775723434E-2</v>
      </c>
    </row>
    <row r="1485" spans="1:3" x14ac:dyDescent="0.2">
      <c r="A1485" s="3">
        <v>43865</v>
      </c>
      <c r="B1485" s="2">
        <v>27.16</v>
      </c>
      <c r="C1485" s="2">
        <f t="shared" si="23"/>
        <v>2.9897593056188877E-2</v>
      </c>
    </row>
    <row r="1486" spans="1:3" x14ac:dyDescent="0.2">
      <c r="A1486" s="3">
        <v>43864</v>
      </c>
      <c r="B1486" s="2">
        <v>26.36</v>
      </c>
      <c r="C1486" s="2">
        <f t="shared" si="23"/>
        <v>3.4739116505046054E-2</v>
      </c>
    </row>
    <row r="1487" spans="1:3" x14ac:dyDescent="0.2">
      <c r="A1487" s="3">
        <v>43861</v>
      </c>
      <c r="B1487" s="2">
        <v>25.46</v>
      </c>
      <c r="C1487" s="2">
        <f t="shared" si="23"/>
        <v>-3.7769421854225105E-2</v>
      </c>
    </row>
    <row r="1488" spans="1:3" x14ac:dyDescent="0.2">
      <c r="A1488" s="3">
        <v>43860</v>
      </c>
      <c r="B1488" s="2">
        <v>26.44</v>
      </c>
      <c r="C1488" s="2">
        <f t="shared" si="23"/>
        <v>-5.1595820482733284E-2</v>
      </c>
    </row>
    <row r="1489" spans="1:3" x14ac:dyDescent="0.2">
      <c r="A1489" s="3">
        <v>43859</v>
      </c>
      <c r="B1489" s="2">
        <v>27.84</v>
      </c>
      <c r="C1489" s="2">
        <f t="shared" si="23"/>
        <v>1.9587133275304779E-2</v>
      </c>
    </row>
    <row r="1490" spans="1:3" x14ac:dyDescent="0.2">
      <c r="A1490" s="3">
        <v>43858</v>
      </c>
      <c r="B1490" s="2">
        <v>27.3</v>
      </c>
      <c r="C1490" s="2">
        <f t="shared" si="23"/>
        <v>2.9347049675940221E-3</v>
      </c>
    </row>
    <row r="1491" spans="1:3" x14ac:dyDescent="0.2">
      <c r="A1491" s="3">
        <v>43857</v>
      </c>
      <c r="B1491" s="2">
        <v>27.22</v>
      </c>
      <c r="C1491" s="2">
        <f t="shared" si="23"/>
        <v>-4.0322237039214365E-2</v>
      </c>
    </row>
    <row r="1492" spans="1:3" x14ac:dyDescent="0.2">
      <c r="A1492" s="3">
        <v>43854</v>
      </c>
      <c r="B1492" s="2">
        <v>28.34</v>
      </c>
      <c r="C1492" s="2">
        <f t="shared" si="23"/>
        <v>7.0596543701540132E-4</v>
      </c>
    </row>
    <row r="1493" spans="1:3" x14ac:dyDescent="0.2">
      <c r="A1493" s="3">
        <v>43853</v>
      </c>
      <c r="B1493" s="2">
        <v>28.32</v>
      </c>
      <c r="C1493" s="2">
        <f t="shared" si="23"/>
        <v>-1.9581045199106393E-2</v>
      </c>
    </row>
    <row r="1494" spans="1:3" x14ac:dyDescent="0.2">
      <c r="A1494" s="3">
        <v>43852</v>
      </c>
      <c r="B1494" s="2">
        <v>28.88</v>
      </c>
      <c r="C1494" s="2">
        <f t="shared" si="23"/>
        <v>-1.3840832659385636E-3</v>
      </c>
    </row>
    <row r="1495" spans="1:3" x14ac:dyDescent="0.2">
      <c r="A1495" s="3">
        <v>43851</v>
      </c>
      <c r="B1495" s="2">
        <v>28.92</v>
      </c>
      <c r="C1495" s="2">
        <f t="shared" si="23"/>
        <v>-5.5172553747545169E-3</v>
      </c>
    </row>
    <row r="1496" spans="1:3" x14ac:dyDescent="0.2">
      <c r="A1496" s="3">
        <v>43850</v>
      </c>
      <c r="B1496" s="2">
        <v>29.08</v>
      </c>
      <c r="C1496" s="2">
        <f t="shared" si="23"/>
        <v>6.9013386406931807E-3</v>
      </c>
    </row>
    <row r="1497" spans="1:3" x14ac:dyDescent="0.2">
      <c r="A1497" s="3">
        <v>43847</v>
      </c>
      <c r="B1497" s="2">
        <v>28.88</v>
      </c>
      <c r="C1497" s="2">
        <f t="shared" si="23"/>
        <v>-7.5888601528214337E-3</v>
      </c>
    </row>
    <row r="1498" spans="1:3" x14ac:dyDescent="0.2">
      <c r="A1498" s="3">
        <v>43846</v>
      </c>
      <c r="B1498" s="2">
        <v>29.1</v>
      </c>
      <c r="C1498" s="2">
        <f t="shared" si="23"/>
        <v>7.5888601528213322E-3</v>
      </c>
    </row>
    <row r="1499" spans="1:3" x14ac:dyDescent="0.2">
      <c r="A1499" s="3">
        <v>43845</v>
      </c>
      <c r="B1499" s="2">
        <v>28.88</v>
      </c>
      <c r="C1499" s="2">
        <f t="shared" si="23"/>
        <v>4.1637811717795143E-3</v>
      </c>
    </row>
    <row r="1500" spans="1:3" x14ac:dyDescent="0.2">
      <c r="A1500" s="3">
        <v>43844</v>
      </c>
      <c r="B1500" s="2">
        <v>28.76</v>
      </c>
      <c r="C1500" s="2">
        <f t="shared" si="23"/>
        <v>-6.9516860637585602E-4</v>
      </c>
    </row>
    <row r="1501" spans="1:3" x14ac:dyDescent="0.2">
      <c r="A1501" s="3">
        <v>43843</v>
      </c>
      <c r="B1501" s="2">
        <v>28.78</v>
      </c>
      <c r="C1501" s="2">
        <f t="shared" si="23"/>
        <v>1.1884096524181669E-2</v>
      </c>
    </row>
    <row r="1502" spans="1:3" x14ac:dyDescent="0.2">
      <c r="A1502" s="3">
        <v>43840</v>
      </c>
      <c r="B1502" s="2">
        <v>28.44</v>
      </c>
      <c r="C1502" s="2">
        <f t="shared" si="23"/>
        <v>-1.5352709089585317E-2</v>
      </c>
    </row>
    <row r="1503" spans="1:3" x14ac:dyDescent="0.2">
      <c r="A1503" s="3">
        <v>43839</v>
      </c>
      <c r="B1503" s="2">
        <v>28.88</v>
      </c>
      <c r="C1503" s="2">
        <f t="shared" si="23"/>
        <v>1.3245226750020505E-2</v>
      </c>
    </row>
    <row r="1504" spans="1:3" x14ac:dyDescent="0.2">
      <c r="A1504" s="3">
        <v>43838</v>
      </c>
      <c r="B1504" s="2">
        <v>28.5</v>
      </c>
      <c r="C1504" s="2">
        <f t="shared" si="23"/>
        <v>-7.6896569054185869E-3</v>
      </c>
    </row>
    <row r="1505" spans="1:3" x14ac:dyDescent="0.2">
      <c r="A1505" s="3">
        <v>43837</v>
      </c>
      <c r="B1505" s="2">
        <v>28.72</v>
      </c>
      <c r="C1505" s="2">
        <f t="shared" si="23"/>
        <v>1.6854331554982182E-2</v>
      </c>
    </row>
    <row r="1506" spans="1:3" x14ac:dyDescent="0.2">
      <c r="A1506" s="3">
        <v>43836</v>
      </c>
      <c r="B1506" s="2">
        <v>28.24</v>
      </c>
      <c r="C1506" s="2">
        <f t="shared" si="23"/>
        <v>-1.7550468025837589E-2</v>
      </c>
    </row>
    <row r="1507" spans="1:3" x14ac:dyDescent="0.2">
      <c r="A1507" s="3">
        <v>43833</v>
      </c>
      <c r="B1507" s="2">
        <v>28.74</v>
      </c>
      <c r="C1507" s="2">
        <f t="shared" si="23"/>
        <v>1.7550468025837439E-2</v>
      </c>
    </row>
    <row r="1508" spans="1:3" x14ac:dyDescent="0.2">
      <c r="A1508" s="3">
        <v>43826</v>
      </c>
      <c r="B1508" s="2">
        <v>28.24</v>
      </c>
      <c r="C1508" s="2">
        <f t="shared" si="23"/>
        <v>1.4174346809733152E-3</v>
      </c>
    </row>
    <row r="1509" spans="1:3" x14ac:dyDescent="0.2">
      <c r="A1509" s="3">
        <v>43822</v>
      </c>
      <c r="B1509" s="2">
        <v>28.2</v>
      </c>
      <c r="C1509" s="2">
        <f t="shared" si="23"/>
        <v>9.9787000498960509E-3</v>
      </c>
    </row>
    <row r="1510" spans="1:3" x14ac:dyDescent="0.2">
      <c r="A1510" s="3">
        <v>43819</v>
      </c>
      <c r="B1510" s="2">
        <v>27.92</v>
      </c>
      <c r="C1510" s="2">
        <f t="shared" si="23"/>
        <v>3.5880913988748475E-3</v>
      </c>
    </row>
    <row r="1511" spans="1:3" x14ac:dyDescent="0.2">
      <c r="A1511" s="3">
        <v>43818</v>
      </c>
      <c r="B1511" s="2">
        <v>27.82</v>
      </c>
      <c r="C1511" s="2">
        <f t="shared" si="23"/>
        <v>-7.1864897092202519E-4</v>
      </c>
    </row>
    <row r="1512" spans="1:3" x14ac:dyDescent="0.2">
      <c r="A1512" s="3">
        <v>43817</v>
      </c>
      <c r="B1512" s="2">
        <v>27.84</v>
      </c>
      <c r="C1512" s="2">
        <f t="shared" si="23"/>
        <v>-4.3010818993906973E-3</v>
      </c>
    </row>
    <row r="1513" spans="1:3" x14ac:dyDescent="0.2">
      <c r="A1513" s="3">
        <v>43816</v>
      </c>
      <c r="B1513" s="2">
        <v>27.96</v>
      </c>
      <c r="C1513" s="2">
        <f t="shared" si="23"/>
        <v>-9.2560290590583353E-3</v>
      </c>
    </row>
    <row r="1514" spans="1:3" x14ac:dyDescent="0.2">
      <c r="A1514" s="3">
        <v>43812</v>
      </c>
      <c r="B1514" s="2">
        <v>28.22</v>
      </c>
      <c r="C1514" s="2">
        <f t="shared" si="23"/>
        <v>1.6434810786064097E-2</v>
      </c>
    </row>
    <row r="1515" spans="1:3" x14ac:dyDescent="0.2">
      <c r="A1515" s="3">
        <v>43811</v>
      </c>
      <c r="B1515" s="2">
        <v>27.76</v>
      </c>
      <c r="C1515" s="2">
        <f t="shared" si="23"/>
        <v>1.7442302663342388E-2</v>
      </c>
    </row>
    <row r="1516" spans="1:3" x14ac:dyDescent="0.2">
      <c r="A1516" s="3">
        <v>43810</v>
      </c>
      <c r="B1516" s="2">
        <v>27.28</v>
      </c>
      <c r="C1516" s="2">
        <f t="shared" si="23"/>
        <v>-5.1188411589069786E-3</v>
      </c>
    </row>
    <row r="1517" spans="1:3" x14ac:dyDescent="0.2">
      <c r="A1517" s="3">
        <v>43809</v>
      </c>
      <c r="B1517" s="2">
        <v>27.42</v>
      </c>
      <c r="C1517" s="2">
        <f t="shared" si="23"/>
        <v>-1.6636911758154672E-2</v>
      </c>
    </row>
    <row r="1518" spans="1:3" x14ac:dyDescent="0.2">
      <c r="A1518" s="3">
        <v>43805</v>
      </c>
      <c r="B1518" s="2">
        <v>27.88</v>
      </c>
      <c r="C1518" s="2">
        <f t="shared" si="23"/>
        <v>3.593248566125265E-3</v>
      </c>
    </row>
    <row r="1519" spans="1:3" x14ac:dyDescent="0.2">
      <c r="A1519" s="3">
        <v>43803</v>
      </c>
      <c r="B1519" s="2">
        <v>27.78</v>
      </c>
      <c r="C1519" s="2">
        <f t="shared" si="23"/>
        <v>5.0523384267284928E-3</v>
      </c>
    </row>
    <row r="1520" spans="1:3" x14ac:dyDescent="0.2">
      <c r="A1520" s="3">
        <v>43802</v>
      </c>
      <c r="B1520" s="2">
        <v>27.64</v>
      </c>
      <c r="C1520" s="2">
        <f t="shared" si="23"/>
        <v>-7.9279694521904327E-3</v>
      </c>
    </row>
    <row r="1521" spans="1:3" x14ac:dyDescent="0.2">
      <c r="A1521" s="3">
        <v>43801</v>
      </c>
      <c r="B1521" s="2">
        <v>27.86</v>
      </c>
      <c r="C1521" s="2">
        <f t="shared" si="23"/>
        <v>-1.778773331226708E-2</v>
      </c>
    </row>
    <row r="1522" spans="1:3" x14ac:dyDescent="0.2">
      <c r="A1522" s="3">
        <v>43798</v>
      </c>
      <c r="B1522" s="2">
        <v>28.36</v>
      </c>
      <c r="C1522" s="2">
        <f t="shared" si="23"/>
        <v>-1.1917421101648621E-2</v>
      </c>
    </row>
    <row r="1523" spans="1:3" x14ac:dyDescent="0.2">
      <c r="A1523" s="3">
        <v>43797</v>
      </c>
      <c r="B1523" s="2">
        <v>28.7</v>
      </c>
      <c r="C1523" s="2">
        <f t="shared" si="23"/>
        <v>7.6950362218004128E-3</v>
      </c>
    </row>
    <row r="1524" spans="1:3" x14ac:dyDescent="0.2">
      <c r="A1524" s="3">
        <v>43796</v>
      </c>
      <c r="B1524" s="2">
        <v>28.48</v>
      </c>
      <c r="C1524" s="2">
        <f t="shared" si="23"/>
        <v>2.4885749217577274E-2</v>
      </c>
    </row>
    <row r="1525" spans="1:3" x14ac:dyDescent="0.2">
      <c r="A1525" s="3">
        <v>43795</v>
      </c>
      <c r="B1525" s="2">
        <v>27.78</v>
      </c>
      <c r="C1525" s="2">
        <f t="shared" si="23"/>
        <v>1.3043663192029398E-2</v>
      </c>
    </row>
    <row r="1526" spans="1:3" x14ac:dyDescent="0.2">
      <c r="A1526" s="3">
        <v>43794</v>
      </c>
      <c r="B1526" s="2">
        <v>27.42</v>
      </c>
      <c r="C1526" s="2">
        <f t="shared" si="23"/>
        <v>3.2619645230107033E-2</v>
      </c>
    </row>
    <row r="1527" spans="1:3" x14ac:dyDescent="0.2">
      <c r="A1527" s="3">
        <v>43790</v>
      </c>
      <c r="B1527" s="2">
        <v>26.54</v>
      </c>
      <c r="C1527" s="2">
        <f t="shared" si="23"/>
        <v>-1.1985162191030116E-2</v>
      </c>
    </row>
    <row r="1528" spans="1:3" x14ac:dyDescent="0.2">
      <c r="A1528" s="3">
        <v>43789</v>
      </c>
      <c r="B1528" s="2">
        <v>26.86</v>
      </c>
      <c r="C1528" s="2">
        <f t="shared" si="23"/>
        <v>-1.1107111595403936E-2</v>
      </c>
    </row>
    <row r="1529" spans="1:3" x14ac:dyDescent="0.2">
      <c r="A1529" s="3">
        <v>43788</v>
      </c>
      <c r="B1529" s="2">
        <v>27.16</v>
      </c>
      <c r="C1529" s="2">
        <f t="shared" si="23"/>
        <v>1.1107111595403896E-2</v>
      </c>
    </row>
    <row r="1530" spans="1:3" x14ac:dyDescent="0.2">
      <c r="A1530" s="3">
        <v>43787</v>
      </c>
      <c r="B1530" s="2">
        <v>26.86</v>
      </c>
      <c r="C1530" s="2">
        <f t="shared" si="23"/>
        <v>-5.9391414369612721E-3</v>
      </c>
    </row>
    <row r="1531" spans="1:3" x14ac:dyDescent="0.2">
      <c r="A1531" s="3">
        <v>43784</v>
      </c>
      <c r="B1531" s="2">
        <v>27.02</v>
      </c>
      <c r="C1531" s="2">
        <f t="shared" si="23"/>
        <v>8.9219922690263291E-3</v>
      </c>
    </row>
    <row r="1532" spans="1:3" x14ac:dyDescent="0.2">
      <c r="A1532" s="3">
        <v>43783</v>
      </c>
      <c r="B1532" s="2">
        <v>26.78</v>
      </c>
      <c r="C1532" s="2">
        <f t="shared" si="23"/>
        <v>-1.7765086005360121E-2</v>
      </c>
    </row>
    <row r="1533" spans="1:3" x14ac:dyDescent="0.2">
      <c r="A1533" s="3">
        <v>43782</v>
      </c>
      <c r="B1533" s="2">
        <v>27.26</v>
      </c>
      <c r="C1533" s="2">
        <f t="shared" si="23"/>
        <v>-8.0380410857620356E-3</v>
      </c>
    </row>
    <row r="1534" spans="1:3" x14ac:dyDescent="0.2">
      <c r="A1534" s="3">
        <v>43781</v>
      </c>
      <c r="B1534" s="2">
        <v>27.48</v>
      </c>
      <c r="C1534" s="2">
        <f t="shared" si="23"/>
        <v>1.3187004281953681E-2</v>
      </c>
    </row>
    <row r="1535" spans="1:3" x14ac:dyDescent="0.2">
      <c r="A1535" s="3">
        <v>43780</v>
      </c>
      <c r="B1535" s="2">
        <v>27.12</v>
      </c>
      <c r="C1535" s="2">
        <f t="shared" si="23"/>
        <v>-7.347571630394522E-3</v>
      </c>
    </row>
    <row r="1536" spans="1:3" x14ac:dyDescent="0.2">
      <c r="A1536" s="3">
        <v>43777</v>
      </c>
      <c r="B1536" s="2">
        <v>27.32</v>
      </c>
      <c r="C1536" s="2">
        <f t="shared" si="23"/>
        <v>1.4749529926062207E-2</v>
      </c>
    </row>
    <row r="1537" spans="1:3" x14ac:dyDescent="0.2">
      <c r="A1537" s="3">
        <v>43776</v>
      </c>
      <c r="B1537" s="2">
        <v>26.92</v>
      </c>
      <c r="C1537" s="2">
        <f t="shared" si="23"/>
        <v>1.4970339458865462E-2</v>
      </c>
    </row>
    <row r="1538" spans="1:3" x14ac:dyDescent="0.2">
      <c r="A1538" s="3">
        <v>43775</v>
      </c>
      <c r="B1538" s="2">
        <v>26.52</v>
      </c>
      <c r="C1538" s="2">
        <f t="shared" si="23"/>
        <v>9.0909717012518845E-3</v>
      </c>
    </row>
    <row r="1539" spans="1:3" x14ac:dyDescent="0.2">
      <c r="A1539" s="3">
        <v>43774</v>
      </c>
      <c r="B1539" s="2">
        <v>26.28</v>
      </c>
      <c r="C1539" s="2">
        <f t="shared" ref="C1539:C1602" si="24">+LN(B1539/B1540)</f>
        <v>1.2251301780520585E-2</v>
      </c>
    </row>
    <row r="1540" spans="1:3" x14ac:dyDescent="0.2">
      <c r="A1540" s="3">
        <v>43773</v>
      </c>
      <c r="B1540" s="2">
        <v>25.96</v>
      </c>
      <c r="C1540" s="2">
        <f t="shared" si="24"/>
        <v>3.8481387138457702E-2</v>
      </c>
    </row>
    <row r="1541" spans="1:3" x14ac:dyDescent="0.2">
      <c r="A1541" s="3">
        <v>43770</v>
      </c>
      <c r="B1541" s="2">
        <v>24.98</v>
      </c>
      <c r="C1541" s="2">
        <f t="shared" si="24"/>
        <v>1.695640141849002E-2</v>
      </c>
    </row>
    <row r="1542" spans="1:3" x14ac:dyDescent="0.2">
      <c r="A1542" s="3">
        <v>43769</v>
      </c>
      <c r="B1542" s="2">
        <v>24.56</v>
      </c>
      <c r="C1542" s="2">
        <f t="shared" si="24"/>
        <v>1.0642752932438871E-2</v>
      </c>
    </row>
    <row r="1543" spans="1:3" x14ac:dyDescent="0.2">
      <c r="A1543" s="3">
        <v>43768</v>
      </c>
      <c r="B1543" s="2">
        <v>24.3</v>
      </c>
      <c r="C1543" s="2">
        <f t="shared" si="24"/>
        <v>-2.9998195885394912E-2</v>
      </c>
    </row>
    <row r="1544" spans="1:3" x14ac:dyDescent="0.2">
      <c r="A1544" s="3">
        <v>43767</v>
      </c>
      <c r="B1544" s="2">
        <v>25.04</v>
      </c>
      <c r="C1544" s="2">
        <f t="shared" si="24"/>
        <v>-2.5237932589862649E-2</v>
      </c>
    </row>
    <row r="1545" spans="1:3" x14ac:dyDescent="0.2">
      <c r="A1545" s="3">
        <v>43766</v>
      </c>
      <c r="B1545" s="2">
        <v>25.68</v>
      </c>
      <c r="C1545" s="2">
        <f t="shared" si="24"/>
        <v>2.2844632684022072E-2</v>
      </c>
    </row>
    <row r="1546" spans="1:3" x14ac:dyDescent="0.2">
      <c r="A1546" s="3">
        <v>43763</v>
      </c>
      <c r="B1546" s="2">
        <v>25.1</v>
      </c>
      <c r="C1546" s="2">
        <f t="shared" si="24"/>
        <v>-2.4401053231680323E-2</v>
      </c>
    </row>
    <row r="1547" spans="1:3" x14ac:dyDescent="0.2">
      <c r="A1547" s="3">
        <v>43762</v>
      </c>
      <c r="B1547" s="2">
        <v>25.72</v>
      </c>
      <c r="C1547" s="2">
        <f t="shared" si="24"/>
        <v>1.2519725344927849E-2</v>
      </c>
    </row>
    <row r="1548" spans="1:3" x14ac:dyDescent="0.2">
      <c r="A1548" s="3">
        <v>43761</v>
      </c>
      <c r="B1548" s="2">
        <v>25.4</v>
      </c>
      <c r="C1548" s="2">
        <f t="shared" si="24"/>
        <v>-1.0184185162999486E-2</v>
      </c>
    </row>
    <row r="1549" spans="1:3" x14ac:dyDescent="0.2">
      <c r="A1549" s="3">
        <v>43760</v>
      </c>
      <c r="B1549" s="2">
        <v>25.66</v>
      </c>
      <c r="C1549" s="2">
        <f t="shared" si="24"/>
        <v>1.0971896901248782E-2</v>
      </c>
    </row>
    <row r="1550" spans="1:3" x14ac:dyDescent="0.2">
      <c r="A1550" s="3">
        <v>43759</v>
      </c>
      <c r="B1550" s="2">
        <v>25.38</v>
      </c>
      <c r="C1550" s="2">
        <f t="shared" si="24"/>
        <v>1.1093616148503259E-2</v>
      </c>
    </row>
    <row r="1551" spans="1:3" x14ac:dyDescent="0.2">
      <c r="A1551" s="3">
        <v>43756</v>
      </c>
      <c r="B1551" s="2">
        <v>25.1</v>
      </c>
      <c r="C1551" s="2">
        <f t="shared" si="24"/>
        <v>-2.8281539280758213E-2</v>
      </c>
    </row>
    <row r="1552" spans="1:3" x14ac:dyDescent="0.2">
      <c r="A1552" s="3">
        <v>43755</v>
      </c>
      <c r="B1552" s="2">
        <v>25.82</v>
      </c>
      <c r="C1552" s="2">
        <f t="shared" si="24"/>
        <v>-2.2214624733773929E-2</v>
      </c>
    </row>
    <row r="1553" spans="1:3" x14ac:dyDescent="0.2">
      <c r="A1553" s="3">
        <v>43754</v>
      </c>
      <c r="B1553" s="2">
        <v>26.4</v>
      </c>
      <c r="C1553" s="2">
        <f t="shared" si="24"/>
        <v>2.7651531330509949E-2</v>
      </c>
    </row>
    <row r="1554" spans="1:3" x14ac:dyDescent="0.2">
      <c r="A1554" s="3">
        <v>43753</v>
      </c>
      <c r="B1554" s="2">
        <v>25.68</v>
      </c>
      <c r="C1554" s="2">
        <f t="shared" si="24"/>
        <v>-8.0042707673536495E-2</v>
      </c>
    </row>
    <row r="1555" spans="1:3" x14ac:dyDescent="0.2">
      <c r="A1555" s="3">
        <v>43749</v>
      </c>
      <c r="B1555" s="2">
        <v>27.82</v>
      </c>
      <c r="C1555" s="2">
        <f t="shared" si="24"/>
        <v>2.3273777772299171E-2</v>
      </c>
    </row>
    <row r="1556" spans="1:3" x14ac:dyDescent="0.2">
      <c r="A1556" s="3">
        <v>43748</v>
      </c>
      <c r="B1556" s="2">
        <v>27.18</v>
      </c>
      <c r="C1556" s="2">
        <f t="shared" si="24"/>
        <v>6.6445427186685108E-3</v>
      </c>
    </row>
    <row r="1557" spans="1:3" x14ac:dyDescent="0.2">
      <c r="A1557" s="3">
        <v>43747</v>
      </c>
      <c r="B1557" s="2">
        <v>27</v>
      </c>
      <c r="C1557" s="2">
        <f t="shared" si="24"/>
        <v>4.4543503493803746E-3</v>
      </c>
    </row>
    <row r="1558" spans="1:3" x14ac:dyDescent="0.2">
      <c r="A1558" s="3">
        <v>43746</v>
      </c>
      <c r="B1558" s="2">
        <v>26.88</v>
      </c>
      <c r="C1558" s="2">
        <f t="shared" si="24"/>
        <v>-1.9160497739075744E-2</v>
      </c>
    </row>
    <row r="1559" spans="1:3" x14ac:dyDescent="0.2">
      <c r="A1559" s="3">
        <v>43745</v>
      </c>
      <c r="B1559" s="2">
        <v>27.4</v>
      </c>
      <c r="C1559" s="2">
        <f t="shared" si="24"/>
        <v>-7.2966074014385433E-4</v>
      </c>
    </row>
    <row r="1560" spans="1:3" x14ac:dyDescent="0.2">
      <c r="A1560" s="3">
        <v>43742</v>
      </c>
      <c r="B1560" s="2">
        <v>27.42</v>
      </c>
      <c r="C1560" s="2">
        <f t="shared" si="24"/>
        <v>1.9146387526375101E-2</v>
      </c>
    </row>
    <row r="1561" spans="1:3" x14ac:dyDescent="0.2">
      <c r="A1561" s="3">
        <v>43741</v>
      </c>
      <c r="B1561" s="2">
        <v>26.9</v>
      </c>
      <c r="C1561" s="2">
        <f t="shared" si="24"/>
        <v>-6.6691614362808429E-3</v>
      </c>
    </row>
    <row r="1562" spans="1:3" x14ac:dyDescent="0.2">
      <c r="A1562" s="3">
        <v>43740</v>
      </c>
      <c r="B1562" s="2">
        <v>27.08</v>
      </c>
      <c r="C1562" s="2">
        <f t="shared" si="24"/>
        <v>-3.1263905784741634E-2</v>
      </c>
    </row>
    <row r="1563" spans="1:3" x14ac:dyDescent="0.2">
      <c r="A1563" s="3">
        <v>43739</v>
      </c>
      <c r="B1563" s="2">
        <v>27.94</v>
      </c>
      <c r="C1563" s="2">
        <f t="shared" si="24"/>
        <v>-3.7236476157658183E-2</v>
      </c>
    </row>
    <row r="1564" spans="1:3" x14ac:dyDescent="0.2">
      <c r="A1564" s="3">
        <v>43738</v>
      </c>
      <c r="B1564" s="2">
        <v>29</v>
      </c>
      <c r="C1564" s="2">
        <f t="shared" si="24"/>
        <v>6.920442844573757E-3</v>
      </c>
    </row>
    <row r="1565" spans="1:3" x14ac:dyDescent="0.2">
      <c r="A1565" s="3">
        <v>43735</v>
      </c>
      <c r="B1565" s="2">
        <v>28.8</v>
      </c>
      <c r="C1565" s="2">
        <f t="shared" si="24"/>
        <v>2.1762880671366169E-2</v>
      </c>
    </row>
    <row r="1566" spans="1:3" x14ac:dyDescent="0.2">
      <c r="A1566" s="3">
        <v>43734</v>
      </c>
      <c r="B1566" s="2">
        <v>28.18</v>
      </c>
      <c r="C1566" s="2">
        <f t="shared" si="24"/>
        <v>1.1420538118874628E-2</v>
      </c>
    </row>
    <row r="1567" spans="1:3" x14ac:dyDescent="0.2">
      <c r="A1567" s="3">
        <v>43733</v>
      </c>
      <c r="B1567" s="2">
        <v>27.86</v>
      </c>
      <c r="C1567" s="2">
        <f t="shared" si="24"/>
        <v>-1.0000083334583422E-2</v>
      </c>
    </row>
    <row r="1568" spans="1:3" x14ac:dyDescent="0.2">
      <c r="A1568" s="3">
        <v>43732</v>
      </c>
      <c r="B1568" s="2">
        <v>28.14</v>
      </c>
      <c r="C1568" s="2">
        <f t="shared" si="24"/>
        <v>-2.1299262578248533E-3</v>
      </c>
    </row>
    <row r="1569" spans="1:3" x14ac:dyDescent="0.2">
      <c r="A1569" s="3">
        <v>43731</v>
      </c>
      <c r="B1569" s="2">
        <v>28.2</v>
      </c>
      <c r="C1569" s="2">
        <f t="shared" si="24"/>
        <v>-2.0358723515153929E-2</v>
      </c>
    </row>
    <row r="1570" spans="1:3" x14ac:dyDescent="0.2">
      <c r="A1570" s="3">
        <v>43728</v>
      </c>
      <c r="B1570" s="2">
        <v>28.78</v>
      </c>
      <c r="C1570" s="2">
        <f t="shared" si="24"/>
        <v>-6.9468568267848504E-4</v>
      </c>
    </row>
    <row r="1571" spans="1:3" x14ac:dyDescent="0.2">
      <c r="A1571" s="3">
        <v>43727</v>
      </c>
      <c r="B1571" s="2">
        <v>28.8</v>
      </c>
      <c r="C1571" s="2">
        <f t="shared" si="24"/>
        <v>6.269613013595395E-3</v>
      </c>
    </row>
    <row r="1572" spans="1:3" x14ac:dyDescent="0.2">
      <c r="A1572" s="3">
        <v>43726</v>
      </c>
      <c r="B1572" s="2">
        <v>28.62</v>
      </c>
      <c r="C1572" s="2">
        <f t="shared" si="24"/>
        <v>6.9905630249782072E-4</v>
      </c>
    </row>
    <row r="1573" spans="1:3" x14ac:dyDescent="0.2">
      <c r="A1573" s="3">
        <v>43725</v>
      </c>
      <c r="B1573" s="2">
        <v>28.6</v>
      </c>
      <c r="C1573" s="2">
        <f t="shared" si="24"/>
        <v>-7.6628727455691371E-3</v>
      </c>
    </row>
    <row r="1574" spans="1:3" x14ac:dyDescent="0.2">
      <c r="A1574" s="3">
        <v>43724</v>
      </c>
      <c r="B1574" s="2">
        <v>28.82</v>
      </c>
      <c r="C1574" s="2">
        <f t="shared" si="24"/>
        <v>-5.5363463211602513E-3</v>
      </c>
    </row>
    <row r="1575" spans="1:3" x14ac:dyDescent="0.2">
      <c r="A1575" s="3">
        <v>43721</v>
      </c>
      <c r="B1575" s="2">
        <v>28.98</v>
      </c>
      <c r="C1575" s="2">
        <f t="shared" si="24"/>
        <v>1.2500162764231468E-2</v>
      </c>
    </row>
    <row r="1576" spans="1:3" x14ac:dyDescent="0.2">
      <c r="A1576" s="3">
        <v>43720</v>
      </c>
      <c r="B1576" s="2">
        <v>28.62</v>
      </c>
      <c r="C1576" s="2">
        <f t="shared" si="24"/>
        <v>4.2016868536999766E-3</v>
      </c>
    </row>
    <row r="1577" spans="1:3" x14ac:dyDescent="0.2">
      <c r="A1577" s="3">
        <v>43719</v>
      </c>
      <c r="B1577" s="2">
        <v>28.5</v>
      </c>
      <c r="C1577" s="2">
        <f t="shared" si="24"/>
        <v>3.1363939293458792E-2</v>
      </c>
    </row>
    <row r="1578" spans="1:3" x14ac:dyDescent="0.2">
      <c r="A1578" s="3">
        <v>43718</v>
      </c>
      <c r="B1578" s="2">
        <v>27.62</v>
      </c>
      <c r="C1578" s="2">
        <f t="shared" si="24"/>
        <v>-1.0803129913025698E-2</v>
      </c>
    </row>
    <row r="1579" spans="1:3" x14ac:dyDescent="0.2">
      <c r="A1579" s="3">
        <v>43717</v>
      </c>
      <c r="B1579" s="2">
        <v>27.92</v>
      </c>
      <c r="C1579" s="2">
        <f t="shared" si="24"/>
        <v>2.3189444918910354E-2</v>
      </c>
    </row>
    <row r="1580" spans="1:3" x14ac:dyDescent="0.2">
      <c r="A1580" s="3">
        <v>43714</v>
      </c>
      <c r="B1580" s="2">
        <v>27.28</v>
      </c>
      <c r="C1580" s="2">
        <f t="shared" si="24"/>
        <v>1.1799546931155031E-2</v>
      </c>
    </row>
    <row r="1581" spans="1:3" x14ac:dyDescent="0.2">
      <c r="A1581" s="3">
        <v>43713</v>
      </c>
      <c r="B1581" s="2">
        <v>26.96</v>
      </c>
      <c r="C1581" s="2">
        <f t="shared" si="24"/>
        <v>1.947627106062072E-2</v>
      </c>
    </row>
    <row r="1582" spans="1:3" x14ac:dyDescent="0.2">
      <c r="A1582" s="3">
        <v>43712</v>
      </c>
      <c r="B1582" s="2">
        <v>26.44</v>
      </c>
      <c r="C1582" s="2">
        <f t="shared" si="24"/>
        <v>1.7551003741032068E-2</v>
      </c>
    </row>
    <row r="1583" spans="1:3" x14ac:dyDescent="0.2">
      <c r="A1583" s="3">
        <v>43711</v>
      </c>
      <c r="B1583" s="2">
        <v>25.98</v>
      </c>
      <c r="C1583" s="2">
        <f t="shared" si="24"/>
        <v>4.6296378987421968E-3</v>
      </c>
    </row>
    <row r="1584" spans="1:3" x14ac:dyDescent="0.2">
      <c r="A1584" s="3">
        <v>43710</v>
      </c>
      <c r="B1584" s="2">
        <v>25.86</v>
      </c>
      <c r="C1584" s="2">
        <f t="shared" si="24"/>
        <v>-3.0888055445864788E-3</v>
      </c>
    </row>
    <row r="1585" spans="1:3" x14ac:dyDescent="0.2">
      <c r="A1585" s="3">
        <v>43707</v>
      </c>
      <c r="B1585" s="2">
        <v>25.94</v>
      </c>
      <c r="C1585" s="2">
        <f t="shared" si="24"/>
        <v>1.0073700066537482E-2</v>
      </c>
    </row>
    <row r="1586" spans="1:3" x14ac:dyDescent="0.2">
      <c r="A1586" s="3">
        <v>43706</v>
      </c>
      <c r="B1586" s="2">
        <v>25.68</v>
      </c>
      <c r="C1586" s="2">
        <f t="shared" si="24"/>
        <v>2.5237932589862754E-2</v>
      </c>
    </row>
    <row r="1587" spans="1:3" x14ac:dyDescent="0.2">
      <c r="A1587" s="3">
        <v>43705</v>
      </c>
      <c r="B1587" s="2">
        <v>25.04</v>
      </c>
      <c r="C1587" s="2">
        <f t="shared" si="24"/>
        <v>-8.7475706904473777E-3</v>
      </c>
    </row>
    <row r="1588" spans="1:3" x14ac:dyDescent="0.2">
      <c r="A1588" s="3">
        <v>43704</v>
      </c>
      <c r="B1588" s="2">
        <v>25.26</v>
      </c>
      <c r="C1588" s="2">
        <f t="shared" si="24"/>
        <v>1.1146612224913425E-2</v>
      </c>
    </row>
    <row r="1589" spans="1:3" x14ac:dyDescent="0.2">
      <c r="A1589" s="3">
        <v>43703</v>
      </c>
      <c r="B1589" s="2">
        <v>24.98</v>
      </c>
      <c r="C1589" s="2">
        <f t="shared" si="24"/>
        <v>-3.9952110672882204E-3</v>
      </c>
    </row>
    <row r="1590" spans="1:3" x14ac:dyDescent="0.2">
      <c r="A1590" s="3">
        <v>43700</v>
      </c>
      <c r="B1590" s="2">
        <v>25.08</v>
      </c>
      <c r="C1590" s="2">
        <f t="shared" si="24"/>
        <v>-2.3641763057040539E-2</v>
      </c>
    </row>
    <row r="1591" spans="1:3" x14ac:dyDescent="0.2">
      <c r="A1591" s="3">
        <v>43699</v>
      </c>
      <c r="B1591" s="2">
        <v>25.68</v>
      </c>
      <c r="C1591" s="2">
        <f t="shared" si="24"/>
        <v>-3.1104224143925024E-3</v>
      </c>
    </row>
    <row r="1592" spans="1:3" x14ac:dyDescent="0.2">
      <c r="A1592" s="3">
        <v>43698</v>
      </c>
      <c r="B1592" s="2">
        <v>25.76</v>
      </c>
      <c r="C1592" s="2">
        <f t="shared" si="24"/>
        <v>3.2349960984262564E-2</v>
      </c>
    </row>
    <row r="1593" spans="1:3" x14ac:dyDescent="0.2">
      <c r="A1593" s="3">
        <v>43697</v>
      </c>
      <c r="B1593" s="2">
        <v>24.94</v>
      </c>
      <c r="C1593" s="2">
        <f t="shared" si="24"/>
        <v>-7.9872629102109138E-3</v>
      </c>
    </row>
    <row r="1594" spans="1:3" x14ac:dyDescent="0.2">
      <c r="A1594" s="3">
        <v>43696</v>
      </c>
      <c r="B1594" s="2">
        <v>25.14</v>
      </c>
      <c r="C1594" s="2">
        <f t="shared" si="24"/>
        <v>2.5787085611420152E-2</v>
      </c>
    </row>
    <row r="1595" spans="1:3" x14ac:dyDescent="0.2">
      <c r="A1595" s="3">
        <v>43693</v>
      </c>
      <c r="B1595" s="2">
        <v>24.5</v>
      </c>
      <c r="C1595" s="2">
        <f t="shared" si="24"/>
        <v>5.7306747089850745E-3</v>
      </c>
    </row>
    <row r="1596" spans="1:3" x14ac:dyDescent="0.2">
      <c r="A1596" s="3">
        <v>43691</v>
      </c>
      <c r="B1596" s="2">
        <v>24.36</v>
      </c>
      <c r="C1596" s="2">
        <f t="shared" si="24"/>
        <v>-3.0721898758301704E-2</v>
      </c>
    </row>
    <row r="1597" spans="1:3" x14ac:dyDescent="0.2">
      <c r="A1597" s="3">
        <v>43690</v>
      </c>
      <c r="B1597" s="2">
        <v>25.12</v>
      </c>
      <c r="C1597" s="2">
        <f t="shared" si="24"/>
        <v>1.362746539900146E-2</v>
      </c>
    </row>
    <row r="1598" spans="1:3" x14ac:dyDescent="0.2">
      <c r="A1598" s="3">
        <v>43689</v>
      </c>
      <c r="B1598" s="2">
        <v>24.78</v>
      </c>
      <c r="C1598" s="2">
        <f t="shared" si="24"/>
        <v>-6.4360640508940034E-3</v>
      </c>
    </row>
    <row r="1599" spans="1:3" x14ac:dyDescent="0.2">
      <c r="A1599" s="3">
        <v>43686</v>
      </c>
      <c r="B1599" s="2">
        <v>24.94</v>
      </c>
      <c r="C1599" s="2">
        <f t="shared" si="24"/>
        <v>-2.7680691800578847E-2</v>
      </c>
    </row>
    <row r="1600" spans="1:3" x14ac:dyDescent="0.2">
      <c r="A1600" s="3">
        <v>43685</v>
      </c>
      <c r="B1600" s="2">
        <v>25.64</v>
      </c>
      <c r="C1600" s="2">
        <f t="shared" si="24"/>
        <v>3.3309978881532858E-2</v>
      </c>
    </row>
    <row r="1601" spans="1:3" x14ac:dyDescent="0.2">
      <c r="A1601" s="3">
        <v>43684</v>
      </c>
      <c r="B1601" s="2">
        <v>24.8</v>
      </c>
      <c r="C1601" s="2">
        <f t="shared" si="24"/>
        <v>-7.2318515264950889E-3</v>
      </c>
    </row>
    <row r="1602" spans="1:3" x14ac:dyDescent="0.2">
      <c r="A1602" s="3">
        <v>43683</v>
      </c>
      <c r="B1602" s="2">
        <v>24.98</v>
      </c>
      <c r="C1602" s="2">
        <f t="shared" si="24"/>
        <v>-4.4625799710798747E-2</v>
      </c>
    </row>
    <row r="1603" spans="1:3" x14ac:dyDescent="0.2">
      <c r="A1603" s="3">
        <v>43682</v>
      </c>
      <c r="B1603" s="2">
        <v>26.12</v>
      </c>
      <c r="C1603" s="2">
        <f t="shared" ref="C1603:C1666" si="25">+LN(B1603/B1604)</f>
        <v>4.3825479540029515E-2</v>
      </c>
    </row>
    <row r="1604" spans="1:3" x14ac:dyDescent="0.2">
      <c r="A1604" s="3">
        <v>43679</v>
      </c>
      <c r="B1604" s="2">
        <v>25</v>
      </c>
      <c r="C1604" s="2">
        <f t="shared" si="25"/>
        <v>-2.0586633608388322E-2</v>
      </c>
    </row>
    <row r="1605" spans="1:3" x14ac:dyDescent="0.2">
      <c r="A1605" s="3">
        <v>43678</v>
      </c>
      <c r="B1605" s="2">
        <v>25.52</v>
      </c>
      <c r="C1605" s="2">
        <f t="shared" si="25"/>
        <v>1.2618463959211464E-2</v>
      </c>
    </row>
    <row r="1606" spans="1:3" x14ac:dyDescent="0.2">
      <c r="A1606" s="3">
        <v>43676</v>
      </c>
      <c r="B1606" s="2">
        <v>25.2</v>
      </c>
      <c r="C1606" s="2">
        <f t="shared" si="25"/>
        <v>-2.5853378826333782E-2</v>
      </c>
    </row>
    <row r="1607" spans="1:3" x14ac:dyDescent="0.2">
      <c r="A1607" s="3">
        <v>43675</v>
      </c>
      <c r="B1607" s="2">
        <v>25.86</v>
      </c>
      <c r="C1607" s="2">
        <f t="shared" si="25"/>
        <v>-6.9364439966570985E-3</v>
      </c>
    </row>
    <row r="1608" spans="1:3" x14ac:dyDescent="0.2">
      <c r="A1608" s="3">
        <v>43672</v>
      </c>
      <c r="B1608" s="2">
        <v>26.04</v>
      </c>
      <c r="C1608" s="2">
        <f t="shared" si="25"/>
        <v>7.6834425600916332E-4</v>
      </c>
    </row>
    <row r="1609" spans="1:3" x14ac:dyDescent="0.2">
      <c r="A1609" s="3">
        <v>43671</v>
      </c>
      <c r="B1609" s="2">
        <v>26.02</v>
      </c>
      <c r="C1609" s="2">
        <f t="shared" si="25"/>
        <v>-1.7524257984448295E-2</v>
      </c>
    </row>
    <row r="1610" spans="1:3" x14ac:dyDescent="0.2">
      <c r="A1610" s="3">
        <v>43670</v>
      </c>
      <c r="B1610" s="2">
        <v>26.48</v>
      </c>
      <c r="C1610" s="2">
        <f t="shared" si="25"/>
        <v>1.5220994010355388E-2</v>
      </c>
    </row>
    <row r="1611" spans="1:3" x14ac:dyDescent="0.2">
      <c r="A1611" s="3">
        <v>43669</v>
      </c>
      <c r="B1611" s="2">
        <v>26.08</v>
      </c>
      <c r="C1611" s="2">
        <f t="shared" si="25"/>
        <v>6.1538655743780656E-3</v>
      </c>
    </row>
    <row r="1612" spans="1:3" x14ac:dyDescent="0.2">
      <c r="A1612" s="3">
        <v>43668</v>
      </c>
      <c r="B1612" s="2">
        <v>25.92</v>
      </c>
      <c r="C1612" s="2">
        <f t="shared" si="25"/>
        <v>-7.7130740422386992E-4</v>
      </c>
    </row>
    <row r="1613" spans="1:3" x14ac:dyDescent="0.2">
      <c r="A1613" s="3">
        <v>43665</v>
      </c>
      <c r="B1613" s="2">
        <v>25.94</v>
      </c>
      <c r="C1613" s="2">
        <f t="shared" si="25"/>
        <v>-9.9732318787532394E-3</v>
      </c>
    </row>
    <row r="1614" spans="1:3" x14ac:dyDescent="0.2">
      <c r="A1614" s="3">
        <v>43664</v>
      </c>
      <c r="B1614" s="2">
        <v>26.2</v>
      </c>
      <c r="C1614" s="2">
        <f t="shared" si="25"/>
        <v>-1.2139754550610546E-2</v>
      </c>
    </row>
    <row r="1615" spans="1:3" x14ac:dyDescent="0.2">
      <c r="A1615" s="3">
        <v>43663</v>
      </c>
      <c r="B1615" s="2">
        <v>26.52</v>
      </c>
      <c r="C1615" s="2">
        <f t="shared" si="25"/>
        <v>-1.0502722199149288E-2</v>
      </c>
    </row>
    <row r="1616" spans="1:3" x14ac:dyDescent="0.2">
      <c r="A1616" s="3">
        <v>43662</v>
      </c>
      <c r="B1616" s="2">
        <v>26.8</v>
      </c>
      <c r="C1616" s="2">
        <f t="shared" si="25"/>
        <v>9.7488586127496748E-3</v>
      </c>
    </row>
    <row r="1617" spans="1:3" x14ac:dyDescent="0.2">
      <c r="A1617" s="3">
        <v>43661</v>
      </c>
      <c r="B1617" s="2">
        <v>26.54</v>
      </c>
      <c r="C1617" s="2">
        <f t="shared" si="25"/>
        <v>1.5186320707985519E-2</v>
      </c>
    </row>
    <row r="1618" spans="1:3" x14ac:dyDescent="0.2">
      <c r="A1618" s="3">
        <v>43658</v>
      </c>
      <c r="B1618" s="2">
        <v>26.14</v>
      </c>
      <c r="C1618" s="2">
        <f t="shared" si="25"/>
        <v>3.8328908557073607E-3</v>
      </c>
    </row>
    <row r="1619" spans="1:3" x14ac:dyDescent="0.2">
      <c r="A1619" s="3">
        <v>43657</v>
      </c>
      <c r="B1619" s="2">
        <v>26.04</v>
      </c>
      <c r="C1619" s="2">
        <f t="shared" si="25"/>
        <v>-1.7510915651808071E-2</v>
      </c>
    </row>
    <row r="1620" spans="1:3" x14ac:dyDescent="0.2">
      <c r="A1620" s="3">
        <v>43656</v>
      </c>
      <c r="B1620" s="2">
        <v>26.5</v>
      </c>
      <c r="C1620" s="2">
        <f t="shared" si="25"/>
        <v>-3.0143202929227013E-3</v>
      </c>
    </row>
    <row r="1621" spans="1:3" x14ac:dyDescent="0.2">
      <c r="A1621" s="3">
        <v>43655</v>
      </c>
      <c r="B1621" s="2">
        <v>26.58</v>
      </c>
      <c r="C1621" s="2">
        <f t="shared" si="25"/>
        <v>-2.5261372983287449E-2</v>
      </c>
    </row>
    <row r="1622" spans="1:3" x14ac:dyDescent="0.2">
      <c r="A1622" s="3">
        <v>43654</v>
      </c>
      <c r="B1622" s="2">
        <v>27.26</v>
      </c>
      <c r="C1622" s="2">
        <f t="shared" si="25"/>
        <v>-9.4925867967563179E-3</v>
      </c>
    </row>
    <row r="1623" spans="1:3" x14ac:dyDescent="0.2">
      <c r="A1623" s="3">
        <v>43651</v>
      </c>
      <c r="B1623" s="2">
        <v>27.52</v>
      </c>
      <c r="C1623" s="2">
        <f t="shared" si="25"/>
        <v>-3.7094124406240707E-2</v>
      </c>
    </row>
    <row r="1624" spans="1:3" x14ac:dyDescent="0.2">
      <c r="A1624" s="3">
        <v>43650</v>
      </c>
      <c r="B1624" s="2">
        <v>28.56</v>
      </c>
      <c r="C1624" s="2">
        <f t="shared" si="25"/>
        <v>3.5641691325925838E-2</v>
      </c>
    </row>
    <row r="1625" spans="1:3" x14ac:dyDescent="0.2">
      <c r="A1625" s="3">
        <v>43649</v>
      </c>
      <c r="B1625" s="2">
        <v>27.56</v>
      </c>
      <c r="C1625" s="2">
        <f t="shared" si="25"/>
        <v>-2.8985527540114154E-3</v>
      </c>
    </row>
    <row r="1626" spans="1:3" x14ac:dyDescent="0.2">
      <c r="A1626" s="3">
        <v>43648</v>
      </c>
      <c r="B1626" s="2">
        <v>27.64</v>
      </c>
      <c r="C1626" s="2">
        <f t="shared" si="25"/>
        <v>2.1207376156827211E-2</v>
      </c>
    </row>
    <row r="1627" spans="1:3" x14ac:dyDescent="0.2">
      <c r="A1627" s="3">
        <v>43644</v>
      </c>
      <c r="B1627" s="2">
        <v>27.06</v>
      </c>
      <c r="C1627" s="2">
        <f t="shared" si="25"/>
        <v>1.7897569457542666E-2</v>
      </c>
    </row>
    <row r="1628" spans="1:3" x14ac:dyDescent="0.2">
      <c r="A1628" s="3">
        <v>43643</v>
      </c>
      <c r="B1628" s="2">
        <v>26.58</v>
      </c>
      <c r="C1628" s="2">
        <f t="shared" si="25"/>
        <v>-1.5037596818663988E-3</v>
      </c>
    </row>
    <row r="1629" spans="1:3" x14ac:dyDescent="0.2">
      <c r="A1629" s="3">
        <v>43641</v>
      </c>
      <c r="B1629" s="2">
        <v>26.62</v>
      </c>
      <c r="C1629" s="2">
        <f t="shared" si="25"/>
        <v>-1.3433037812644278E-2</v>
      </c>
    </row>
    <row r="1630" spans="1:3" x14ac:dyDescent="0.2">
      <c r="A1630" s="3">
        <v>43640</v>
      </c>
      <c r="B1630" s="2">
        <v>26.98</v>
      </c>
      <c r="C1630" s="2">
        <f t="shared" si="25"/>
        <v>-8.8561464437101507E-3</v>
      </c>
    </row>
    <row r="1631" spans="1:3" x14ac:dyDescent="0.2">
      <c r="A1631" s="3">
        <v>43637</v>
      </c>
      <c r="B1631" s="2">
        <v>27.22</v>
      </c>
      <c r="C1631" s="2">
        <f t="shared" si="25"/>
        <v>-2.9347049675941361E-3</v>
      </c>
    </row>
    <row r="1632" spans="1:3" x14ac:dyDescent="0.2">
      <c r="A1632" s="3">
        <v>43636</v>
      </c>
      <c r="B1632" s="2">
        <v>27.3</v>
      </c>
      <c r="C1632" s="2">
        <f t="shared" si="25"/>
        <v>2.2002209096025592E-3</v>
      </c>
    </row>
    <row r="1633" spans="1:3" x14ac:dyDescent="0.2">
      <c r="A1633" s="3">
        <v>43635</v>
      </c>
      <c r="B1633" s="2">
        <v>27.24</v>
      </c>
      <c r="C1633" s="2">
        <f t="shared" si="25"/>
        <v>-7.3394498707500815E-4</v>
      </c>
    </row>
    <row r="1634" spans="1:3" x14ac:dyDescent="0.2">
      <c r="A1634" s="3">
        <v>43634</v>
      </c>
      <c r="B1634" s="2">
        <v>27.26</v>
      </c>
      <c r="C1634" s="2">
        <f t="shared" si="25"/>
        <v>1.4782235173295157E-2</v>
      </c>
    </row>
    <row r="1635" spans="1:3" x14ac:dyDescent="0.2">
      <c r="A1635" s="3">
        <v>43633</v>
      </c>
      <c r="B1635" s="2">
        <v>26.86</v>
      </c>
      <c r="C1635" s="2">
        <f t="shared" si="25"/>
        <v>8.9753781281258528E-3</v>
      </c>
    </row>
    <row r="1636" spans="1:3" x14ac:dyDescent="0.2">
      <c r="A1636" s="3">
        <v>43630</v>
      </c>
      <c r="B1636" s="2">
        <v>26.62</v>
      </c>
      <c r="C1636" s="2">
        <f t="shared" si="25"/>
        <v>-2.8150006893337173E-2</v>
      </c>
    </row>
    <row r="1637" spans="1:3" x14ac:dyDescent="0.2">
      <c r="A1637" s="3">
        <v>43628</v>
      </c>
      <c r="B1637" s="2">
        <v>27.38</v>
      </c>
      <c r="C1637" s="2">
        <f t="shared" si="25"/>
        <v>-1.3783315778300997E-2</v>
      </c>
    </row>
    <row r="1638" spans="1:3" x14ac:dyDescent="0.2">
      <c r="A1638" s="3">
        <v>43626</v>
      </c>
      <c r="B1638" s="2">
        <v>27.76</v>
      </c>
      <c r="C1638" s="2">
        <f t="shared" si="25"/>
        <v>1.6709433447689645E-2</v>
      </c>
    </row>
    <row r="1639" spans="1:3" x14ac:dyDescent="0.2">
      <c r="A1639" s="3">
        <v>43623</v>
      </c>
      <c r="B1639" s="2">
        <v>27.3</v>
      </c>
      <c r="C1639" s="2">
        <f t="shared" si="25"/>
        <v>8.0912541468398172E-3</v>
      </c>
    </row>
    <row r="1640" spans="1:3" x14ac:dyDescent="0.2">
      <c r="A1640" s="3">
        <v>43622</v>
      </c>
      <c r="B1640" s="2">
        <v>27.08</v>
      </c>
      <c r="C1640" s="2">
        <f t="shared" si="25"/>
        <v>1.0393560527263082E-2</v>
      </c>
    </row>
    <row r="1641" spans="1:3" x14ac:dyDescent="0.2">
      <c r="A1641" s="3">
        <v>43621</v>
      </c>
      <c r="B1641" s="2">
        <v>26.8</v>
      </c>
      <c r="C1641" s="2">
        <f t="shared" si="25"/>
        <v>4.4876664693879768E-3</v>
      </c>
    </row>
    <row r="1642" spans="1:3" x14ac:dyDescent="0.2">
      <c r="A1642" s="3">
        <v>43620</v>
      </c>
      <c r="B1642" s="2">
        <v>26.68</v>
      </c>
      <c r="C1642" s="2">
        <f t="shared" si="25"/>
        <v>1.2066511413116486E-2</v>
      </c>
    </row>
    <row r="1643" spans="1:3" x14ac:dyDescent="0.2">
      <c r="A1643" s="3">
        <v>43619</v>
      </c>
      <c r="B1643" s="2">
        <v>26.36</v>
      </c>
      <c r="C1643" s="2">
        <f t="shared" si="25"/>
        <v>7.616183045308509E-3</v>
      </c>
    </row>
    <row r="1644" spans="1:3" x14ac:dyDescent="0.2">
      <c r="A1644" s="3">
        <v>43616</v>
      </c>
      <c r="B1644" s="2">
        <v>26.16</v>
      </c>
      <c r="C1644" s="2">
        <f t="shared" si="25"/>
        <v>-1.5278841780531757E-3</v>
      </c>
    </row>
    <row r="1645" spans="1:3" x14ac:dyDescent="0.2">
      <c r="A1645" s="3">
        <v>43615</v>
      </c>
      <c r="B1645" s="2">
        <v>26.2</v>
      </c>
      <c r="C1645" s="2">
        <f t="shared" si="25"/>
        <v>-2.1895929495975321E-2</v>
      </c>
    </row>
    <row r="1646" spans="1:3" x14ac:dyDescent="0.2">
      <c r="A1646" s="3">
        <v>43614</v>
      </c>
      <c r="B1646" s="2">
        <v>26.78</v>
      </c>
      <c r="C1646" s="2">
        <f t="shared" si="25"/>
        <v>-2.7257672802116457E-2</v>
      </c>
    </row>
    <row r="1647" spans="1:3" x14ac:dyDescent="0.2">
      <c r="A1647" s="3">
        <v>43613</v>
      </c>
      <c r="B1647" s="2">
        <v>27.52</v>
      </c>
      <c r="C1647" s="2">
        <f t="shared" si="25"/>
        <v>5.1001932048401252E-3</v>
      </c>
    </row>
    <row r="1648" spans="1:3" x14ac:dyDescent="0.2">
      <c r="A1648" s="3">
        <v>43612</v>
      </c>
      <c r="B1648" s="2">
        <v>27.38</v>
      </c>
      <c r="C1648" s="2">
        <f t="shared" si="25"/>
        <v>-2.1889829973817192E-3</v>
      </c>
    </row>
    <row r="1649" spans="1:3" x14ac:dyDescent="0.2">
      <c r="A1649" s="3">
        <v>43608</v>
      </c>
      <c r="B1649" s="2">
        <v>27.44</v>
      </c>
      <c r="C1649" s="2">
        <f t="shared" si="25"/>
        <v>-1.2314534468513228E-2</v>
      </c>
    </row>
    <row r="1650" spans="1:3" x14ac:dyDescent="0.2">
      <c r="A1650" s="3">
        <v>43607</v>
      </c>
      <c r="B1650" s="2">
        <v>27.78</v>
      </c>
      <c r="C1650" s="2">
        <f t="shared" si="25"/>
        <v>1.3773323932173292E-2</v>
      </c>
    </row>
    <row r="1651" spans="1:3" x14ac:dyDescent="0.2">
      <c r="A1651" s="3">
        <v>43606</v>
      </c>
      <c r="B1651" s="2">
        <v>27.4</v>
      </c>
      <c r="C1651" s="2">
        <f t="shared" si="25"/>
        <v>2.064970129054354E-2</v>
      </c>
    </row>
    <row r="1652" spans="1:3" x14ac:dyDescent="0.2">
      <c r="A1652" s="3">
        <v>43605</v>
      </c>
      <c r="B1652" s="2">
        <v>26.84</v>
      </c>
      <c r="C1652" s="2">
        <f t="shared" si="25"/>
        <v>-3.8733376723838836E-2</v>
      </c>
    </row>
    <row r="1653" spans="1:3" x14ac:dyDescent="0.2">
      <c r="A1653" s="3">
        <v>43602</v>
      </c>
      <c r="B1653" s="2">
        <v>27.9</v>
      </c>
      <c r="C1653" s="2">
        <f t="shared" si="25"/>
        <v>-7.1658906685194391E-4</v>
      </c>
    </row>
    <row r="1654" spans="1:3" x14ac:dyDescent="0.2">
      <c r="A1654" s="3">
        <v>43601</v>
      </c>
      <c r="B1654" s="2">
        <v>27.92</v>
      </c>
      <c r="C1654" s="2">
        <f t="shared" si="25"/>
        <v>-5.0017967801430077E-3</v>
      </c>
    </row>
    <row r="1655" spans="1:3" x14ac:dyDescent="0.2">
      <c r="A1655" s="3">
        <v>43600</v>
      </c>
      <c r="B1655" s="2">
        <v>28.06</v>
      </c>
      <c r="C1655" s="2">
        <f t="shared" si="25"/>
        <v>-5.685871750353122E-3</v>
      </c>
    </row>
    <row r="1656" spans="1:3" x14ac:dyDescent="0.2">
      <c r="A1656" s="3">
        <v>43599</v>
      </c>
      <c r="B1656" s="2">
        <v>28.22</v>
      </c>
      <c r="C1656" s="2">
        <f t="shared" si="25"/>
        <v>2.8388947384248714E-3</v>
      </c>
    </row>
    <row r="1657" spans="1:3" x14ac:dyDescent="0.2">
      <c r="A1657" s="3">
        <v>43598</v>
      </c>
      <c r="B1657" s="2">
        <v>28.14</v>
      </c>
      <c r="C1657" s="2">
        <f t="shared" si="25"/>
        <v>-8.1190154730013231E-2</v>
      </c>
    </row>
    <row r="1658" spans="1:3" x14ac:dyDescent="0.2">
      <c r="A1658" s="3">
        <v>43595</v>
      </c>
      <c r="B1658" s="2">
        <v>30.52</v>
      </c>
      <c r="C1658" s="2">
        <f t="shared" si="25"/>
        <v>-3.6671848036609805E-2</v>
      </c>
    </row>
    <row r="1659" spans="1:3" x14ac:dyDescent="0.2">
      <c r="A1659" s="3">
        <v>43594</v>
      </c>
      <c r="B1659" s="2">
        <v>31.66</v>
      </c>
      <c r="C1659" s="2">
        <f t="shared" si="25"/>
        <v>-2.6186034882825719E-2</v>
      </c>
    </row>
    <row r="1660" spans="1:3" x14ac:dyDescent="0.2">
      <c r="A1660" s="3">
        <v>43593</v>
      </c>
      <c r="B1660" s="2">
        <v>32.5</v>
      </c>
      <c r="C1660" s="2">
        <f t="shared" si="25"/>
        <v>1.2384059199721622E-2</v>
      </c>
    </row>
    <row r="1661" spans="1:3" x14ac:dyDescent="0.2">
      <c r="A1661" s="3">
        <v>43592</v>
      </c>
      <c r="B1661" s="2">
        <v>32.1</v>
      </c>
      <c r="C1661" s="2">
        <f t="shared" si="25"/>
        <v>6.2500203451713258E-3</v>
      </c>
    </row>
    <row r="1662" spans="1:3" x14ac:dyDescent="0.2">
      <c r="A1662" s="3">
        <v>43591</v>
      </c>
      <c r="B1662" s="2">
        <v>31.9</v>
      </c>
      <c r="C1662" s="2">
        <f t="shared" si="25"/>
        <v>-3.4507428701183153E-2</v>
      </c>
    </row>
    <row r="1663" spans="1:3" x14ac:dyDescent="0.2">
      <c r="A1663" s="3">
        <v>43588</v>
      </c>
      <c r="B1663" s="2">
        <v>33.020000000000003</v>
      </c>
      <c r="C1663" s="2">
        <f t="shared" si="25"/>
        <v>-8.4439584944159575E-3</v>
      </c>
    </row>
    <row r="1664" spans="1:3" x14ac:dyDescent="0.2">
      <c r="A1664" s="3">
        <v>43587</v>
      </c>
      <c r="B1664" s="2">
        <v>33.299999999999997</v>
      </c>
      <c r="C1664" s="2">
        <f t="shared" si="25"/>
        <v>-5.3908486348764233E-3</v>
      </c>
    </row>
    <row r="1665" spans="1:3" x14ac:dyDescent="0.2">
      <c r="A1665" s="3">
        <v>43585</v>
      </c>
      <c r="B1665" s="2">
        <v>33.479999999999997</v>
      </c>
      <c r="C1665" s="2">
        <f t="shared" si="25"/>
        <v>1.0810916104215676E-2</v>
      </c>
    </row>
    <row r="1666" spans="1:3" x14ac:dyDescent="0.2">
      <c r="A1666" s="3">
        <v>43584</v>
      </c>
      <c r="B1666" s="2">
        <v>33.119999999999997</v>
      </c>
      <c r="C1666" s="2">
        <f t="shared" si="25"/>
        <v>-4.218144247722681E-3</v>
      </c>
    </row>
    <row r="1667" spans="1:3" x14ac:dyDescent="0.2">
      <c r="A1667" s="3">
        <v>43580</v>
      </c>
      <c r="B1667" s="2">
        <v>33.26</v>
      </c>
      <c r="C1667" s="2">
        <f t="shared" ref="C1667:C1730" si="26">+LN(B1667/B1668)</f>
        <v>1.6368962030235263E-2</v>
      </c>
    </row>
    <row r="1668" spans="1:3" x14ac:dyDescent="0.2">
      <c r="A1668" s="3">
        <v>43579</v>
      </c>
      <c r="B1668" s="2">
        <v>32.72</v>
      </c>
      <c r="C1668" s="2">
        <f t="shared" si="26"/>
        <v>-3.6607728496812577E-3</v>
      </c>
    </row>
    <row r="1669" spans="1:3" x14ac:dyDescent="0.2">
      <c r="A1669" s="3">
        <v>43578</v>
      </c>
      <c r="B1669" s="2">
        <v>32.840000000000003</v>
      </c>
      <c r="C1669" s="2">
        <f t="shared" si="26"/>
        <v>9.1771827933359012E-3</v>
      </c>
    </row>
    <row r="1670" spans="1:3" x14ac:dyDescent="0.2">
      <c r="A1670" s="3">
        <v>43573</v>
      </c>
      <c r="B1670" s="2">
        <v>32.54</v>
      </c>
      <c r="C1670" s="2">
        <f t="shared" si="26"/>
        <v>-7.958413599206203E-3</v>
      </c>
    </row>
    <row r="1671" spans="1:3" x14ac:dyDescent="0.2">
      <c r="A1671" s="3">
        <v>43572</v>
      </c>
      <c r="B1671" s="2">
        <v>32.799999999999997</v>
      </c>
      <c r="C1671" s="2">
        <f t="shared" si="26"/>
        <v>4.8899852941917702E-3</v>
      </c>
    </row>
    <row r="1672" spans="1:3" x14ac:dyDescent="0.2">
      <c r="A1672" s="3">
        <v>43571</v>
      </c>
      <c r="B1672" s="2">
        <v>32.64</v>
      </c>
      <c r="C1672" s="2">
        <f t="shared" si="26"/>
        <v>1.2262417232442935E-3</v>
      </c>
    </row>
    <row r="1673" spans="1:3" x14ac:dyDescent="0.2">
      <c r="A1673" s="3">
        <v>43570</v>
      </c>
      <c r="B1673" s="2">
        <v>32.6</v>
      </c>
      <c r="C1673" s="2">
        <f t="shared" si="26"/>
        <v>1.6703141191254964E-2</v>
      </c>
    </row>
    <row r="1674" spans="1:3" x14ac:dyDescent="0.2">
      <c r="A1674" s="3">
        <v>43567</v>
      </c>
      <c r="B1674" s="2">
        <v>32.06</v>
      </c>
      <c r="C1674" s="2">
        <f t="shared" si="26"/>
        <v>6.2578426995044938E-3</v>
      </c>
    </row>
    <row r="1675" spans="1:3" x14ac:dyDescent="0.2">
      <c r="A1675" s="3">
        <v>43566</v>
      </c>
      <c r="B1675" s="2">
        <v>31.86</v>
      </c>
      <c r="C1675" s="2">
        <f t="shared" si="26"/>
        <v>7.561472700576488E-3</v>
      </c>
    </row>
    <row r="1676" spans="1:3" x14ac:dyDescent="0.2">
      <c r="A1676" s="3">
        <v>43565</v>
      </c>
      <c r="B1676" s="2">
        <v>31.62</v>
      </c>
      <c r="C1676" s="2">
        <f t="shared" si="26"/>
        <v>5.0729341511941426E-3</v>
      </c>
    </row>
    <row r="1677" spans="1:3" x14ac:dyDescent="0.2">
      <c r="A1677" s="3">
        <v>43564</v>
      </c>
      <c r="B1677" s="2">
        <v>31.46</v>
      </c>
      <c r="C1677" s="2">
        <f t="shared" si="26"/>
        <v>1.9090047159241931E-3</v>
      </c>
    </row>
    <row r="1678" spans="1:3" x14ac:dyDescent="0.2">
      <c r="A1678" s="3">
        <v>43563</v>
      </c>
      <c r="B1678" s="2">
        <v>31.4</v>
      </c>
      <c r="C1678" s="2">
        <f t="shared" si="26"/>
        <v>6.3897980987709883E-3</v>
      </c>
    </row>
    <row r="1679" spans="1:3" x14ac:dyDescent="0.2">
      <c r="A1679" s="3">
        <v>43560</v>
      </c>
      <c r="B1679" s="2">
        <v>31.2</v>
      </c>
      <c r="C1679" s="2">
        <f t="shared" si="26"/>
        <v>7.7220460939103185E-3</v>
      </c>
    </row>
    <row r="1680" spans="1:3" x14ac:dyDescent="0.2">
      <c r="A1680" s="3">
        <v>43559</v>
      </c>
      <c r="B1680" s="2">
        <v>30.96</v>
      </c>
      <c r="C1680" s="2">
        <f t="shared" si="26"/>
        <v>1.2928250023051713E-3</v>
      </c>
    </row>
    <row r="1681" spans="1:3" x14ac:dyDescent="0.2">
      <c r="A1681" s="3">
        <v>43558</v>
      </c>
      <c r="B1681" s="2">
        <v>30.92</v>
      </c>
      <c r="C1681" s="2">
        <f t="shared" si="26"/>
        <v>2.6878051964391105E-2</v>
      </c>
    </row>
    <row r="1682" spans="1:3" x14ac:dyDescent="0.2">
      <c r="A1682" s="3">
        <v>43557</v>
      </c>
      <c r="B1682" s="2">
        <v>30.1</v>
      </c>
      <c r="C1682" s="2">
        <f t="shared" si="26"/>
        <v>3.4474519089511504E-2</v>
      </c>
    </row>
    <row r="1683" spans="1:3" x14ac:dyDescent="0.2">
      <c r="A1683" s="3">
        <v>43553</v>
      </c>
      <c r="B1683" s="2">
        <v>29.08</v>
      </c>
      <c r="C1683" s="2">
        <f t="shared" si="26"/>
        <v>2.7895811636946481E-2</v>
      </c>
    </row>
    <row r="1684" spans="1:3" x14ac:dyDescent="0.2">
      <c r="A1684" s="3">
        <v>43551</v>
      </c>
      <c r="B1684" s="2">
        <v>28.28</v>
      </c>
      <c r="C1684" s="2">
        <f t="shared" si="26"/>
        <v>-1.195093309993279E-2</v>
      </c>
    </row>
    <row r="1685" spans="1:3" x14ac:dyDescent="0.2">
      <c r="A1685" s="3">
        <v>43550</v>
      </c>
      <c r="B1685" s="2">
        <v>28.62</v>
      </c>
      <c r="C1685" s="2">
        <f t="shared" si="26"/>
        <v>7.7166289611445933E-3</v>
      </c>
    </row>
    <row r="1686" spans="1:3" x14ac:dyDescent="0.2">
      <c r="A1686" s="3">
        <v>43549</v>
      </c>
      <c r="B1686" s="2">
        <v>28.4</v>
      </c>
      <c r="C1686" s="2">
        <f t="shared" si="26"/>
        <v>-1.0507977598415093E-2</v>
      </c>
    </row>
    <row r="1687" spans="1:3" x14ac:dyDescent="0.2">
      <c r="A1687" s="3">
        <v>43546</v>
      </c>
      <c r="B1687" s="2">
        <v>28.7</v>
      </c>
      <c r="C1687" s="2">
        <f t="shared" si="26"/>
        <v>-1.6586420329064204E-2</v>
      </c>
    </row>
    <row r="1688" spans="1:3" x14ac:dyDescent="0.2">
      <c r="A1688" s="3">
        <v>43545</v>
      </c>
      <c r="B1688" s="2">
        <v>29.18</v>
      </c>
      <c r="C1688" s="2">
        <f t="shared" si="26"/>
        <v>2.7094397927479304E-2</v>
      </c>
    </row>
    <row r="1689" spans="1:3" x14ac:dyDescent="0.2">
      <c r="A1689" s="3">
        <v>43544</v>
      </c>
      <c r="B1689" s="2">
        <v>28.4</v>
      </c>
      <c r="C1689" s="2">
        <f t="shared" si="26"/>
        <v>-1.1204599012863132E-2</v>
      </c>
    </row>
    <row r="1690" spans="1:3" x14ac:dyDescent="0.2">
      <c r="A1690" s="3">
        <v>43543</v>
      </c>
      <c r="B1690" s="2">
        <v>28.72</v>
      </c>
      <c r="C1690" s="2">
        <f t="shared" si="26"/>
        <v>1.3319509917489111E-2</v>
      </c>
    </row>
    <row r="1691" spans="1:3" x14ac:dyDescent="0.2">
      <c r="A1691" s="3">
        <v>43542</v>
      </c>
      <c r="B1691" s="2">
        <v>28.34</v>
      </c>
      <c r="C1691" s="2">
        <f t="shared" si="26"/>
        <v>-7.7329032088492315E-3</v>
      </c>
    </row>
    <row r="1692" spans="1:3" x14ac:dyDescent="0.2">
      <c r="A1692" s="3">
        <v>43539</v>
      </c>
      <c r="B1692" s="2">
        <v>28.56</v>
      </c>
      <c r="C1692" s="2">
        <f t="shared" si="26"/>
        <v>7.0274358074568759E-3</v>
      </c>
    </row>
    <row r="1693" spans="1:3" x14ac:dyDescent="0.2">
      <c r="A1693" s="3">
        <v>43538</v>
      </c>
      <c r="B1693" s="2">
        <v>28.36</v>
      </c>
      <c r="C1693" s="2">
        <f t="shared" si="26"/>
        <v>1.6353012836606763E-2</v>
      </c>
    </row>
    <row r="1694" spans="1:3" x14ac:dyDescent="0.2">
      <c r="A1694" s="3">
        <v>43537</v>
      </c>
      <c r="B1694" s="2">
        <v>27.9</v>
      </c>
      <c r="C1694" s="2">
        <f t="shared" si="26"/>
        <v>-1.494157999819914E-2</v>
      </c>
    </row>
    <row r="1695" spans="1:3" x14ac:dyDescent="0.2">
      <c r="A1695" s="3">
        <v>43536</v>
      </c>
      <c r="B1695" s="2">
        <v>28.32</v>
      </c>
      <c r="C1695" s="2">
        <f t="shared" si="26"/>
        <v>2.6477396460363352E-2</v>
      </c>
    </row>
    <row r="1696" spans="1:3" x14ac:dyDescent="0.2">
      <c r="A1696" s="3">
        <v>43535</v>
      </c>
      <c r="B1696" s="2">
        <v>27.58</v>
      </c>
      <c r="C1696" s="2">
        <f t="shared" si="26"/>
        <v>6.5478589711312381E-3</v>
      </c>
    </row>
    <row r="1697" spans="1:3" x14ac:dyDescent="0.2">
      <c r="A1697" s="3">
        <v>43532</v>
      </c>
      <c r="B1697" s="2">
        <v>27.4</v>
      </c>
      <c r="C1697" s="2">
        <f t="shared" si="26"/>
        <v>-1.8800264500147258E-2</v>
      </c>
    </row>
    <row r="1698" spans="1:3" x14ac:dyDescent="0.2">
      <c r="A1698" s="3">
        <v>43531</v>
      </c>
      <c r="B1698" s="2">
        <v>27.92</v>
      </c>
      <c r="C1698" s="2">
        <f t="shared" si="26"/>
        <v>-1.4224990931347213E-2</v>
      </c>
    </row>
    <row r="1699" spans="1:3" x14ac:dyDescent="0.2">
      <c r="A1699" s="3">
        <v>43530</v>
      </c>
      <c r="B1699" s="2">
        <v>28.32</v>
      </c>
      <c r="C1699" s="2">
        <f t="shared" si="26"/>
        <v>-9.8384490002879407E-3</v>
      </c>
    </row>
    <row r="1700" spans="1:3" x14ac:dyDescent="0.2">
      <c r="A1700" s="3">
        <v>43529</v>
      </c>
      <c r="B1700" s="2">
        <v>28.6</v>
      </c>
      <c r="C1700" s="2">
        <f t="shared" si="26"/>
        <v>9.1324835632724723E-3</v>
      </c>
    </row>
    <row r="1701" spans="1:3" x14ac:dyDescent="0.2">
      <c r="A1701" s="3">
        <v>43528</v>
      </c>
      <c r="B1701" s="2">
        <v>28.34</v>
      </c>
      <c r="C1701" s="2">
        <f t="shared" si="26"/>
        <v>-5.629853012070459E-3</v>
      </c>
    </row>
    <row r="1702" spans="1:3" x14ac:dyDescent="0.2">
      <c r="A1702" s="3">
        <v>43524</v>
      </c>
      <c r="B1702" s="2">
        <v>28.5</v>
      </c>
      <c r="C1702" s="2">
        <f t="shared" si="26"/>
        <v>4.2194155427082896E-3</v>
      </c>
    </row>
    <row r="1703" spans="1:3" x14ac:dyDescent="0.2">
      <c r="A1703" s="3">
        <v>43523</v>
      </c>
      <c r="B1703" s="2">
        <v>28.38</v>
      </c>
      <c r="C1703" s="2">
        <f t="shared" si="26"/>
        <v>-1.2605208918982279E-2</v>
      </c>
    </row>
    <row r="1704" spans="1:3" x14ac:dyDescent="0.2">
      <c r="A1704" s="3">
        <v>43522</v>
      </c>
      <c r="B1704" s="2">
        <v>28.74</v>
      </c>
      <c r="C1704" s="2">
        <f t="shared" si="26"/>
        <v>-2.0855064910214817E-3</v>
      </c>
    </row>
    <row r="1705" spans="1:3" x14ac:dyDescent="0.2">
      <c r="A1705" s="3">
        <v>43521</v>
      </c>
      <c r="B1705" s="2">
        <v>28.8</v>
      </c>
      <c r="C1705" s="2">
        <f t="shared" si="26"/>
        <v>1.3282264472945667E-2</v>
      </c>
    </row>
    <row r="1706" spans="1:3" x14ac:dyDescent="0.2">
      <c r="A1706" s="3">
        <v>43518</v>
      </c>
      <c r="B1706" s="2">
        <v>28.42</v>
      </c>
      <c r="C1706" s="2">
        <f t="shared" si="26"/>
        <v>-7.7112194234902438E-3</v>
      </c>
    </row>
    <row r="1707" spans="1:3" x14ac:dyDescent="0.2">
      <c r="A1707" s="3">
        <v>43517</v>
      </c>
      <c r="B1707" s="2">
        <v>28.64</v>
      </c>
      <c r="C1707" s="2">
        <f t="shared" si="26"/>
        <v>3.4977300437545834E-3</v>
      </c>
    </row>
    <row r="1708" spans="1:3" x14ac:dyDescent="0.2">
      <c r="A1708" s="3">
        <v>43516</v>
      </c>
      <c r="B1708" s="2">
        <v>28.54</v>
      </c>
      <c r="C1708" s="2">
        <f t="shared" si="26"/>
        <v>-4.8934036827292362E-3</v>
      </c>
    </row>
    <row r="1709" spans="1:3" x14ac:dyDescent="0.2">
      <c r="A1709" s="3">
        <v>43515</v>
      </c>
      <c r="B1709" s="2">
        <v>28.68</v>
      </c>
      <c r="C1709" s="2">
        <f t="shared" si="26"/>
        <v>-1.5225207597065669E-2</v>
      </c>
    </row>
    <row r="1710" spans="1:3" x14ac:dyDescent="0.2">
      <c r="A1710" s="3">
        <v>43514</v>
      </c>
      <c r="B1710" s="2">
        <v>29.12</v>
      </c>
      <c r="C1710" s="2">
        <f t="shared" si="26"/>
        <v>1.4528100562909808E-2</v>
      </c>
    </row>
    <row r="1711" spans="1:3" x14ac:dyDescent="0.2">
      <c r="A1711" s="3">
        <v>43511</v>
      </c>
      <c r="B1711" s="2">
        <v>28.7</v>
      </c>
      <c r="C1711" s="2">
        <f t="shared" si="26"/>
        <v>4.189950263854143E-3</v>
      </c>
    </row>
    <row r="1712" spans="1:3" x14ac:dyDescent="0.2">
      <c r="A1712" s="3">
        <v>43510</v>
      </c>
      <c r="B1712" s="2">
        <v>28.58</v>
      </c>
      <c r="C1712" s="2">
        <f t="shared" si="26"/>
        <v>5.7611321722111482E-2</v>
      </c>
    </row>
    <row r="1713" spans="1:3" x14ac:dyDescent="0.2">
      <c r="A1713" s="3">
        <v>43509</v>
      </c>
      <c r="B1713" s="2">
        <v>26.98</v>
      </c>
      <c r="C1713" s="2">
        <f t="shared" si="26"/>
        <v>-4.422612716445809E-2</v>
      </c>
    </row>
    <row r="1714" spans="1:3" x14ac:dyDescent="0.2">
      <c r="A1714" s="3">
        <v>43508</v>
      </c>
      <c r="B1714" s="2">
        <v>28.2</v>
      </c>
      <c r="C1714" s="2">
        <f t="shared" si="26"/>
        <v>1.1412392051744765E-2</v>
      </c>
    </row>
    <row r="1715" spans="1:3" x14ac:dyDescent="0.2">
      <c r="A1715" s="3">
        <v>43507</v>
      </c>
      <c r="B1715" s="2">
        <v>27.88</v>
      </c>
      <c r="C1715" s="2">
        <f t="shared" si="26"/>
        <v>1.6636911758154699E-2</v>
      </c>
    </row>
    <row r="1716" spans="1:3" x14ac:dyDescent="0.2">
      <c r="A1716" s="3">
        <v>43504</v>
      </c>
      <c r="B1716" s="2">
        <v>27.42</v>
      </c>
      <c r="C1716" s="2">
        <f t="shared" si="26"/>
        <v>-1.7354014693151506E-2</v>
      </c>
    </row>
    <row r="1717" spans="1:3" x14ac:dyDescent="0.2">
      <c r="A1717" s="3">
        <v>43503</v>
      </c>
      <c r="B1717" s="2">
        <v>27.9</v>
      </c>
      <c r="C1717" s="2">
        <f t="shared" si="26"/>
        <v>-7.8543781151442713E-3</v>
      </c>
    </row>
    <row r="1718" spans="1:3" x14ac:dyDescent="0.2">
      <c r="A1718" s="3">
        <v>43502</v>
      </c>
      <c r="B1718" s="2">
        <v>28.12</v>
      </c>
      <c r="C1718" s="2">
        <f t="shared" si="26"/>
        <v>4.276556767260172E-3</v>
      </c>
    </row>
    <row r="1719" spans="1:3" x14ac:dyDescent="0.2">
      <c r="A1719" s="3">
        <v>43501</v>
      </c>
      <c r="B1719" s="2">
        <v>28</v>
      </c>
      <c r="C1719" s="2">
        <f t="shared" si="26"/>
        <v>1.4295928095943715E-3</v>
      </c>
    </row>
    <row r="1720" spans="1:3" x14ac:dyDescent="0.2">
      <c r="A1720" s="3">
        <v>43500</v>
      </c>
      <c r="B1720" s="2">
        <v>27.96</v>
      </c>
      <c r="C1720" s="2">
        <f t="shared" si="26"/>
        <v>-7.1505187172554133E-4</v>
      </c>
    </row>
    <row r="1721" spans="1:3" x14ac:dyDescent="0.2">
      <c r="A1721" s="3">
        <v>43497</v>
      </c>
      <c r="B1721" s="2">
        <v>27.98</v>
      </c>
      <c r="C1721" s="2">
        <f t="shared" si="26"/>
        <v>-4.991097705129087E-3</v>
      </c>
    </row>
    <row r="1722" spans="1:3" x14ac:dyDescent="0.2">
      <c r="A1722" s="3">
        <v>43496</v>
      </c>
      <c r="B1722" s="2">
        <v>28.12</v>
      </c>
      <c r="C1722" s="2">
        <f t="shared" si="26"/>
        <v>-1.4214643473774255E-3</v>
      </c>
    </row>
    <row r="1723" spans="1:3" x14ac:dyDescent="0.2">
      <c r="A1723" s="3">
        <v>43495</v>
      </c>
      <c r="B1723" s="2">
        <v>28.16</v>
      </c>
      <c r="C1723" s="2">
        <f t="shared" si="26"/>
        <v>-6.3717029726926711E-3</v>
      </c>
    </row>
    <row r="1724" spans="1:3" x14ac:dyDescent="0.2">
      <c r="A1724" s="3">
        <v>43494</v>
      </c>
      <c r="B1724" s="2">
        <v>28.34</v>
      </c>
      <c r="C1724" s="2">
        <f t="shared" si="26"/>
        <v>-4.2253583991719882E-3</v>
      </c>
    </row>
    <row r="1725" spans="1:3" x14ac:dyDescent="0.2">
      <c r="A1725" s="3">
        <v>43493</v>
      </c>
      <c r="B1725" s="2">
        <v>28.46</v>
      </c>
      <c r="C1725" s="2">
        <f t="shared" si="26"/>
        <v>4.931323836187323E-3</v>
      </c>
    </row>
    <row r="1726" spans="1:3" x14ac:dyDescent="0.2">
      <c r="A1726" s="3">
        <v>43489</v>
      </c>
      <c r="B1726" s="2">
        <v>28.32</v>
      </c>
      <c r="C1726" s="2">
        <f t="shared" si="26"/>
        <v>-3.5248538434355789E-3</v>
      </c>
    </row>
    <row r="1727" spans="1:3" x14ac:dyDescent="0.2">
      <c r="A1727" s="3">
        <v>43488</v>
      </c>
      <c r="B1727" s="2">
        <v>28.42</v>
      </c>
      <c r="C1727" s="2">
        <f t="shared" si="26"/>
        <v>9.9010709827115368E-3</v>
      </c>
    </row>
    <row r="1728" spans="1:3" x14ac:dyDescent="0.2">
      <c r="A1728" s="3">
        <v>43487</v>
      </c>
      <c r="B1728" s="2">
        <v>28.14</v>
      </c>
      <c r="C1728" s="2">
        <f t="shared" si="26"/>
        <v>-7.1047960359867405E-4</v>
      </c>
    </row>
    <row r="1729" spans="1:3" x14ac:dyDescent="0.2">
      <c r="A1729" s="3">
        <v>43486</v>
      </c>
      <c r="B1729" s="2">
        <v>28.16</v>
      </c>
      <c r="C1729" s="2">
        <f t="shared" si="26"/>
        <v>-4.9592733593503465E-3</v>
      </c>
    </row>
    <row r="1730" spans="1:3" x14ac:dyDescent="0.2">
      <c r="A1730" s="3">
        <v>43483</v>
      </c>
      <c r="B1730" s="2">
        <v>28.3</v>
      </c>
      <c r="C1730" s="2">
        <f t="shared" si="26"/>
        <v>7.8042254915816891E-3</v>
      </c>
    </row>
    <row r="1731" spans="1:3" x14ac:dyDescent="0.2">
      <c r="A1731" s="3">
        <v>43482</v>
      </c>
      <c r="B1731" s="2">
        <v>28.08</v>
      </c>
      <c r="C1731" s="2">
        <f t="shared" ref="C1731:C1794" si="27">+LN(B1731/B1732)</f>
        <v>1.7966706792454594E-2</v>
      </c>
    </row>
    <row r="1732" spans="1:3" x14ac:dyDescent="0.2">
      <c r="A1732" s="3">
        <v>43481</v>
      </c>
      <c r="B1732" s="2">
        <v>27.58</v>
      </c>
      <c r="C1732" s="2">
        <f t="shared" si="27"/>
        <v>-1.4492756159903981E-3</v>
      </c>
    </row>
    <row r="1733" spans="1:3" x14ac:dyDescent="0.2">
      <c r="A1733" s="3">
        <v>43480</v>
      </c>
      <c r="B1733" s="2">
        <v>27.62</v>
      </c>
      <c r="C1733" s="2">
        <f t="shared" si="27"/>
        <v>1.532317467919459E-2</v>
      </c>
    </row>
    <row r="1734" spans="1:3" x14ac:dyDescent="0.2">
      <c r="A1734" s="3">
        <v>43479</v>
      </c>
      <c r="B1734" s="2">
        <v>27.2</v>
      </c>
      <c r="C1734" s="2">
        <f t="shared" si="27"/>
        <v>-1.6770352934660518E-2</v>
      </c>
    </row>
    <row r="1735" spans="1:3" x14ac:dyDescent="0.2">
      <c r="A1735" s="3">
        <v>43475</v>
      </c>
      <c r="B1735" s="2">
        <v>27.66</v>
      </c>
      <c r="C1735" s="2">
        <f t="shared" si="27"/>
        <v>-7.2046421150475061E-3</v>
      </c>
    </row>
    <row r="1736" spans="1:3" x14ac:dyDescent="0.2">
      <c r="A1736" s="3">
        <v>43474</v>
      </c>
      <c r="B1736" s="2">
        <v>27.86</v>
      </c>
      <c r="C1736" s="2">
        <f t="shared" si="27"/>
        <v>1.3005963679133984E-2</v>
      </c>
    </row>
    <row r="1737" spans="1:3" x14ac:dyDescent="0.2">
      <c r="A1737" s="3">
        <v>43473</v>
      </c>
      <c r="B1737" s="2">
        <v>27.5</v>
      </c>
      <c r="C1737" s="2">
        <f t="shared" si="27"/>
        <v>1.023400744920566E-2</v>
      </c>
    </row>
    <row r="1738" spans="1:3" x14ac:dyDescent="0.2">
      <c r="A1738" s="3">
        <v>43472</v>
      </c>
      <c r="B1738" s="2">
        <v>27.22</v>
      </c>
      <c r="C1738" s="2">
        <f t="shared" si="27"/>
        <v>8.1151312189908075E-3</v>
      </c>
    </row>
    <row r="1739" spans="1:3" x14ac:dyDescent="0.2">
      <c r="A1739" s="3">
        <v>43469</v>
      </c>
      <c r="B1739" s="2">
        <v>27</v>
      </c>
      <c r="C1739" s="2">
        <f t="shared" si="27"/>
        <v>4.2366396371629228E-2</v>
      </c>
    </row>
    <row r="1740" spans="1:3" x14ac:dyDescent="0.2">
      <c r="A1740" s="3">
        <v>43468</v>
      </c>
      <c r="B1740" s="2">
        <v>25.88</v>
      </c>
      <c r="C1740" s="2">
        <f t="shared" si="27"/>
        <v>-4.6260683887823029E-3</v>
      </c>
    </row>
    <row r="1741" spans="1:3" x14ac:dyDescent="0.2">
      <c r="A1741" s="3">
        <v>43462</v>
      </c>
      <c r="B1741" s="2">
        <v>26</v>
      </c>
      <c r="C1741" s="2">
        <f t="shared" si="27"/>
        <v>2.2560272260173955E-2</v>
      </c>
    </row>
    <row r="1742" spans="1:3" x14ac:dyDescent="0.2">
      <c r="A1742" s="3">
        <v>43461</v>
      </c>
      <c r="B1742" s="2">
        <v>25.42</v>
      </c>
      <c r="C1742" s="2">
        <f t="shared" si="27"/>
        <v>1.9865571842055504E-2</v>
      </c>
    </row>
    <row r="1743" spans="1:3" x14ac:dyDescent="0.2">
      <c r="A1743" s="3">
        <v>43455</v>
      </c>
      <c r="B1743" s="2">
        <v>24.92</v>
      </c>
      <c r="C1743" s="2">
        <f t="shared" si="27"/>
        <v>-1.3551423003092663E-2</v>
      </c>
    </row>
    <row r="1744" spans="1:3" x14ac:dyDescent="0.2">
      <c r="A1744" s="3">
        <v>43454</v>
      </c>
      <c r="B1744" s="2">
        <v>25.26</v>
      </c>
      <c r="C1744" s="2">
        <f t="shared" si="27"/>
        <v>-1.2588679228351437E-2</v>
      </c>
    </row>
    <row r="1745" spans="1:3" x14ac:dyDescent="0.2">
      <c r="A1745" s="3">
        <v>43453</v>
      </c>
      <c r="B1745" s="2">
        <v>25.58</v>
      </c>
      <c r="C1745" s="2">
        <f t="shared" si="27"/>
        <v>1.6555364318456726E-2</v>
      </c>
    </row>
    <row r="1746" spans="1:3" x14ac:dyDescent="0.2">
      <c r="A1746" s="3">
        <v>43451</v>
      </c>
      <c r="B1746" s="2">
        <v>25.16</v>
      </c>
      <c r="C1746" s="2">
        <f t="shared" si="27"/>
        <v>-1.6555364318456799E-2</v>
      </c>
    </row>
    <row r="1747" spans="1:3" x14ac:dyDescent="0.2">
      <c r="A1747" s="3">
        <v>43448</v>
      </c>
      <c r="B1747" s="2">
        <v>25.58</v>
      </c>
      <c r="C1747" s="2">
        <f t="shared" si="27"/>
        <v>-2.1655912045379332E-2</v>
      </c>
    </row>
    <row r="1748" spans="1:3" x14ac:dyDescent="0.2">
      <c r="A1748" s="3">
        <v>43447</v>
      </c>
      <c r="B1748" s="2">
        <v>26.14</v>
      </c>
      <c r="C1748" s="2">
        <f t="shared" si="27"/>
        <v>5.37017017459378E-3</v>
      </c>
    </row>
    <row r="1749" spans="1:3" x14ac:dyDescent="0.2">
      <c r="A1749" s="3">
        <v>43446</v>
      </c>
      <c r="B1749" s="2">
        <v>26</v>
      </c>
      <c r="C1749" s="2">
        <f t="shared" si="27"/>
        <v>1.7850687417088854E-2</v>
      </c>
    </row>
    <row r="1750" spans="1:3" x14ac:dyDescent="0.2">
      <c r="A1750" s="3">
        <v>43445</v>
      </c>
      <c r="B1750" s="2">
        <v>25.54</v>
      </c>
      <c r="C1750" s="2">
        <f t="shared" si="27"/>
        <v>2.377291035250265E-2</v>
      </c>
    </row>
    <row r="1751" spans="1:3" x14ac:dyDescent="0.2">
      <c r="A1751" s="3">
        <v>43444</v>
      </c>
      <c r="B1751" s="2">
        <v>24.94</v>
      </c>
      <c r="C1751" s="2">
        <f t="shared" si="27"/>
        <v>-3.0795959117528176E-2</v>
      </c>
    </row>
    <row r="1752" spans="1:3" x14ac:dyDescent="0.2">
      <c r="A1752" s="3">
        <v>43441</v>
      </c>
      <c r="B1752" s="2">
        <v>25.72</v>
      </c>
      <c r="C1752" s="2">
        <f t="shared" si="27"/>
        <v>1.0160306240158068E-2</v>
      </c>
    </row>
    <row r="1753" spans="1:3" x14ac:dyDescent="0.2">
      <c r="A1753" s="3">
        <v>43440</v>
      </c>
      <c r="B1753" s="2">
        <v>25.46</v>
      </c>
      <c r="C1753" s="2">
        <f t="shared" si="27"/>
        <v>-4.7554972276943296E-2</v>
      </c>
    </row>
    <row r="1754" spans="1:3" x14ac:dyDescent="0.2">
      <c r="A1754" s="3">
        <v>43439</v>
      </c>
      <c r="B1754" s="2">
        <v>26.7</v>
      </c>
      <c r="C1754" s="2">
        <f t="shared" si="27"/>
        <v>-1.7081737284291583E-2</v>
      </c>
    </row>
    <row r="1755" spans="1:3" x14ac:dyDescent="0.2">
      <c r="A1755" s="3">
        <v>43438</v>
      </c>
      <c r="B1755" s="2">
        <v>27.16</v>
      </c>
      <c r="C1755" s="2">
        <f t="shared" si="27"/>
        <v>1.5584731016698329E-2</v>
      </c>
    </row>
    <row r="1756" spans="1:3" x14ac:dyDescent="0.2">
      <c r="A1756" s="3">
        <v>43437</v>
      </c>
      <c r="B1756" s="2">
        <v>26.74</v>
      </c>
      <c r="C1756" s="2">
        <f t="shared" si="27"/>
        <v>1.9638093338243272E-2</v>
      </c>
    </row>
    <row r="1757" spans="1:3" x14ac:dyDescent="0.2">
      <c r="A1757" s="3">
        <v>43434</v>
      </c>
      <c r="B1757" s="2">
        <v>26.22</v>
      </c>
      <c r="C1757" s="2">
        <f t="shared" si="27"/>
        <v>-8.3555366479318351E-3</v>
      </c>
    </row>
    <row r="1758" spans="1:3" x14ac:dyDescent="0.2">
      <c r="A1758" s="3">
        <v>43433</v>
      </c>
      <c r="B1758" s="2">
        <v>26.44</v>
      </c>
      <c r="C1758" s="2">
        <f t="shared" si="27"/>
        <v>2.5279017472444217E-2</v>
      </c>
    </row>
    <row r="1759" spans="1:3" x14ac:dyDescent="0.2">
      <c r="A1759" s="3">
        <v>43432</v>
      </c>
      <c r="B1759" s="2">
        <v>25.78</v>
      </c>
      <c r="C1759" s="2">
        <f t="shared" si="27"/>
        <v>-1.0802574185657648E-2</v>
      </c>
    </row>
    <row r="1760" spans="1:3" x14ac:dyDescent="0.2">
      <c r="A1760" s="3">
        <v>43431</v>
      </c>
      <c r="B1760" s="2">
        <v>26.06</v>
      </c>
      <c r="C1760" s="2">
        <f t="shared" si="27"/>
        <v>-1.7497593620962749E-2</v>
      </c>
    </row>
    <row r="1761" spans="1:3" x14ac:dyDescent="0.2">
      <c r="A1761" s="3">
        <v>43430</v>
      </c>
      <c r="B1761" s="2">
        <v>26.52</v>
      </c>
      <c r="C1761" s="2">
        <f t="shared" si="27"/>
        <v>1.061420124177353E-2</v>
      </c>
    </row>
    <row r="1762" spans="1:3" x14ac:dyDescent="0.2">
      <c r="A1762" s="3">
        <v>43427</v>
      </c>
      <c r="B1762" s="2">
        <v>26.24</v>
      </c>
      <c r="C1762" s="2">
        <f t="shared" si="27"/>
        <v>2.4692612590371414E-2</v>
      </c>
    </row>
    <row r="1763" spans="1:3" x14ac:dyDescent="0.2">
      <c r="A1763" s="3">
        <v>43426</v>
      </c>
      <c r="B1763" s="2">
        <v>25.6</v>
      </c>
      <c r="C1763" s="2">
        <f t="shared" si="27"/>
        <v>-1.2422519998557209E-2</v>
      </c>
    </row>
    <row r="1764" spans="1:3" x14ac:dyDescent="0.2">
      <c r="A1764" s="3">
        <v>43424</v>
      </c>
      <c r="B1764" s="2">
        <v>25.92</v>
      </c>
      <c r="C1764" s="2">
        <f t="shared" si="27"/>
        <v>-4.2302379690689271E-2</v>
      </c>
    </row>
    <row r="1765" spans="1:3" x14ac:dyDescent="0.2">
      <c r="A1765" s="3">
        <v>43423</v>
      </c>
      <c r="B1765" s="2">
        <v>27.04</v>
      </c>
      <c r="C1765" s="2">
        <f t="shared" si="27"/>
        <v>5.9347355198145265E-3</v>
      </c>
    </row>
    <row r="1766" spans="1:3" x14ac:dyDescent="0.2">
      <c r="A1766" s="3">
        <v>43420</v>
      </c>
      <c r="B1766" s="2">
        <v>26.88</v>
      </c>
      <c r="C1766" s="2">
        <f t="shared" si="27"/>
        <v>6.7189502487450094E-3</v>
      </c>
    </row>
    <row r="1767" spans="1:3" x14ac:dyDescent="0.2">
      <c r="A1767" s="3">
        <v>43419</v>
      </c>
      <c r="B1767" s="2">
        <v>26.7</v>
      </c>
      <c r="C1767" s="2">
        <f t="shared" si="27"/>
        <v>-1.1173300598125302E-2</v>
      </c>
    </row>
    <row r="1768" spans="1:3" x14ac:dyDescent="0.2">
      <c r="A1768" s="3">
        <v>43418</v>
      </c>
      <c r="B1768" s="2">
        <v>27</v>
      </c>
      <c r="C1768" s="2">
        <f t="shared" si="27"/>
        <v>-7.3801072976225337E-3</v>
      </c>
    </row>
    <row r="1769" spans="1:3" x14ac:dyDescent="0.2">
      <c r="A1769" s="3">
        <v>43417</v>
      </c>
      <c r="B1769" s="2">
        <v>27.2</v>
      </c>
      <c r="C1769" s="2">
        <f t="shared" si="27"/>
        <v>3.7457562534900415E-2</v>
      </c>
    </row>
    <row r="1770" spans="1:3" x14ac:dyDescent="0.2">
      <c r="A1770" s="3">
        <v>43416</v>
      </c>
      <c r="B1770" s="2">
        <v>26.2</v>
      </c>
      <c r="C1770" s="2">
        <f t="shared" si="27"/>
        <v>-2.6366875840742224E-2</v>
      </c>
    </row>
    <row r="1771" spans="1:3" x14ac:dyDescent="0.2">
      <c r="A1771" s="3">
        <v>43413</v>
      </c>
      <c r="B1771" s="2">
        <v>26.9</v>
      </c>
      <c r="C1771" s="2">
        <f t="shared" si="27"/>
        <v>-1.182571061552665E-2</v>
      </c>
    </row>
    <row r="1772" spans="1:3" x14ac:dyDescent="0.2">
      <c r="A1772" s="3">
        <v>43411</v>
      </c>
      <c r="B1772" s="2">
        <v>27.22</v>
      </c>
      <c r="C1772" s="2">
        <f t="shared" si="27"/>
        <v>7.2357399947344456E-2</v>
      </c>
    </row>
    <row r="1773" spans="1:3" x14ac:dyDescent="0.2">
      <c r="A1773" s="3">
        <v>43410</v>
      </c>
      <c r="B1773" s="2">
        <v>25.32</v>
      </c>
      <c r="C1773" s="2">
        <f t="shared" si="27"/>
        <v>-1.5785322930497267E-3</v>
      </c>
    </row>
    <row r="1774" spans="1:3" x14ac:dyDescent="0.2">
      <c r="A1774" s="3">
        <v>43409</v>
      </c>
      <c r="B1774" s="2">
        <v>25.36</v>
      </c>
      <c r="C1774" s="2">
        <f t="shared" si="27"/>
        <v>-3.9354635602353036E-3</v>
      </c>
    </row>
    <row r="1775" spans="1:3" x14ac:dyDescent="0.2">
      <c r="A1775" s="3">
        <v>43406</v>
      </c>
      <c r="B1775" s="2">
        <v>25.46</v>
      </c>
      <c r="C1775" s="2">
        <f t="shared" si="27"/>
        <v>-7.8523757470208555E-4</v>
      </c>
    </row>
    <row r="1776" spans="1:3" x14ac:dyDescent="0.2">
      <c r="A1776" s="3">
        <v>43405</v>
      </c>
      <c r="B1776" s="2">
        <v>25.48</v>
      </c>
      <c r="C1776" s="2">
        <f t="shared" si="27"/>
        <v>-7.8462146041781791E-4</v>
      </c>
    </row>
    <row r="1777" spans="1:3" x14ac:dyDescent="0.2">
      <c r="A1777" s="3">
        <v>43404</v>
      </c>
      <c r="B1777" s="2">
        <v>25.5</v>
      </c>
      <c r="C1777" s="2">
        <f t="shared" si="27"/>
        <v>7.8462146041792578E-4</v>
      </c>
    </row>
    <row r="1778" spans="1:3" x14ac:dyDescent="0.2">
      <c r="A1778" s="3">
        <v>43403</v>
      </c>
      <c r="B1778" s="2">
        <v>25.48</v>
      </c>
      <c r="C1778" s="2">
        <f t="shared" si="27"/>
        <v>2.3575649426544579E-3</v>
      </c>
    </row>
    <row r="1779" spans="1:3" x14ac:dyDescent="0.2">
      <c r="A1779" s="3">
        <v>43402</v>
      </c>
      <c r="B1779" s="2">
        <v>25.42</v>
      </c>
      <c r="C1779" s="2">
        <f t="shared" si="27"/>
        <v>3.5231826478542769E-2</v>
      </c>
    </row>
    <row r="1780" spans="1:3" x14ac:dyDescent="0.2">
      <c r="A1780" s="3">
        <v>43399</v>
      </c>
      <c r="B1780" s="2">
        <v>24.54</v>
      </c>
      <c r="C1780" s="2">
        <f t="shared" si="27"/>
        <v>-1.2955646799799696E-2</v>
      </c>
    </row>
    <row r="1781" spans="1:3" x14ac:dyDescent="0.2">
      <c r="A1781" s="3">
        <v>43398</v>
      </c>
      <c r="B1781" s="2">
        <v>24.86</v>
      </c>
      <c r="C1781" s="2">
        <f t="shared" si="27"/>
        <v>1.6220955823538708E-2</v>
      </c>
    </row>
    <row r="1782" spans="1:3" x14ac:dyDescent="0.2">
      <c r="A1782" s="3">
        <v>43397</v>
      </c>
      <c r="B1782" s="2">
        <v>24.46</v>
      </c>
      <c r="C1782" s="2">
        <f t="shared" si="27"/>
        <v>9.034969057912675E-3</v>
      </c>
    </row>
    <row r="1783" spans="1:3" x14ac:dyDescent="0.2">
      <c r="A1783" s="3">
        <v>43396</v>
      </c>
      <c r="B1783" s="2">
        <v>24.24</v>
      </c>
      <c r="C1783" s="2">
        <f t="shared" si="27"/>
        <v>-3.4066554563606195E-2</v>
      </c>
    </row>
    <row r="1784" spans="1:3" x14ac:dyDescent="0.2">
      <c r="A1784" s="3">
        <v>43395</v>
      </c>
      <c r="B1784" s="2">
        <v>25.08</v>
      </c>
      <c r="C1784" s="2">
        <f t="shared" si="27"/>
        <v>-2.2082916287749416E-2</v>
      </c>
    </row>
    <row r="1785" spans="1:3" x14ac:dyDescent="0.2">
      <c r="A1785" s="3">
        <v>43392</v>
      </c>
      <c r="B1785" s="2">
        <v>25.64</v>
      </c>
      <c r="C1785" s="2">
        <f t="shared" si="27"/>
        <v>-6.9957533660271439E-3</v>
      </c>
    </row>
    <row r="1786" spans="1:3" x14ac:dyDescent="0.2">
      <c r="A1786" s="3">
        <v>43391</v>
      </c>
      <c r="B1786" s="2">
        <v>25.82</v>
      </c>
      <c r="C1786" s="2">
        <f t="shared" si="27"/>
        <v>8.5570339329796054E-3</v>
      </c>
    </row>
    <row r="1787" spans="1:3" x14ac:dyDescent="0.2">
      <c r="A1787" s="3">
        <v>43390</v>
      </c>
      <c r="B1787" s="2">
        <v>25.6</v>
      </c>
      <c r="C1787" s="2">
        <f t="shared" si="27"/>
        <v>1.3370234563171639E-2</v>
      </c>
    </row>
    <row r="1788" spans="1:3" x14ac:dyDescent="0.2">
      <c r="A1788" s="3">
        <v>43389</v>
      </c>
      <c r="B1788" s="2">
        <v>25.26</v>
      </c>
      <c r="C1788" s="2">
        <f t="shared" si="27"/>
        <v>2.8103013643403455E-2</v>
      </c>
    </row>
    <row r="1789" spans="1:3" x14ac:dyDescent="0.2">
      <c r="A1789" s="3">
        <v>43388</v>
      </c>
      <c r="B1789" s="2">
        <v>24.56</v>
      </c>
      <c r="C1789" s="2">
        <f t="shared" si="27"/>
        <v>-3.5989489850318794E-2</v>
      </c>
    </row>
    <row r="1790" spans="1:3" x14ac:dyDescent="0.2">
      <c r="A1790" s="3">
        <v>43385</v>
      </c>
      <c r="B1790" s="2">
        <v>25.46</v>
      </c>
      <c r="C1790" s="2">
        <f t="shared" si="27"/>
        <v>1.105856451305948E-2</v>
      </c>
    </row>
    <row r="1791" spans="1:3" x14ac:dyDescent="0.2">
      <c r="A1791" s="3">
        <v>43384</v>
      </c>
      <c r="B1791" s="2">
        <v>25.18</v>
      </c>
      <c r="C1791" s="2">
        <f t="shared" si="27"/>
        <v>-2.8192940089290876E-2</v>
      </c>
    </row>
    <row r="1792" spans="1:3" x14ac:dyDescent="0.2">
      <c r="A1792" s="3">
        <v>43383</v>
      </c>
      <c r="B1792" s="2">
        <v>25.9</v>
      </c>
      <c r="C1792" s="2">
        <f t="shared" si="27"/>
        <v>-2.2901764286684567E-2</v>
      </c>
    </row>
    <row r="1793" spans="1:3" x14ac:dyDescent="0.2">
      <c r="A1793" s="3">
        <v>43382</v>
      </c>
      <c r="B1793" s="2">
        <v>26.5</v>
      </c>
      <c r="C1793" s="2">
        <f t="shared" si="27"/>
        <v>-1.2003144861355973E-2</v>
      </c>
    </row>
    <row r="1794" spans="1:3" x14ac:dyDescent="0.2">
      <c r="A1794" s="3">
        <v>43381</v>
      </c>
      <c r="B1794" s="2">
        <v>26.82</v>
      </c>
      <c r="C1794" s="2">
        <f t="shared" si="27"/>
        <v>-2.4310589500616125E-2</v>
      </c>
    </row>
    <row r="1795" spans="1:3" x14ac:dyDescent="0.2">
      <c r="A1795" s="3">
        <v>43378</v>
      </c>
      <c r="B1795" s="2">
        <v>27.48</v>
      </c>
      <c r="C1795" s="2">
        <f t="shared" ref="C1795:C1858" si="28">+LN(B1795/B1796)</f>
        <v>-3.9248705147572734E-2</v>
      </c>
    </row>
    <row r="1796" spans="1:3" x14ac:dyDescent="0.2">
      <c r="A1796" s="3">
        <v>43377</v>
      </c>
      <c r="B1796" s="2">
        <v>28.58</v>
      </c>
      <c r="C1796" s="2">
        <f t="shared" si="28"/>
        <v>-1.3208395015794362E-2</v>
      </c>
    </row>
    <row r="1797" spans="1:3" x14ac:dyDescent="0.2">
      <c r="A1797" s="3">
        <v>43376</v>
      </c>
      <c r="B1797" s="2">
        <v>28.96</v>
      </c>
      <c r="C1797" s="2">
        <f t="shared" si="28"/>
        <v>7.6256868666368348E-3</v>
      </c>
    </row>
    <row r="1798" spans="1:3" x14ac:dyDescent="0.2">
      <c r="A1798" s="3">
        <v>43375</v>
      </c>
      <c r="B1798" s="2">
        <v>28.74</v>
      </c>
      <c r="C1798" s="2">
        <f t="shared" si="28"/>
        <v>1.8967902706810827E-2</v>
      </c>
    </row>
    <row r="1799" spans="1:3" x14ac:dyDescent="0.2">
      <c r="A1799" s="3">
        <v>43371</v>
      </c>
      <c r="B1799" s="2">
        <v>28.2</v>
      </c>
      <c r="C1799" s="2">
        <f t="shared" si="28"/>
        <v>-1.5482364148376988E-2</v>
      </c>
    </row>
    <row r="1800" spans="1:3" x14ac:dyDescent="0.2">
      <c r="A1800" s="3">
        <v>43370</v>
      </c>
      <c r="B1800" s="2">
        <v>28.64</v>
      </c>
      <c r="C1800" s="2">
        <f t="shared" si="28"/>
        <v>9.1196703605482213E-3</v>
      </c>
    </row>
    <row r="1801" spans="1:3" x14ac:dyDescent="0.2">
      <c r="A1801" s="3">
        <v>43369</v>
      </c>
      <c r="B1801" s="2">
        <v>28.38</v>
      </c>
      <c r="C1801" s="2">
        <f t="shared" si="28"/>
        <v>-1.6078640684851719E-2</v>
      </c>
    </row>
    <row r="1802" spans="1:3" x14ac:dyDescent="0.2">
      <c r="A1802" s="3">
        <v>43368</v>
      </c>
      <c r="B1802" s="2">
        <v>28.84</v>
      </c>
      <c r="C1802" s="2">
        <f t="shared" si="28"/>
        <v>-6.9324092897650512E-4</v>
      </c>
    </row>
    <row r="1803" spans="1:3" x14ac:dyDescent="0.2">
      <c r="A1803" s="3">
        <v>43367</v>
      </c>
      <c r="B1803" s="2">
        <v>28.86</v>
      </c>
      <c r="C1803" s="2">
        <f t="shared" si="28"/>
        <v>-4.1493835468115895E-3</v>
      </c>
    </row>
    <row r="1804" spans="1:3" x14ac:dyDescent="0.2">
      <c r="A1804" s="3">
        <v>43364</v>
      </c>
      <c r="B1804" s="2">
        <v>28.98</v>
      </c>
      <c r="C1804" s="2">
        <f t="shared" si="28"/>
        <v>1.3812156891984332E-3</v>
      </c>
    </row>
    <row r="1805" spans="1:3" x14ac:dyDescent="0.2">
      <c r="A1805" s="3">
        <v>43363</v>
      </c>
      <c r="B1805" s="2">
        <v>28.94</v>
      </c>
      <c r="C1805" s="2">
        <f t="shared" si="28"/>
        <v>9.024705471918245E-3</v>
      </c>
    </row>
    <row r="1806" spans="1:3" x14ac:dyDescent="0.2">
      <c r="A1806" s="3">
        <v>43362</v>
      </c>
      <c r="B1806" s="2">
        <v>28.68</v>
      </c>
      <c r="C1806" s="2">
        <f t="shared" si="28"/>
        <v>8.4034107963793792E-3</v>
      </c>
    </row>
    <row r="1807" spans="1:3" x14ac:dyDescent="0.2">
      <c r="A1807" s="3">
        <v>43361</v>
      </c>
      <c r="B1807" s="2">
        <v>28.44</v>
      </c>
      <c r="C1807" s="2">
        <f t="shared" si="28"/>
        <v>6.3492276786587445E-3</v>
      </c>
    </row>
    <row r="1808" spans="1:3" x14ac:dyDescent="0.2">
      <c r="A1808" s="3">
        <v>43360</v>
      </c>
      <c r="B1808" s="2">
        <v>28.26</v>
      </c>
      <c r="C1808" s="2">
        <f t="shared" si="28"/>
        <v>1.0672459890771979E-2</v>
      </c>
    </row>
    <row r="1809" spans="1:3" x14ac:dyDescent="0.2">
      <c r="A1809" s="3">
        <v>43357</v>
      </c>
      <c r="B1809" s="2">
        <v>27.96</v>
      </c>
      <c r="C1809" s="2">
        <f t="shared" si="28"/>
        <v>-1.8427169178165472E-2</v>
      </c>
    </row>
    <row r="1810" spans="1:3" x14ac:dyDescent="0.2">
      <c r="A1810" s="3">
        <v>43356</v>
      </c>
      <c r="B1810" s="2">
        <v>28.48</v>
      </c>
      <c r="C1810" s="2">
        <f t="shared" si="28"/>
        <v>2.8129413766146577E-3</v>
      </c>
    </row>
    <row r="1811" spans="1:3" x14ac:dyDescent="0.2">
      <c r="A1811" s="3">
        <v>43355</v>
      </c>
      <c r="B1811" s="2">
        <v>28.4</v>
      </c>
      <c r="C1811" s="2">
        <f t="shared" si="28"/>
        <v>1.5614227801550798E-2</v>
      </c>
    </row>
    <row r="1812" spans="1:3" x14ac:dyDescent="0.2">
      <c r="A1812" s="3">
        <v>43354</v>
      </c>
      <c r="B1812" s="2">
        <v>27.96</v>
      </c>
      <c r="C1812" s="2">
        <f t="shared" si="28"/>
        <v>7.8995024789240316E-3</v>
      </c>
    </row>
    <row r="1813" spans="1:3" x14ac:dyDescent="0.2">
      <c r="A1813" s="3">
        <v>43353</v>
      </c>
      <c r="B1813" s="2">
        <v>27.74</v>
      </c>
      <c r="C1813" s="2">
        <f t="shared" si="28"/>
        <v>5.0596421635811474E-3</v>
      </c>
    </row>
    <row r="1814" spans="1:3" x14ac:dyDescent="0.2">
      <c r="A1814" s="3">
        <v>43350</v>
      </c>
      <c r="B1814" s="2">
        <v>27.6</v>
      </c>
      <c r="C1814" s="2">
        <f t="shared" si="28"/>
        <v>2.9027596579614102E-3</v>
      </c>
    </row>
    <row r="1815" spans="1:3" x14ac:dyDescent="0.2">
      <c r="A1815" s="3">
        <v>43349</v>
      </c>
      <c r="B1815" s="2">
        <v>27.52</v>
      </c>
      <c r="C1815" s="2">
        <f t="shared" si="28"/>
        <v>2.8004777805115146E-2</v>
      </c>
    </row>
    <row r="1816" spans="1:3" x14ac:dyDescent="0.2">
      <c r="A1816" s="3">
        <v>43348</v>
      </c>
      <c r="B1816" s="2">
        <v>26.76</v>
      </c>
      <c r="C1816" s="2">
        <f t="shared" si="28"/>
        <v>-2.9850768434532852E-3</v>
      </c>
    </row>
    <row r="1817" spans="1:3" x14ac:dyDescent="0.2">
      <c r="A1817" s="3">
        <v>43347</v>
      </c>
      <c r="B1817" s="2">
        <v>26.84</v>
      </c>
      <c r="C1817" s="2">
        <f t="shared" si="28"/>
        <v>-5.2025386761287784E-3</v>
      </c>
    </row>
    <row r="1818" spans="1:3" x14ac:dyDescent="0.2">
      <c r="A1818" s="3">
        <v>43346</v>
      </c>
      <c r="B1818" s="2">
        <v>26.98</v>
      </c>
      <c r="C1818" s="2">
        <f t="shared" si="28"/>
        <v>-5.1756122925849871E-3</v>
      </c>
    </row>
    <row r="1819" spans="1:3" x14ac:dyDescent="0.2">
      <c r="A1819" s="3">
        <v>43343</v>
      </c>
      <c r="B1819" s="2">
        <v>27.12</v>
      </c>
      <c r="C1819" s="2">
        <f t="shared" si="28"/>
        <v>-6.6152391187192048E-3</v>
      </c>
    </row>
    <row r="1820" spans="1:3" x14ac:dyDescent="0.2">
      <c r="A1820" s="3">
        <v>43342</v>
      </c>
      <c r="B1820" s="2">
        <v>27.3</v>
      </c>
      <c r="C1820" s="2">
        <f t="shared" si="28"/>
        <v>2.522388922394855E-2</v>
      </c>
    </row>
    <row r="1821" spans="1:3" x14ac:dyDescent="0.2">
      <c r="A1821" s="3">
        <v>43341</v>
      </c>
      <c r="B1821" s="2">
        <v>26.62</v>
      </c>
      <c r="C1821" s="2">
        <f t="shared" si="28"/>
        <v>2.5876634078667676E-2</v>
      </c>
    </row>
    <row r="1822" spans="1:3" x14ac:dyDescent="0.2">
      <c r="A1822" s="3">
        <v>43340</v>
      </c>
      <c r="B1822" s="2">
        <v>25.94</v>
      </c>
      <c r="C1822" s="2">
        <f t="shared" si="28"/>
        <v>-1.9847979798511738E-2</v>
      </c>
    </row>
    <row r="1823" spans="1:3" x14ac:dyDescent="0.2">
      <c r="A1823" s="3">
        <v>43339</v>
      </c>
      <c r="B1823" s="2">
        <v>26.46</v>
      </c>
      <c r="C1823" s="2">
        <f t="shared" si="28"/>
        <v>9.1116803512558131E-3</v>
      </c>
    </row>
    <row r="1824" spans="1:3" x14ac:dyDescent="0.2">
      <c r="A1824" s="3">
        <v>43336</v>
      </c>
      <c r="B1824" s="2">
        <v>26.22</v>
      </c>
      <c r="C1824" s="2">
        <f t="shared" si="28"/>
        <v>-1.2130550568507632E-2</v>
      </c>
    </row>
    <row r="1825" spans="1:3" x14ac:dyDescent="0.2">
      <c r="A1825" s="3">
        <v>43335</v>
      </c>
      <c r="B1825" s="2">
        <v>26.54</v>
      </c>
      <c r="C1825" s="2">
        <f t="shared" si="28"/>
        <v>8.3239224469450063E-3</v>
      </c>
    </row>
    <row r="1826" spans="1:3" x14ac:dyDescent="0.2">
      <c r="A1826" s="3">
        <v>43334</v>
      </c>
      <c r="B1826" s="2">
        <v>26.32</v>
      </c>
      <c r="C1826" s="2">
        <f t="shared" si="28"/>
        <v>-1.732623380591005E-2</v>
      </c>
    </row>
    <row r="1827" spans="1:3" x14ac:dyDescent="0.2">
      <c r="A1827" s="3">
        <v>43333</v>
      </c>
      <c r="B1827" s="2">
        <v>26.78</v>
      </c>
      <c r="C1827" s="2">
        <f t="shared" si="28"/>
        <v>1.4291330110755977E-2</v>
      </c>
    </row>
    <row r="1828" spans="1:3" x14ac:dyDescent="0.2">
      <c r="A1828" s="3">
        <v>43332</v>
      </c>
      <c r="B1828" s="2">
        <v>26.4</v>
      </c>
      <c r="C1828" s="2">
        <f t="shared" si="28"/>
        <v>1.1428695823622629E-2</v>
      </c>
    </row>
    <row r="1829" spans="1:3" x14ac:dyDescent="0.2">
      <c r="A1829" s="3">
        <v>43329</v>
      </c>
      <c r="B1829" s="2">
        <v>26.1</v>
      </c>
      <c r="C1829" s="2">
        <f t="shared" si="28"/>
        <v>-2.1229000421914831E-2</v>
      </c>
    </row>
    <row r="1830" spans="1:3" x14ac:dyDescent="0.2">
      <c r="A1830" s="3">
        <v>43325</v>
      </c>
      <c r="B1830" s="2">
        <v>26.66</v>
      </c>
      <c r="C1830" s="2">
        <f t="shared" si="28"/>
        <v>-1.4992506556411496E-3</v>
      </c>
    </row>
    <row r="1831" spans="1:3" x14ac:dyDescent="0.2">
      <c r="A1831" s="3">
        <v>43322</v>
      </c>
      <c r="B1831" s="2">
        <v>26.7</v>
      </c>
      <c r="C1831" s="2">
        <f t="shared" si="28"/>
        <v>-7.4627212015896003E-3</v>
      </c>
    </row>
    <row r="1832" spans="1:3" x14ac:dyDescent="0.2">
      <c r="A1832" s="3">
        <v>43321</v>
      </c>
      <c r="B1832" s="2">
        <v>26.9</v>
      </c>
      <c r="C1832" s="2">
        <f t="shared" si="28"/>
        <v>-1.0355122115204247E-2</v>
      </c>
    </row>
    <row r="1833" spans="1:3" x14ac:dyDescent="0.2">
      <c r="A1833" s="3">
        <v>43320</v>
      </c>
      <c r="B1833" s="2">
        <v>27.18</v>
      </c>
      <c r="C1833" s="2">
        <f t="shared" si="28"/>
        <v>-7.3556457895397837E-4</v>
      </c>
    </row>
    <row r="1834" spans="1:3" x14ac:dyDescent="0.2">
      <c r="A1834" s="3">
        <v>43319</v>
      </c>
      <c r="B1834" s="2">
        <v>27.2</v>
      </c>
      <c r="C1834" s="2">
        <f t="shared" si="28"/>
        <v>-1.4598799421152749E-2</v>
      </c>
    </row>
    <row r="1835" spans="1:3" x14ac:dyDescent="0.2">
      <c r="A1835" s="3">
        <v>43318</v>
      </c>
      <c r="B1835" s="2">
        <v>27.6</v>
      </c>
      <c r="C1835" s="2">
        <f t="shared" si="28"/>
        <v>4.1426041654296947E-2</v>
      </c>
    </row>
    <row r="1836" spans="1:3" x14ac:dyDescent="0.2">
      <c r="A1836" s="3">
        <v>43315</v>
      </c>
      <c r="B1836" s="2">
        <v>26.48</v>
      </c>
      <c r="C1836" s="2">
        <f t="shared" si="28"/>
        <v>5.3010347536725094E-3</v>
      </c>
    </row>
    <row r="1837" spans="1:3" x14ac:dyDescent="0.2">
      <c r="A1837" s="3">
        <v>43314</v>
      </c>
      <c r="B1837" s="2">
        <v>26.34</v>
      </c>
      <c r="C1837" s="2">
        <f t="shared" si="28"/>
        <v>-1.8059181538397532E-2</v>
      </c>
    </row>
    <row r="1838" spans="1:3" x14ac:dyDescent="0.2">
      <c r="A1838" s="3">
        <v>43313</v>
      </c>
      <c r="B1838" s="2">
        <v>26.82</v>
      </c>
      <c r="C1838" s="2">
        <f t="shared" si="28"/>
        <v>-4.4642931286854931E-3</v>
      </c>
    </row>
    <row r="1839" spans="1:3" x14ac:dyDescent="0.2">
      <c r="A1839" s="3">
        <v>43312</v>
      </c>
      <c r="B1839" s="2">
        <v>26.94</v>
      </c>
      <c r="C1839" s="2">
        <f t="shared" si="28"/>
        <v>-4.4444517604239064E-3</v>
      </c>
    </row>
    <row r="1840" spans="1:3" x14ac:dyDescent="0.2">
      <c r="A1840" s="3">
        <v>43311</v>
      </c>
      <c r="B1840" s="2">
        <v>27.06</v>
      </c>
      <c r="C1840" s="2">
        <f t="shared" si="28"/>
        <v>-3.6886799478534956E-3</v>
      </c>
    </row>
    <row r="1841" spans="1:3" x14ac:dyDescent="0.2">
      <c r="A1841" s="3">
        <v>43308</v>
      </c>
      <c r="B1841" s="2">
        <v>27.16</v>
      </c>
      <c r="C1841" s="2">
        <f t="shared" si="28"/>
        <v>1.4837067430467574E-2</v>
      </c>
    </row>
    <row r="1842" spans="1:3" x14ac:dyDescent="0.2">
      <c r="A1842" s="3">
        <v>43307</v>
      </c>
      <c r="B1842" s="2">
        <v>26.76</v>
      </c>
      <c r="C1842" s="2">
        <f t="shared" si="28"/>
        <v>1.0518504191220317E-2</v>
      </c>
    </row>
    <row r="1843" spans="1:3" x14ac:dyDescent="0.2">
      <c r="A1843" s="3">
        <v>43306</v>
      </c>
      <c r="B1843" s="2">
        <v>26.48</v>
      </c>
      <c r="C1843" s="2">
        <f t="shared" si="28"/>
        <v>-1.1265609194219017E-2</v>
      </c>
    </row>
    <row r="1844" spans="1:3" x14ac:dyDescent="0.2">
      <c r="A1844" s="3">
        <v>43305</v>
      </c>
      <c r="B1844" s="2">
        <v>26.78</v>
      </c>
      <c r="C1844" s="2">
        <f t="shared" si="28"/>
        <v>5.2414945908381919E-3</v>
      </c>
    </row>
    <row r="1845" spans="1:3" x14ac:dyDescent="0.2">
      <c r="A1845" s="3">
        <v>43304</v>
      </c>
      <c r="B1845" s="2">
        <v>26.64</v>
      </c>
      <c r="C1845" s="2">
        <f t="shared" si="28"/>
        <v>-1.4163486859864413E-2</v>
      </c>
    </row>
    <row r="1846" spans="1:3" x14ac:dyDescent="0.2">
      <c r="A1846" s="3">
        <v>43301</v>
      </c>
      <c r="B1846" s="2">
        <v>27.02</v>
      </c>
      <c r="C1846" s="2">
        <f t="shared" si="28"/>
        <v>-1.4792902105891703E-3</v>
      </c>
    </row>
    <row r="1847" spans="1:3" x14ac:dyDescent="0.2">
      <c r="A1847" s="3">
        <v>43300</v>
      </c>
      <c r="B1847" s="2">
        <v>27.06</v>
      </c>
      <c r="C1847" s="2">
        <f t="shared" si="28"/>
        <v>-8.8300794482721479E-3</v>
      </c>
    </row>
    <row r="1848" spans="1:3" x14ac:dyDescent="0.2">
      <c r="A1848" s="3">
        <v>43299</v>
      </c>
      <c r="B1848" s="2">
        <v>27.3</v>
      </c>
      <c r="C1848" s="2">
        <f t="shared" si="28"/>
        <v>8.8300794482722156E-3</v>
      </c>
    </row>
    <row r="1849" spans="1:3" x14ac:dyDescent="0.2">
      <c r="A1849" s="3">
        <v>43298</v>
      </c>
      <c r="B1849" s="2">
        <v>27.06</v>
      </c>
      <c r="C1849" s="2">
        <f t="shared" si="28"/>
        <v>1.264427407419709E-2</v>
      </c>
    </row>
    <row r="1850" spans="1:3" x14ac:dyDescent="0.2">
      <c r="A1850" s="3">
        <v>43297</v>
      </c>
      <c r="B1850" s="2">
        <v>26.72</v>
      </c>
      <c r="C1850" s="2">
        <f t="shared" si="28"/>
        <v>-3.735529185087582E-3</v>
      </c>
    </row>
    <row r="1851" spans="1:3" x14ac:dyDescent="0.2">
      <c r="A1851" s="3">
        <v>43294</v>
      </c>
      <c r="B1851" s="2">
        <v>26.82</v>
      </c>
      <c r="C1851" s="2">
        <f t="shared" si="28"/>
        <v>1.0494848949471053E-2</v>
      </c>
    </row>
    <row r="1852" spans="1:3" x14ac:dyDescent="0.2">
      <c r="A1852" s="3">
        <v>43293</v>
      </c>
      <c r="B1852" s="2">
        <v>26.54</v>
      </c>
      <c r="C1852" s="2">
        <f t="shared" si="28"/>
        <v>9.8448352876516054E-3</v>
      </c>
    </row>
    <row r="1853" spans="1:3" x14ac:dyDescent="0.2">
      <c r="A1853" s="3">
        <v>43292</v>
      </c>
      <c r="B1853" s="2">
        <v>26.28</v>
      </c>
      <c r="C1853" s="2">
        <f t="shared" si="28"/>
        <v>-1.4356121134152848E-2</v>
      </c>
    </row>
    <row r="1854" spans="1:3" x14ac:dyDescent="0.2">
      <c r="A1854" s="3">
        <v>43291</v>
      </c>
      <c r="B1854" s="2">
        <v>26.66</v>
      </c>
      <c r="C1854" s="2">
        <f t="shared" si="28"/>
        <v>1.2835208293446072E-2</v>
      </c>
    </row>
    <row r="1855" spans="1:3" x14ac:dyDescent="0.2">
      <c r="A1855" s="3">
        <v>43290</v>
      </c>
      <c r="B1855" s="2">
        <v>26.32</v>
      </c>
      <c r="C1855" s="2">
        <f t="shared" si="28"/>
        <v>1.7631733113405081E-2</v>
      </c>
    </row>
    <row r="1856" spans="1:3" x14ac:dyDescent="0.2">
      <c r="A1856" s="3">
        <v>43286</v>
      </c>
      <c r="B1856" s="2">
        <v>25.86</v>
      </c>
      <c r="C1856" s="2">
        <f t="shared" si="28"/>
        <v>1.7161107582403232E-2</v>
      </c>
    </row>
    <row r="1857" spans="1:3" x14ac:dyDescent="0.2">
      <c r="A1857" s="3">
        <v>43285</v>
      </c>
      <c r="B1857" s="2">
        <v>25.42</v>
      </c>
      <c r="C1857" s="2">
        <f t="shared" si="28"/>
        <v>-3.0986212574245692E-2</v>
      </c>
    </row>
    <row r="1858" spans="1:3" x14ac:dyDescent="0.2">
      <c r="A1858" s="3">
        <v>43284</v>
      </c>
      <c r="B1858" s="2">
        <v>26.22</v>
      </c>
      <c r="C1858" s="2">
        <f t="shared" si="28"/>
        <v>-1.5891367336634665E-2</v>
      </c>
    </row>
    <row r="1859" spans="1:3" x14ac:dyDescent="0.2">
      <c r="A1859" s="3">
        <v>43280</v>
      </c>
      <c r="B1859" s="2">
        <v>26.64</v>
      </c>
      <c r="C1859" s="2">
        <f t="shared" ref="C1859:C1922" si="29">+LN(B1859/B1860)</f>
        <v>2.6627666783890589E-2</v>
      </c>
    </row>
    <row r="1860" spans="1:3" x14ac:dyDescent="0.2">
      <c r="A1860" s="3">
        <v>43279</v>
      </c>
      <c r="B1860" s="2">
        <v>25.94</v>
      </c>
      <c r="C1860" s="2">
        <f t="shared" si="29"/>
        <v>-1.7577831263972572E-2</v>
      </c>
    </row>
    <row r="1861" spans="1:3" x14ac:dyDescent="0.2">
      <c r="A1861" s="3">
        <v>43278</v>
      </c>
      <c r="B1861" s="2">
        <v>26.4</v>
      </c>
      <c r="C1861" s="2">
        <f t="shared" si="29"/>
        <v>-2.985296314968116E-2</v>
      </c>
    </row>
    <row r="1862" spans="1:3" x14ac:dyDescent="0.2">
      <c r="A1862" s="3">
        <v>43276</v>
      </c>
      <c r="B1862" s="2">
        <v>27.2</v>
      </c>
      <c r="C1862" s="2">
        <f t="shared" si="29"/>
        <v>-5.8651194523981339E-3</v>
      </c>
    </row>
    <row r="1863" spans="1:3" x14ac:dyDescent="0.2">
      <c r="A1863" s="3">
        <v>43273</v>
      </c>
      <c r="B1863" s="2">
        <v>27.36</v>
      </c>
      <c r="C1863" s="2">
        <f t="shared" si="29"/>
        <v>6.6006840313520927E-3</v>
      </c>
    </row>
    <row r="1864" spans="1:3" x14ac:dyDescent="0.2">
      <c r="A1864" s="3">
        <v>43272</v>
      </c>
      <c r="B1864" s="2">
        <v>27.18</v>
      </c>
      <c r="C1864" s="2">
        <f t="shared" si="29"/>
        <v>-8.7912654111707705E-3</v>
      </c>
    </row>
    <row r="1865" spans="1:3" x14ac:dyDescent="0.2">
      <c r="A1865" s="3">
        <v>43271</v>
      </c>
      <c r="B1865" s="2">
        <v>27.42</v>
      </c>
      <c r="C1865" s="2">
        <f t="shared" si="29"/>
        <v>-3.6403389309745309E-3</v>
      </c>
    </row>
    <row r="1866" spans="1:3" x14ac:dyDescent="0.2">
      <c r="A1866" s="3">
        <v>43270</v>
      </c>
      <c r="B1866" s="2">
        <v>27.52</v>
      </c>
      <c r="C1866" s="2">
        <f t="shared" si="29"/>
        <v>-1.2278955286516768E-2</v>
      </c>
    </row>
    <row r="1867" spans="1:3" x14ac:dyDescent="0.2">
      <c r="A1867" s="3">
        <v>43269</v>
      </c>
      <c r="B1867" s="2">
        <v>27.86</v>
      </c>
      <c r="C1867" s="2">
        <f t="shared" si="29"/>
        <v>-2.151309542512133E-3</v>
      </c>
    </row>
    <row r="1868" spans="1:3" x14ac:dyDescent="0.2">
      <c r="A1868" s="3">
        <v>43266</v>
      </c>
      <c r="B1868" s="2">
        <v>27.92</v>
      </c>
      <c r="C1868" s="2">
        <f t="shared" si="29"/>
        <v>-7.8487737920712869E-3</v>
      </c>
    </row>
    <row r="1869" spans="1:3" x14ac:dyDescent="0.2">
      <c r="A1869" s="3">
        <v>43265</v>
      </c>
      <c r="B1869" s="2">
        <v>28.14</v>
      </c>
      <c r="C1869" s="2">
        <f t="shared" si="29"/>
        <v>2.1344725286326196E-3</v>
      </c>
    </row>
    <row r="1870" spans="1:3" x14ac:dyDescent="0.2">
      <c r="A1870" s="3">
        <v>43264</v>
      </c>
      <c r="B1870" s="2">
        <v>28.08</v>
      </c>
      <c r="C1870" s="2">
        <f t="shared" si="29"/>
        <v>-4.2643987864575397E-3</v>
      </c>
    </row>
    <row r="1871" spans="1:3" x14ac:dyDescent="0.2">
      <c r="A1871" s="3">
        <v>43263</v>
      </c>
      <c r="B1871" s="2">
        <v>28.2</v>
      </c>
      <c r="C1871" s="2">
        <f t="shared" si="29"/>
        <v>-9.1776147176384527E-3</v>
      </c>
    </row>
    <row r="1872" spans="1:3" x14ac:dyDescent="0.2">
      <c r="A1872" s="3">
        <v>43262</v>
      </c>
      <c r="B1872" s="2">
        <v>28.46</v>
      </c>
      <c r="C1872" s="2">
        <f t="shared" si="29"/>
        <v>3.2860099361197527E-2</v>
      </c>
    </row>
    <row r="1873" spans="1:3" x14ac:dyDescent="0.2">
      <c r="A1873" s="3">
        <v>43259</v>
      </c>
      <c r="B1873" s="2">
        <v>27.54</v>
      </c>
      <c r="C1873" s="2">
        <f t="shared" si="29"/>
        <v>-9.3965273960826268E-3</v>
      </c>
    </row>
    <row r="1874" spans="1:3" x14ac:dyDescent="0.2">
      <c r="A1874" s="3">
        <v>43258</v>
      </c>
      <c r="B1874" s="2">
        <v>27.8</v>
      </c>
      <c r="C1874" s="2">
        <f t="shared" si="29"/>
        <v>2.1606058099059074E-3</v>
      </c>
    </row>
    <row r="1875" spans="1:3" x14ac:dyDescent="0.2">
      <c r="A1875" s="3">
        <v>43257</v>
      </c>
      <c r="B1875" s="2">
        <v>27.74</v>
      </c>
      <c r="C1875" s="2">
        <f t="shared" si="29"/>
        <v>7.2124056498300477E-4</v>
      </c>
    </row>
    <row r="1876" spans="1:3" x14ac:dyDescent="0.2">
      <c r="A1876" s="3">
        <v>43256</v>
      </c>
      <c r="B1876" s="2">
        <v>27.72</v>
      </c>
      <c r="C1876" s="2">
        <f t="shared" si="29"/>
        <v>-2.162163004495348E-3</v>
      </c>
    </row>
    <row r="1877" spans="1:3" x14ac:dyDescent="0.2">
      <c r="A1877" s="3">
        <v>43255</v>
      </c>
      <c r="B1877" s="2">
        <v>27.78</v>
      </c>
      <c r="C1877" s="2">
        <f t="shared" si="29"/>
        <v>1.4503517465895031E-2</v>
      </c>
    </row>
    <row r="1878" spans="1:3" x14ac:dyDescent="0.2">
      <c r="A1878" s="3">
        <v>43252</v>
      </c>
      <c r="B1878" s="2">
        <v>27.38</v>
      </c>
      <c r="C1878" s="2">
        <f t="shared" si="29"/>
        <v>2.0664942006770312E-2</v>
      </c>
    </row>
    <row r="1879" spans="1:3" x14ac:dyDescent="0.2">
      <c r="A1879" s="3">
        <v>43251</v>
      </c>
      <c r="B1879" s="2">
        <v>26.82</v>
      </c>
      <c r="C1879" s="2">
        <f t="shared" si="29"/>
        <v>3.7355291850874484E-3</v>
      </c>
    </row>
    <row r="1880" spans="1:3" x14ac:dyDescent="0.2">
      <c r="A1880" s="3">
        <v>43250</v>
      </c>
      <c r="B1880" s="2">
        <v>26.72</v>
      </c>
      <c r="C1880" s="2">
        <f t="shared" si="29"/>
        <v>9.778189981635264E-3</v>
      </c>
    </row>
    <row r="1881" spans="1:3" x14ac:dyDescent="0.2">
      <c r="A1881" s="3">
        <v>43249</v>
      </c>
      <c r="B1881" s="2">
        <v>26.46</v>
      </c>
      <c r="C1881" s="2">
        <f t="shared" si="29"/>
        <v>-4.5798254506483158E-2</v>
      </c>
    </row>
    <row r="1882" spans="1:3" x14ac:dyDescent="0.2">
      <c r="A1882" s="3">
        <v>43248</v>
      </c>
      <c r="B1882" s="2">
        <v>27.7</v>
      </c>
      <c r="C1882" s="2">
        <f t="shared" si="29"/>
        <v>-3.4070009206733018E-2</v>
      </c>
    </row>
    <row r="1883" spans="1:3" x14ac:dyDescent="0.2">
      <c r="A1883" s="3">
        <v>43245</v>
      </c>
      <c r="B1883" s="2">
        <v>28.66</v>
      </c>
      <c r="C1883" s="2">
        <f t="shared" si="29"/>
        <v>2.9747235904728993E-2</v>
      </c>
    </row>
    <row r="1884" spans="1:3" x14ac:dyDescent="0.2">
      <c r="A1884" s="3">
        <v>43244</v>
      </c>
      <c r="B1884" s="2">
        <v>27.82</v>
      </c>
      <c r="C1884" s="2">
        <f t="shared" si="29"/>
        <v>-5.0197308703127212E-3</v>
      </c>
    </row>
    <row r="1885" spans="1:3" x14ac:dyDescent="0.2">
      <c r="A1885" s="3">
        <v>43243</v>
      </c>
      <c r="B1885" s="2">
        <v>27.96</v>
      </c>
      <c r="C1885" s="2">
        <f t="shared" si="29"/>
        <v>3.5829490139499287E-3</v>
      </c>
    </row>
    <row r="1886" spans="1:3" x14ac:dyDescent="0.2">
      <c r="A1886" s="3">
        <v>43241</v>
      </c>
      <c r="B1886" s="2">
        <v>27.86</v>
      </c>
      <c r="C1886" s="2">
        <f t="shared" si="29"/>
        <v>-8.5776079880405011E-3</v>
      </c>
    </row>
    <row r="1887" spans="1:3" x14ac:dyDescent="0.2">
      <c r="A1887" s="3">
        <v>43238</v>
      </c>
      <c r="B1887" s="2">
        <v>28.1</v>
      </c>
      <c r="C1887" s="2">
        <f t="shared" si="29"/>
        <v>-2.8429301308339804E-3</v>
      </c>
    </row>
    <row r="1888" spans="1:3" x14ac:dyDescent="0.2">
      <c r="A1888" s="3">
        <v>43237</v>
      </c>
      <c r="B1888" s="2">
        <v>28.18</v>
      </c>
      <c r="C1888" s="2">
        <f t="shared" si="29"/>
        <v>1.5016370831930394E-2</v>
      </c>
    </row>
    <row r="1889" spans="1:3" x14ac:dyDescent="0.2">
      <c r="A1889" s="3">
        <v>43236</v>
      </c>
      <c r="B1889" s="2">
        <v>27.76</v>
      </c>
      <c r="C1889" s="2">
        <f t="shared" si="29"/>
        <v>-1.7143276986437427E-2</v>
      </c>
    </row>
    <row r="1890" spans="1:3" x14ac:dyDescent="0.2">
      <c r="A1890" s="3">
        <v>43235</v>
      </c>
      <c r="B1890" s="2">
        <v>28.24</v>
      </c>
      <c r="C1890" s="2">
        <f t="shared" si="29"/>
        <v>-1.1267724846342269E-2</v>
      </c>
    </row>
    <row r="1891" spans="1:3" x14ac:dyDescent="0.2">
      <c r="A1891" s="3">
        <v>43234</v>
      </c>
      <c r="B1891" s="2">
        <v>28.56</v>
      </c>
      <c r="C1891" s="2">
        <f t="shared" si="29"/>
        <v>-2.4897551621727201E-2</v>
      </c>
    </row>
    <row r="1892" spans="1:3" x14ac:dyDescent="0.2">
      <c r="A1892" s="3">
        <v>43231</v>
      </c>
      <c r="B1892" s="2">
        <v>29.28</v>
      </c>
      <c r="C1892" s="2">
        <f t="shared" si="29"/>
        <v>2.2798914964806027E-2</v>
      </c>
    </row>
    <row r="1893" spans="1:3" x14ac:dyDescent="0.2">
      <c r="A1893" s="3">
        <v>43230</v>
      </c>
      <c r="B1893" s="2">
        <v>28.62</v>
      </c>
      <c r="C1893" s="2">
        <f t="shared" si="29"/>
        <v>2.6913805776645199E-2</v>
      </c>
    </row>
    <row r="1894" spans="1:3" x14ac:dyDescent="0.2">
      <c r="A1894" s="3">
        <v>43229</v>
      </c>
      <c r="B1894" s="2">
        <v>27.86</v>
      </c>
      <c r="C1894" s="2">
        <f t="shared" si="29"/>
        <v>1.0826522206201894E-2</v>
      </c>
    </row>
    <row r="1895" spans="1:3" x14ac:dyDescent="0.2">
      <c r="A1895" s="3">
        <v>43228</v>
      </c>
      <c r="B1895" s="2">
        <v>27.56</v>
      </c>
      <c r="C1895" s="2">
        <f t="shared" si="29"/>
        <v>-1.5839064029746181E-2</v>
      </c>
    </row>
    <row r="1896" spans="1:3" x14ac:dyDescent="0.2">
      <c r="A1896" s="3">
        <v>43227</v>
      </c>
      <c r="B1896" s="2">
        <v>28</v>
      </c>
      <c r="C1896" s="2">
        <f t="shared" si="29"/>
        <v>1.3664362194057899E-2</v>
      </c>
    </row>
    <row r="1897" spans="1:3" x14ac:dyDescent="0.2">
      <c r="A1897" s="3">
        <v>43224</v>
      </c>
      <c r="B1897" s="2">
        <v>27.62</v>
      </c>
      <c r="C1897" s="2">
        <f t="shared" si="29"/>
        <v>1.3853666699834439E-2</v>
      </c>
    </row>
    <row r="1898" spans="1:3" x14ac:dyDescent="0.2">
      <c r="A1898" s="3">
        <v>43223</v>
      </c>
      <c r="B1898" s="2">
        <v>27.24</v>
      </c>
      <c r="C1898" s="2">
        <f t="shared" si="29"/>
        <v>2.9411785908162289E-3</v>
      </c>
    </row>
    <row r="1899" spans="1:3" x14ac:dyDescent="0.2">
      <c r="A1899" s="3">
        <v>43222</v>
      </c>
      <c r="B1899" s="2">
        <v>27.16</v>
      </c>
      <c r="C1899" s="2">
        <f t="shared" si="29"/>
        <v>2.9139155401326958E-2</v>
      </c>
    </row>
    <row r="1900" spans="1:3" x14ac:dyDescent="0.2">
      <c r="A1900" s="3">
        <v>43220</v>
      </c>
      <c r="B1900" s="2">
        <v>26.38</v>
      </c>
      <c r="C1900" s="2">
        <f t="shared" si="29"/>
        <v>4.5592784145182114E-3</v>
      </c>
    </row>
    <row r="1901" spans="1:3" x14ac:dyDescent="0.2">
      <c r="A1901" s="3">
        <v>43217</v>
      </c>
      <c r="B1901" s="2">
        <v>26.26</v>
      </c>
      <c r="C1901" s="2">
        <f t="shared" si="29"/>
        <v>-1.5220703090687295E-3</v>
      </c>
    </row>
    <row r="1902" spans="1:3" x14ac:dyDescent="0.2">
      <c r="A1902" s="3">
        <v>43216</v>
      </c>
      <c r="B1902" s="2">
        <v>26.3</v>
      </c>
      <c r="C1902" s="2">
        <f t="shared" si="29"/>
        <v>3.8095284166676487E-3</v>
      </c>
    </row>
    <row r="1903" spans="1:3" x14ac:dyDescent="0.2">
      <c r="A1903" s="3">
        <v>43215</v>
      </c>
      <c r="B1903" s="2">
        <v>26.2</v>
      </c>
      <c r="C1903" s="2">
        <f t="shared" si="29"/>
        <v>-2.2642476749759891E-2</v>
      </c>
    </row>
    <row r="1904" spans="1:3" x14ac:dyDescent="0.2">
      <c r="A1904" s="3">
        <v>43214</v>
      </c>
      <c r="B1904" s="2">
        <v>26.8</v>
      </c>
      <c r="C1904" s="2">
        <f t="shared" si="29"/>
        <v>3.4158918811319078E-2</v>
      </c>
    </row>
    <row r="1905" spans="1:3" x14ac:dyDescent="0.2">
      <c r="A1905" s="3">
        <v>43213</v>
      </c>
      <c r="B1905" s="2">
        <v>25.9</v>
      </c>
      <c r="C1905" s="2">
        <f t="shared" si="29"/>
        <v>-2.3139231303972345E-3</v>
      </c>
    </row>
    <row r="1906" spans="1:3" x14ac:dyDescent="0.2">
      <c r="A1906" s="3">
        <v>43210</v>
      </c>
      <c r="B1906" s="2">
        <v>25.96</v>
      </c>
      <c r="C1906" s="2">
        <f t="shared" si="29"/>
        <v>-1.1489977038760936E-2</v>
      </c>
    </row>
    <row r="1907" spans="1:3" x14ac:dyDescent="0.2">
      <c r="A1907" s="3">
        <v>43209</v>
      </c>
      <c r="B1907" s="2">
        <v>26.26</v>
      </c>
      <c r="C1907" s="2">
        <f t="shared" si="29"/>
        <v>-1.3615944092315421E-2</v>
      </c>
    </row>
    <row r="1908" spans="1:3" x14ac:dyDescent="0.2">
      <c r="A1908" s="3">
        <v>43208</v>
      </c>
      <c r="B1908" s="2">
        <v>26.62</v>
      </c>
      <c r="C1908" s="2">
        <f t="shared" si="29"/>
        <v>-8.9753781281259239E-3</v>
      </c>
    </row>
    <row r="1909" spans="1:3" x14ac:dyDescent="0.2">
      <c r="A1909" s="3">
        <v>43207</v>
      </c>
      <c r="B1909" s="2">
        <v>26.86</v>
      </c>
      <c r="C1909" s="2">
        <f t="shared" si="29"/>
        <v>1.7274180942821175E-2</v>
      </c>
    </row>
    <row r="1910" spans="1:3" x14ac:dyDescent="0.2">
      <c r="A1910" s="3">
        <v>43206</v>
      </c>
      <c r="B1910" s="2">
        <v>26.4</v>
      </c>
      <c r="C1910" s="2">
        <f t="shared" si="29"/>
        <v>-2.1731840627339405E-2</v>
      </c>
    </row>
    <row r="1911" spans="1:3" x14ac:dyDescent="0.2">
      <c r="A1911" s="3">
        <v>43203</v>
      </c>
      <c r="B1911" s="2">
        <v>26.98</v>
      </c>
      <c r="C1911" s="2">
        <f t="shared" si="29"/>
        <v>6.6939632627988147E-3</v>
      </c>
    </row>
    <row r="1912" spans="1:3" x14ac:dyDescent="0.2">
      <c r="A1912" s="3">
        <v>43202</v>
      </c>
      <c r="B1912" s="2">
        <v>26.8</v>
      </c>
      <c r="C1912" s="2">
        <f t="shared" si="29"/>
        <v>1.3523872533325369E-2</v>
      </c>
    </row>
    <row r="1913" spans="1:3" x14ac:dyDescent="0.2">
      <c r="A1913" s="3">
        <v>43201</v>
      </c>
      <c r="B1913" s="2">
        <v>26.44</v>
      </c>
      <c r="C1913" s="2">
        <f t="shared" si="29"/>
        <v>-2.2667180086909208E-3</v>
      </c>
    </row>
    <row r="1914" spans="1:3" x14ac:dyDescent="0.2">
      <c r="A1914" s="3">
        <v>43200</v>
      </c>
      <c r="B1914" s="2">
        <v>26.5</v>
      </c>
      <c r="C1914" s="2">
        <f t="shared" si="29"/>
        <v>3.7807228399061523E-3</v>
      </c>
    </row>
    <row r="1915" spans="1:3" x14ac:dyDescent="0.2">
      <c r="A1915" s="3">
        <v>43199</v>
      </c>
      <c r="B1915" s="2">
        <v>26.4</v>
      </c>
      <c r="C1915" s="2">
        <f t="shared" si="29"/>
        <v>1.516300517964008E-3</v>
      </c>
    </row>
    <row r="1916" spans="1:3" x14ac:dyDescent="0.2">
      <c r="A1916" s="3">
        <v>43196</v>
      </c>
      <c r="B1916" s="2">
        <v>26.36</v>
      </c>
      <c r="C1916" s="2">
        <f t="shared" si="29"/>
        <v>-1.1316605116256165E-2</v>
      </c>
    </row>
    <row r="1917" spans="1:3" x14ac:dyDescent="0.2">
      <c r="A1917" s="3">
        <v>43195</v>
      </c>
      <c r="B1917" s="2">
        <v>26.66</v>
      </c>
      <c r="C1917" s="2">
        <f t="shared" si="29"/>
        <v>1.0558167461394119E-2</v>
      </c>
    </row>
    <row r="1918" spans="1:3" x14ac:dyDescent="0.2">
      <c r="A1918" s="3">
        <v>43194</v>
      </c>
      <c r="B1918" s="2">
        <v>26.38</v>
      </c>
      <c r="C1918" s="2">
        <f t="shared" si="29"/>
        <v>-4.0124253050656554E-2</v>
      </c>
    </row>
    <row r="1919" spans="1:3" x14ac:dyDescent="0.2">
      <c r="A1919" s="3">
        <v>43188</v>
      </c>
      <c r="B1919" s="2">
        <v>27.46</v>
      </c>
      <c r="C1919" s="2">
        <f t="shared" si="29"/>
        <v>4.7734639858071186E-2</v>
      </c>
    </row>
    <row r="1920" spans="1:3" x14ac:dyDescent="0.2">
      <c r="A1920" s="3">
        <v>43187</v>
      </c>
      <c r="B1920" s="2">
        <v>26.18</v>
      </c>
      <c r="C1920" s="2">
        <f t="shared" si="29"/>
        <v>-1.2148972510422629E-2</v>
      </c>
    </row>
    <row r="1921" spans="1:3" x14ac:dyDescent="0.2">
      <c r="A1921" s="3">
        <v>43186</v>
      </c>
      <c r="B1921" s="2">
        <v>26.5</v>
      </c>
      <c r="C1921" s="2">
        <f t="shared" si="29"/>
        <v>9.8597689162883244E-3</v>
      </c>
    </row>
    <row r="1922" spans="1:3" x14ac:dyDescent="0.2">
      <c r="A1922" s="3">
        <v>43185</v>
      </c>
      <c r="B1922" s="2">
        <v>26.24</v>
      </c>
      <c r="C1922" s="2">
        <f t="shared" si="29"/>
        <v>-2.1862913777644204E-2</v>
      </c>
    </row>
    <row r="1923" spans="1:3" x14ac:dyDescent="0.2">
      <c r="A1923" s="3">
        <v>43182</v>
      </c>
      <c r="B1923" s="2">
        <v>26.82</v>
      </c>
      <c r="C1923" s="2">
        <f t="shared" ref="C1923:C1986" si="30">+LN(B1923/B1924)</f>
        <v>5.9835631029698079E-3</v>
      </c>
    </row>
    <row r="1924" spans="1:3" x14ac:dyDescent="0.2">
      <c r="A1924" s="3">
        <v>43181</v>
      </c>
      <c r="B1924" s="2">
        <v>26.66</v>
      </c>
      <c r="C1924" s="2">
        <f t="shared" si="30"/>
        <v>-2.2989518224698833E-2</v>
      </c>
    </row>
    <row r="1925" spans="1:3" x14ac:dyDescent="0.2">
      <c r="A1925" s="3">
        <v>43180</v>
      </c>
      <c r="B1925" s="2">
        <v>27.28</v>
      </c>
      <c r="C1925" s="2">
        <f t="shared" si="30"/>
        <v>-5.1188411589069786E-3</v>
      </c>
    </row>
    <row r="1926" spans="1:3" x14ac:dyDescent="0.2">
      <c r="A1926" s="3">
        <v>43178</v>
      </c>
      <c r="B1926" s="2">
        <v>27.42</v>
      </c>
      <c r="C1926" s="2">
        <f t="shared" si="30"/>
        <v>-2.0217295103166773E-2</v>
      </c>
    </row>
    <row r="1927" spans="1:3" x14ac:dyDescent="0.2">
      <c r="A1927" s="3">
        <v>43175</v>
      </c>
      <c r="B1927" s="2">
        <v>27.98</v>
      </c>
      <c r="C1927" s="2">
        <f t="shared" si="30"/>
        <v>-2.8885417904565138E-2</v>
      </c>
    </row>
    <row r="1928" spans="1:3" x14ac:dyDescent="0.2">
      <c r="A1928" s="3">
        <v>43174</v>
      </c>
      <c r="B1928" s="2">
        <v>28.8</v>
      </c>
      <c r="C1928" s="2">
        <f t="shared" si="30"/>
        <v>1.8220546113528316E-2</v>
      </c>
    </row>
    <row r="1929" spans="1:3" x14ac:dyDescent="0.2">
      <c r="A1929" s="3">
        <v>43173</v>
      </c>
      <c r="B1929" s="2">
        <v>28.28</v>
      </c>
      <c r="C1929" s="2">
        <f t="shared" si="30"/>
        <v>-1.7525860430849787E-2</v>
      </c>
    </row>
    <row r="1930" spans="1:3" x14ac:dyDescent="0.2">
      <c r="A1930" s="3">
        <v>43172</v>
      </c>
      <c r="B1930" s="2">
        <v>28.78</v>
      </c>
      <c r="C1930" s="2">
        <f t="shared" si="30"/>
        <v>2.3199634516757564E-2</v>
      </c>
    </row>
    <row r="1931" spans="1:3" x14ac:dyDescent="0.2">
      <c r="A1931" s="3">
        <v>43171</v>
      </c>
      <c r="B1931" s="2">
        <v>28.12</v>
      </c>
      <c r="C1931" s="2">
        <f t="shared" si="30"/>
        <v>-1.4124528603630976E-2</v>
      </c>
    </row>
    <row r="1932" spans="1:3" x14ac:dyDescent="0.2">
      <c r="A1932" s="3">
        <v>43168</v>
      </c>
      <c r="B1932" s="2">
        <v>28.52</v>
      </c>
      <c r="C1932" s="2">
        <f t="shared" si="30"/>
        <v>3.0618269309483075E-2</v>
      </c>
    </row>
    <row r="1933" spans="1:3" x14ac:dyDescent="0.2">
      <c r="A1933" s="3">
        <v>43167</v>
      </c>
      <c r="B1933" s="2">
        <v>27.66</v>
      </c>
      <c r="C1933" s="2">
        <f t="shared" si="30"/>
        <v>-7.9222596557109119E-3</v>
      </c>
    </row>
    <row r="1934" spans="1:3" x14ac:dyDescent="0.2">
      <c r="A1934" s="3">
        <v>43166</v>
      </c>
      <c r="B1934" s="2">
        <v>27.88</v>
      </c>
      <c r="C1934" s="2">
        <f t="shared" si="30"/>
        <v>2.7638122820128321E-2</v>
      </c>
    </row>
    <row r="1935" spans="1:3" x14ac:dyDescent="0.2">
      <c r="A1935" s="3">
        <v>43165</v>
      </c>
      <c r="B1935" s="2">
        <v>27.12</v>
      </c>
      <c r="C1935" s="2">
        <f t="shared" si="30"/>
        <v>2.5393448088709313E-2</v>
      </c>
    </row>
    <row r="1936" spans="1:3" x14ac:dyDescent="0.2">
      <c r="A1936" s="3">
        <v>43161</v>
      </c>
      <c r="B1936" s="2">
        <v>26.44</v>
      </c>
      <c r="C1936" s="2">
        <f t="shared" si="30"/>
        <v>-1.4269862870046883E-2</v>
      </c>
    </row>
    <row r="1937" spans="1:3" x14ac:dyDescent="0.2">
      <c r="A1937" s="3">
        <v>43160</v>
      </c>
      <c r="B1937" s="2">
        <v>26.82</v>
      </c>
      <c r="C1937" s="2">
        <f t="shared" si="30"/>
        <v>-1.8471156849056806E-2</v>
      </c>
    </row>
    <row r="1938" spans="1:3" x14ac:dyDescent="0.2">
      <c r="A1938" s="3">
        <v>43159</v>
      </c>
      <c r="B1938" s="2">
        <v>27.32</v>
      </c>
      <c r="C1938" s="2">
        <f t="shared" si="30"/>
        <v>-1.0196738020515093E-2</v>
      </c>
    </row>
    <row r="1939" spans="1:3" x14ac:dyDescent="0.2">
      <c r="A1939" s="3">
        <v>43158</v>
      </c>
      <c r="B1939" s="2">
        <v>27.6</v>
      </c>
      <c r="C1939" s="2">
        <f t="shared" si="30"/>
        <v>-9.3761956285552221E-3</v>
      </c>
    </row>
    <row r="1940" spans="1:3" x14ac:dyDescent="0.2">
      <c r="A1940" s="3">
        <v>43157</v>
      </c>
      <c r="B1940" s="2">
        <v>27.86</v>
      </c>
      <c r="C1940" s="2">
        <f t="shared" si="30"/>
        <v>-2.8673854771562026E-3</v>
      </c>
    </row>
    <row r="1941" spans="1:3" x14ac:dyDescent="0.2">
      <c r="A1941" s="3">
        <v>43154</v>
      </c>
      <c r="B1941" s="2">
        <v>27.94</v>
      </c>
      <c r="C1941" s="2">
        <f t="shared" si="30"/>
        <v>5.7430165026180115E-3</v>
      </c>
    </row>
    <row r="1942" spans="1:3" x14ac:dyDescent="0.2">
      <c r="A1942" s="3">
        <v>43153</v>
      </c>
      <c r="B1942" s="2">
        <v>27.78</v>
      </c>
      <c r="C1942" s="2">
        <f t="shared" si="30"/>
        <v>-2.2776785342756924E-2</v>
      </c>
    </row>
    <row r="1943" spans="1:3" x14ac:dyDescent="0.2">
      <c r="A1943" s="3">
        <v>43152</v>
      </c>
      <c r="B1943" s="2">
        <v>28.42</v>
      </c>
      <c r="C1943" s="2">
        <f t="shared" si="30"/>
        <v>-1.5363430676770198E-2</v>
      </c>
    </row>
    <row r="1944" spans="1:3" x14ac:dyDescent="0.2">
      <c r="A1944" s="3">
        <v>43151</v>
      </c>
      <c r="B1944" s="2">
        <v>28.86</v>
      </c>
      <c r="C1944" s="2">
        <f t="shared" si="30"/>
        <v>-8.2816208317220991E-3</v>
      </c>
    </row>
    <row r="1945" spans="1:3" x14ac:dyDescent="0.2">
      <c r="A1945" s="3">
        <v>43150</v>
      </c>
      <c r="B1945" s="2">
        <v>29.1</v>
      </c>
      <c r="C1945" s="2">
        <f t="shared" si="30"/>
        <v>-1.0936540995844676E-2</v>
      </c>
    </row>
    <row r="1946" spans="1:3" x14ac:dyDescent="0.2">
      <c r="A1946" s="3">
        <v>43147</v>
      </c>
      <c r="B1946" s="2">
        <v>29.42</v>
      </c>
      <c r="C1946" s="2">
        <f t="shared" si="30"/>
        <v>-1.3586958611927365E-3</v>
      </c>
    </row>
    <row r="1947" spans="1:3" x14ac:dyDescent="0.2">
      <c r="A1947" s="3">
        <v>43146</v>
      </c>
      <c r="B1947" s="2">
        <v>29.46</v>
      </c>
      <c r="C1947" s="2">
        <f t="shared" si="30"/>
        <v>1.6427474141947996E-2</v>
      </c>
    </row>
    <row r="1948" spans="1:3" x14ac:dyDescent="0.2">
      <c r="A1948" s="3">
        <v>43145</v>
      </c>
      <c r="B1948" s="2">
        <v>28.98</v>
      </c>
      <c r="C1948" s="2">
        <f t="shared" si="30"/>
        <v>5.4604134034851745E-2</v>
      </c>
    </row>
    <row r="1949" spans="1:3" x14ac:dyDescent="0.2">
      <c r="A1949" s="3">
        <v>43144</v>
      </c>
      <c r="B1949" s="2">
        <v>27.44</v>
      </c>
      <c r="C1949" s="2">
        <f t="shared" si="30"/>
        <v>-3.6376904428242493E-3</v>
      </c>
    </row>
    <row r="1950" spans="1:3" x14ac:dyDescent="0.2">
      <c r="A1950" s="3">
        <v>43143</v>
      </c>
      <c r="B1950" s="2">
        <v>27.54</v>
      </c>
      <c r="C1950" s="2">
        <f t="shared" si="30"/>
        <v>7.2886620047052514E-3</v>
      </c>
    </row>
    <row r="1951" spans="1:3" x14ac:dyDescent="0.2">
      <c r="A1951" s="3">
        <v>43140</v>
      </c>
      <c r="B1951" s="2">
        <v>27.34</v>
      </c>
      <c r="C1951" s="2">
        <f t="shared" si="30"/>
        <v>-7.3126145854623134E-4</v>
      </c>
    </row>
    <row r="1952" spans="1:3" x14ac:dyDescent="0.2">
      <c r="A1952" s="3">
        <v>43139</v>
      </c>
      <c r="B1952" s="2">
        <v>27.36</v>
      </c>
      <c r="C1952" s="2">
        <f t="shared" si="30"/>
        <v>-5.6142628448988208E-2</v>
      </c>
    </row>
    <row r="1953" spans="1:3" x14ac:dyDescent="0.2">
      <c r="A1953" s="3">
        <v>43138</v>
      </c>
      <c r="B1953" s="2">
        <v>28.94</v>
      </c>
      <c r="C1953" s="2">
        <f t="shared" si="30"/>
        <v>4.234930631665227E-2</v>
      </c>
    </row>
    <row r="1954" spans="1:3" x14ac:dyDescent="0.2">
      <c r="A1954" s="3">
        <v>43137</v>
      </c>
      <c r="B1954" s="2">
        <v>27.74</v>
      </c>
      <c r="C1954" s="2">
        <f t="shared" si="30"/>
        <v>-4.3165534649740982E-3</v>
      </c>
    </row>
    <row r="1955" spans="1:3" x14ac:dyDescent="0.2">
      <c r="A1955" s="3">
        <v>43136</v>
      </c>
      <c r="B1955" s="2">
        <v>27.86</v>
      </c>
      <c r="C1955" s="2">
        <f t="shared" si="30"/>
        <v>-1.9197176815500688E-2</v>
      </c>
    </row>
    <row r="1956" spans="1:3" x14ac:dyDescent="0.2">
      <c r="A1956" s="3">
        <v>43133</v>
      </c>
      <c r="B1956" s="2">
        <v>28.4</v>
      </c>
      <c r="C1956" s="2">
        <f t="shared" si="30"/>
        <v>-2.6408761973297112E-2</v>
      </c>
    </row>
    <row r="1957" spans="1:3" x14ac:dyDescent="0.2">
      <c r="A1957" s="3">
        <v>43132</v>
      </c>
      <c r="B1957" s="2">
        <v>29.16</v>
      </c>
      <c r="C1957" s="2">
        <f t="shared" si="30"/>
        <v>4.1237171838621562E-3</v>
      </c>
    </row>
    <row r="1958" spans="1:3" x14ac:dyDescent="0.2">
      <c r="A1958" s="3">
        <v>43131</v>
      </c>
      <c r="B1958" s="2">
        <v>29.04</v>
      </c>
      <c r="C1958" s="2">
        <f t="shared" si="30"/>
        <v>8.9934884973735078E-3</v>
      </c>
    </row>
    <row r="1959" spans="1:3" x14ac:dyDescent="0.2">
      <c r="A1959" s="3">
        <v>43130</v>
      </c>
      <c r="B1959" s="2">
        <v>28.78</v>
      </c>
      <c r="C1959" s="2">
        <f t="shared" si="30"/>
        <v>-4.151668020293358E-2</v>
      </c>
    </row>
    <row r="1960" spans="1:3" x14ac:dyDescent="0.2">
      <c r="A1960" s="3">
        <v>43129</v>
      </c>
      <c r="B1960" s="2">
        <v>30</v>
      </c>
      <c r="C1960" s="2">
        <f t="shared" si="30"/>
        <v>-9.290046907092642E-3</v>
      </c>
    </row>
    <row r="1961" spans="1:3" x14ac:dyDescent="0.2">
      <c r="A1961" s="3">
        <v>43126</v>
      </c>
      <c r="B1961" s="2">
        <v>30.28</v>
      </c>
      <c r="C1961" s="2">
        <f t="shared" si="30"/>
        <v>1.3298068304631634E-2</v>
      </c>
    </row>
    <row r="1962" spans="1:3" x14ac:dyDescent="0.2">
      <c r="A1962" s="3">
        <v>43125</v>
      </c>
      <c r="B1962" s="2">
        <v>29.88</v>
      </c>
      <c r="C1962" s="2">
        <f t="shared" si="30"/>
        <v>-1.461820050955439E-2</v>
      </c>
    </row>
    <row r="1963" spans="1:3" x14ac:dyDescent="0.2">
      <c r="A1963" s="3">
        <v>43124</v>
      </c>
      <c r="B1963" s="2">
        <v>30.32</v>
      </c>
      <c r="C1963" s="2">
        <f t="shared" si="30"/>
        <v>-1.570712920535788E-2</v>
      </c>
    </row>
    <row r="1964" spans="1:3" x14ac:dyDescent="0.2">
      <c r="A1964" s="3">
        <v>43122</v>
      </c>
      <c r="B1964" s="2">
        <v>30.8</v>
      </c>
      <c r="C1964" s="2">
        <f t="shared" si="30"/>
        <v>3.2520353863773159E-3</v>
      </c>
    </row>
    <row r="1965" spans="1:3" x14ac:dyDescent="0.2">
      <c r="A1965" s="3">
        <v>43119</v>
      </c>
      <c r="B1965" s="2">
        <v>30.7</v>
      </c>
      <c r="C1965" s="2">
        <f t="shared" si="30"/>
        <v>1.7083201253448629E-2</v>
      </c>
    </row>
    <row r="1966" spans="1:3" x14ac:dyDescent="0.2">
      <c r="A1966" s="3">
        <v>43118</v>
      </c>
      <c r="B1966" s="2">
        <v>30.18</v>
      </c>
      <c r="C1966" s="2">
        <f t="shared" si="30"/>
        <v>7.3162946906839771E-3</v>
      </c>
    </row>
    <row r="1967" spans="1:3" x14ac:dyDescent="0.2">
      <c r="A1967" s="3">
        <v>43117</v>
      </c>
      <c r="B1967" s="2">
        <v>29.96</v>
      </c>
      <c r="C1967" s="2">
        <f t="shared" si="30"/>
        <v>1.4795158916747117E-2</v>
      </c>
    </row>
    <row r="1968" spans="1:3" x14ac:dyDescent="0.2">
      <c r="A1968" s="3">
        <v>43116</v>
      </c>
      <c r="B1968" s="2">
        <v>29.52</v>
      </c>
      <c r="C1968" s="2">
        <f t="shared" si="30"/>
        <v>-2.0304575503819517E-3</v>
      </c>
    </row>
    <row r="1969" spans="1:3" x14ac:dyDescent="0.2">
      <c r="A1969" s="3">
        <v>43115</v>
      </c>
      <c r="B1969" s="2">
        <v>29.58</v>
      </c>
      <c r="C1969" s="2">
        <f t="shared" si="30"/>
        <v>-6.7385699732092673E-3</v>
      </c>
    </row>
    <row r="1970" spans="1:3" x14ac:dyDescent="0.2">
      <c r="A1970" s="3">
        <v>43112</v>
      </c>
      <c r="B1970" s="2">
        <v>29.78</v>
      </c>
      <c r="C1970" s="2">
        <f t="shared" si="30"/>
        <v>6.7385699732092691E-3</v>
      </c>
    </row>
    <row r="1971" spans="1:3" x14ac:dyDescent="0.2">
      <c r="A1971" s="3">
        <v>43111</v>
      </c>
      <c r="B1971" s="2">
        <v>29.58</v>
      </c>
      <c r="C1971" s="2">
        <f t="shared" si="30"/>
        <v>3.3863899615177045E-3</v>
      </c>
    </row>
    <row r="1972" spans="1:3" x14ac:dyDescent="0.2">
      <c r="A1972" s="3">
        <v>43110</v>
      </c>
      <c r="B1972" s="2">
        <v>29.48</v>
      </c>
      <c r="C1972" s="2">
        <f t="shared" si="30"/>
        <v>-1.8151758884179973E-2</v>
      </c>
    </row>
    <row r="1973" spans="1:3" x14ac:dyDescent="0.2">
      <c r="A1973" s="3">
        <v>43109</v>
      </c>
      <c r="B1973" s="2">
        <v>30.02</v>
      </c>
      <c r="C1973" s="2">
        <f t="shared" si="30"/>
        <v>3.0438602876830569E-2</v>
      </c>
    </row>
    <row r="1974" spans="1:3" x14ac:dyDescent="0.2">
      <c r="A1974" s="3">
        <v>43108</v>
      </c>
      <c r="B1974" s="2">
        <v>29.12</v>
      </c>
      <c r="C1974" s="2">
        <f t="shared" si="30"/>
        <v>7.5836282100988596E-3</v>
      </c>
    </row>
    <row r="1975" spans="1:3" x14ac:dyDescent="0.2">
      <c r="A1975" s="3">
        <v>43105</v>
      </c>
      <c r="B1975" s="2">
        <v>28.9</v>
      </c>
      <c r="C1975" s="2">
        <f t="shared" si="30"/>
        <v>8.3391727183606684E-3</v>
      </c>
    </row>
    <row r="1976" spans="1:3" x14ac:dyDescent="0.2">
      <c r="A1976" s="3">
        <v>43104</v>
      </c>
      <c r="B1976" s="2">
        <v>28.66</v>
      </c>
      <c r="C1976" s="2">
        <f t="shared" si="30"/>
        <v>8.8979944064472141E-2</v>
      </c>
    </row>
    <row r="1977" spans="1:3" x14ac:dyDescent="0.2">
      <c r="A1977" s="3">
        <v>43098</v>
      </c>
      <c r="B1977" s="2">
        <v>26.22</v>
      </c>
      <c r="C1977" s="2">
        <f t="shared" si="30"/>
        <v>-1.2883846272679368E-2</v>
      </c>
    </row>
    <row r="1978" spans="1:3" x14ac:dyDescent="0.2">
      <c r="A1978" s="3">
        <v>43097</v>
      </c>
      <c r="B1978" s="2">
        <v>26.56</v>
      </c>
      <c r="C1978" s="2">
        <f t="shared" si="30"/>
        <v>-4.1330135856898608E-3</v>
      </c>
    </row>
    <row r="1979" spans="1:3" x14ac:dyDescent="0.2">
      <c r="A1979" s="3">
        <v>43096</v>
      </c>
      <c r="B1979" s="2">
        <v>26.67</v>
      </c>
      <c r="C1979" s="2">
        <f t="shared" si="30"/>
        <v>7.5018758206950927E-4</v>
      </c>
    </row>
    <row r="1980" spans="1:3" x14ac:dyDescent="0.2">
      <c r="A1980" s="3">
        <v>43091</v>
      </c>
      <c r="B1980" s="2">
        <v>26.65</v>
      </c>
      <c r="C1980" s="2">
        <f t="shared" si="30"/>
        <v>-1.7113512898720661E-2</v>
      </c>
    </row>
    <row r="1981" spans="1:3" x14ac:dyDescent="0.2">
      <c r="A1981" s="3">
        <v>43090</v>
      </c>
      <c r="B1981" s="2">
        <v>27.11</v>
      </c>
      <c r="C1981" s="2">
        <f t="shared" si="30"/>
        <v>2.2156582180835245E-3</v>
      </c>
    </row>
    <row r="1982" spans="1:3" x14ac:dyDescent="0.2">
      <c r="A1982" s="3">
        <v>43089</v>
      </c>
      <c r="B1982" s="2">
        <v>27.05</v>
      </c>
      <c r="C1982" s="2">
        <f t="shared" si="30"/>
        <v>-9.9320294100987798E-3</v>
      </c>
    </row>
    <row r="1983" spans="1:3" x14ac:dyDescent="0.2">
      <c r="A1983" s="3">
        <v>43088</v>
      </c>
      <c r="B1983" s="2">
        <v>27.32</v>
      </c>
      <c r="C1983" s="2">
        <f t="shared" si="30"/>
        <v>-1.8284883499983778E-3</v>
      </c>
    </row>
    <row r="1984" spans="1:3" x14ac:dyDescent="0.2">
      <c r="A1984" s="3">
        <v>43087</v>
      </c>
      <c r="B1984" s="2">
        <v>27.37</v>
      </c>
      <c r="C1984" s="2">
        <f t="shared" si="30"/>
        <v>1.6949558313773205E-2</v>
      </c>
    </row>
    <row r="1985" spans="1:3" x14ac:dyDescent="0.2">
      <c r="A1985" s="3">
        <v>43084</v>
      </c>
      <c r="B1985" s="2">
        <v>26.91</v>
      </c>
      <c r="C1985" s="2">
        <f t="shared" si="30"/>
        <v>4.0960772220034756E-3</v>
      </c>
    </row>
    <row r="1986" spans="1:3" x14ac:dyDescent="0.2">
      <c r="A1986" s="3">
        <v>43083</v>
      </c>
      <c r="B1986" s="2">
        <v>26.8</v>
      </c>
      <c r="C1986" s="2">
        <f t="shared" si="30"/>
        <v>-1.0024216109398777E-2</v>
      </c>
    </row>
    <row r="1987" spans="1:3" x14ac:dyDescent="0.2">
      <c r="A1987" s="3">
        <v>43082</v>
      </c>
      <c r="B1987" s="2">
        <v>27.07</v>
      </c>
      <c r="C1987" s="2">
        <f t="shared" ref="C1987:C2050" si="31">+LN(B1987/B1988)</f>
        <v>3.3302528465999994E-3</v>
      </c>
    </row>
    <row r="1988" spans="1:3" x14ac:dyDescent="0.2">
      <c r="A1988" s="3">
        <v>43081</v>
      </c>
      <c r="B1988" s="2">
        <v>26.98</v>
      </c>
      <c r="C1988" s="2">
        <f t="shared" si="31"/>
        <v>-1.5812059535084619E-2</v>
      </c>
    </row>
    <row r="1989" spans="1:3" x14ac:dyDescent="0.2">
      <c r="A1989" s="3">
        <v>43080</v>
      </c>
      <c r="B1989" s="2">
        <v>27.41</v>
      </c>
      <c r="C1989" s="2">
        <f t="shared" si="31"/>
        <v>7.3233575195395667E-3</v>
      </c>
    </row>
    <row r="1990" spans="1:3" x14ac:dyDescent="0.2">
      <c r="A1990" s="3">
        <v>43077</v>
      </c>
      <c r="B1990" s="2">
        <v>27.21</v>
      </c>
      <c r="C1990" s="2">
        <f t="shared" si="31"/>
        <v>-5.4975399591947194E-3</v>
      </c>
    </row>
    <row r="1991" spans="1:3" x14ac:dyDescent="0.2">
      <c r="A1991" s="3">
        <v>43076</v>
      </c>
      <c r="B1991" s="2">
        <v>27.36</v>
      </c>
      <c r="C1991" s="2">
        <f t="shared" si="31"/>
        <v>-1.0958905206371124E-3</v>
      </c>
    </row>
    <row r="1992" spans="1:3" x14ac:dyDescent="0.2">
      <c r="A1992" s="3">
        <v>43075</v>
      </c>
      <c r="B1992" s="2">
        <v>27.39</v>
      </c>
      <c r="C1992" s="2">
        <f t="shared" si="31"/>
        <v>-5.8245523239367561E-3</v>
      </c>
    </row>
    <row r="1993" spans="1:3" x14ac:dyDescent="0.2">
      <c r="A1993" s="3">
        <v>43074</v>
      </c>
      <c r="B1993" s="2">
        <v>27.55</v>
      </c>
      <c r="C1993" s="2">
        <f t="shared" si="31"/>
        <v>-5.4298775943692878E-3</v>
      </c>
    </row>
    <row r="1994" spans="1:3" x14ac:dyDescent="0.2">
      <c r="A1994" s="3">
        <v>43073</v>
      </c>
      <c r="B1994" s="2">
        <v>27.7</v>
      </c>
      <c r="C1994" s="2">
        <f t="shared" si="31"/>
        <v>2.0423758786569747E-2</v>
      </c>
    </row>
    <row r="1995" spans="1:3" x14ac:dyDescent="0.2">
      <c r="A1995" s="3">
        <v>43070</v>
      </c>
      <c r="B1995" s="2">
        <v>27.14</v>
      </c>
      <c r="C1995" s="2">
        <f t="shared" si="31"/>
        <v>-2.0423758786569688E-2</v>
      </c>
    </row>
    <row r="1996" spans="1:3" x14ac:dyDescent="0.2">
      <c r="A1996" s="3">
        <v>43069</v>
      </c>
      <c r="B1996" s="2">
        <v>27.7</v>
      </c>
      <c r="C1996" s="2">
        <f t="shared" si="31"/>
        <v>-8.6269406355229776E-3</v>
      </c>
    </row>
    <row r="1997" spans="1:3" x14ac:dyDescent="0.2">
      <c r="A1997" s="3">
        <v>43067</v>
      </c>
      <c r="B1997" s="2">
        <v>27.94</v>
      </c>
      <c r="C1997" s="2">
        <f t="shared" si="31"/>
        <v>-3.9292781398895501E-3</v>
      </c>
    </row>
    <row r="1998" spans="1:3" x14ac:dyDescent="0.2">
      <c r="A1998" s="3">
        <v>43066</v>
      </c>
      <c r="B1998" s="2">
        <v>28.05</v>
      </c>
      <c r="C1998" s="2">
        <f t="shared" si="31"/>
        <v>-1.5213454575069726E-2</v>
      </c>
    </row>
    <row r="1999" spans="1:3" x14ac:dyDescent="0.2">
      <c r="A1999" s="3">
        <v>43063</v>
      </c>
      <c r="B1999" s="2">
        <v>28.48</v>
      </c>
      <c r="C1999" s="2">
        <f t="shared" si="31"/>
        <v>4.9278522812406947E-3</v>
      </c>
    </row>
    <row r="2000" spans="1:3" x14ac:dyDescent="0.2">
      <c r="A2000" s="3">
        <v>43062</v>
      </c>
      <c r="B2000" s="2">
        <v>28.34</v>
      </c>
      <c r="C2000" s="2">
        <f t="shared" si="31"/>
        <v>-6.3313612835608239E-3</v>
      </c>
    </row>
    <row r="2001" spans="1:3" x14ac:dyDescent="0.2">
      <c r="A2001" s="3">
        <v>43061</v>
      </c>
      <c r="B2001" s="2">
        <v>28.52</v>
      </c>
      <c r="C2001" s="2">
        <f t="shared" si="31"/>
        <v>-2.4514107881252484E-3</v>
      </c>
    </row>
    <row r="2002" spans="1:3" x14ac:dyDescent="0.2">
      <c r="A2002" s="3">
        <v>43060</v>
      </c>
      <c r="B2002" s="2">
        <v>28.59</v>
      </c>
      <c r="C2002" s="2">
        <f t="shared" si="31"/>
        <v>2.5865037982560898E-2</v>
      </c>
    </row>
    <row r="2003" spans="1:3" x14ac:dyDescent="0.2">
      <c r="A2003" s="3">
        <v>43059</v>
      </c>
      <c r="B2003" s="2">
        <v>27.86</v>
      </c>
      <c r="C2003" s="2">
        <f t="shared" si="31"/>
        <v>2.9135345609017642E-2</v>
      </c>
    </row>
    <row r="2004" spans="1:3" x14ac:dyDescent="0.2">
      <c r="A2004" s="3">
        <v>43056</v>
      </c>
      <c r="B2004" s="2">
        <v>27.06</v>
      </c>
      <c r="C2004" s="2">
        <f t="shared" si="31"/>
        <v>-4.056800695614541E-3</v>
      </c>
    </row>
    <row r="2005" spans="1:3" x14ac:dyDescent="0.2">
      <c r="A2005" s="3">
        <v>43055</v>
      </c>
      <c r="B2005" s="2">
        <v>27.17</v>
      </c>
      <c r="C2005" s="2">
        <f t="shared" si="31"/>
        <v>-2.205883247411832E-3</v>
      </c>
    </row>
    <row r="2006" spans="1:3" x14ac:dyDescent="0.2">
      <c r="A2006" s="3">
        <v>43054</v>
      </c>
      <c r="B2006" s="2">
        <v>27.23</v>
      </c>
      <c r="C2006" s="2">
        <f t="shared" si="31"/>
        <v>-2.466574086256253E-2</v>
      </c>
    </row>
    <row r="2007" spans="1:3" x14ac:dyDescent="0.2">
      <c r="A2007" s="3">
        <v>43053</v>
      </c>
      <c r="B2007" s="2">
        <v>27.91</v>
      </c>
      <c r="C2007" s="2">
        <f t="shared" si="31"/>
        <v>2.6871624109974384E-2</v>
      </c>
    </row>
    <row r="2008" spans="1:3" x14ac:dyDescent="0.2">
      <c r="A2008" s="3">
        <v>43052</v>
      </c>
      <c r="B2008" s="2">
        <v>27.17</v>
      </c>
      <c r="C2008" s="2">
        <f t="shared" si="31"/>
        <v>6.6469964083432287E-3</v>
      </c>
    </row>
    <row r="2009" spans="1:3" x14ac:dyDescent="0.2">
      <c r="A2009" s="3">
        <v>43049</v>
      </c>
      <c r="B2009" s="2">
        <v>26.99</v>
      </c>
      <c r="C2009" s="2">
        <f t="shared" si="31"/>
        <v>-3.7043897441588284E-4</v>
      </c>
    </row>
    <row r="2010" spans="1:3" x14ac:dyDescent="0.2">
      <c r="A2010" s="3">
        <v>43048</v>
      </c>
      <c r="B2010" s="2">
        <v>27</v>
      </c>
      <c r="C2010" s="2">
        <f t="shared" si="31"/>
        <v>-1.1049836186585046E-2</v>
      </c>
    </row>
    <row r="2011" spans="1:3" x14ac:dyDescent="0.2">
      <c r="A2011" s="3">
        <v>43047</v>
      </c>
      <c r="B2011" s="2">
        <v>27.3</v>
      </c>
      <c r="C2011" s="2">
        <f t="shared" si="31"/>
        <v>-3.3852710434127166E-2</v>
      </c>
    </row>
    <row r="2012" spans="1:3" x14ac:dyDescent="0.2">
      <c r="A2012" s="3">
        <v>43046</v>
      </c>
      <c r="B2012" s="2">
        <v>28.24</v>
      </c>
      <c r="C2012" s="2">
        <f t="shared" si="31"/>
        <v>-6.7055130378671137E-3</v>
      </c>
    </row>
    <row r="2013" spans="1:3" x14ac:dyDescent="0.2">
      <c r="A2013" s="3">
        <v>43045</v>
      </c>
      <c r="B2013" s="2">
        <v>28.43</v>
      </c>
      <c r="C2013" s="2">
        <f t="shared" si="31"/>
        <v>8.47762053688721E-3</v>
      </c>
    </row>
    <row r="2014" spans="1:3" x14ac:dyDescent="0.2">
      <c r="A2014" s="3">
        <v>43042</v>
      </c>
      <c r="B2014" s="2">
        <v>28.19</v>
      </c>
      <c r="C2014" s="2">
        <f t="shared" si="31"/>
        <v>-1.0936782148583561E-2</v>
      </c>
    </row>
    <row r="2015" spans="1:3" x14ac:dyDescent="0.2">
      <c r="A2015" s="3">
        <v>43040</v>
      </c>
      <c r="B2015" s="2">
        <v>28.5</v>
      </c>
      <c r="C2015" s="2">
        <f t="shared" si="31"/>
        <v>-1.4283468753649839E-2</v>
      </c>
    </row>
    <row r="2016" spans="1:3" x14ac:dyDescent="0.2">
      <c r="A2016" s="3">
        <v>43039</v>
      </c>
      <c r="B2016" s="2">
        <v>28.91</v>
      </c>
      <c r="C2016" s="2">
        <f t="shared" si="31"/>
        <v>3.4596090986833262E-4</v>
      </c>
    </row>
    <row r="2017" spans="1:3" x14ac:dyDescent="0.2">
      <c r="A2017" s="3">
        <v>43038</v>
      </c>
      <c r="B2017" s="2">
        <v>28.9</v>
      </c>
      <c r="C2017" s="2">
        <f t="shared" si="31"/>
        <v>1.2885429892977696E-2</v>
      </c>
    </row>
    <row r="2018" spans="1:3" x14ac:dyDescent="0.2">
      <c r="A2018" s="3">
        <v>43035</v>
      </c>
      <c r="B2018" s="2">
        <v>28.53</v>
      </c>
      <c r="C2018" s="2">
        <f t="shared" si="31"/>
        <v>1.0520779508038345E-3</v>
      </c>
    </row>
    <row r="2019" spans="1:3" x14ac:dyDescent="0.2">
      <c r="A2019" s="3">
        <v>43034</v>
      </c>
      <c r="B2019" s="2">
        <v>28.5</v>
      </c>
      <c r="C2019" s="2">
        <f t="shared" si="31"/>
        <v>1.5915455305899582E-2</v>
      </c>
    </row>
    <row r="2020" spans="1:3" x14ac:dyDescent="0.2">
      <c r="A2020" s="3">
        <v>43033</v>
      </c>
      <c r="B2020" s="2">
        <v>28.05</v>
      </c>
      <c r="C2020" s="2">
        <f t="shared" si="31"/>
        <v>-4.2689499195758904E-3</v>
      </c>
    </row>
    <row r="2021" spans="1:3" x14ac:dyDescent="0.2">
      <c r="A2021" s="3">
        <v>43032</v>
      </c>
      <c r="B2021" s="2">
        <v>28.17</v>
      </c>
      <c r="C2021" s="2">
        <f t="shared" si="31"/>
        <v>3.5561915144902037E-3</v>
      </c>
    </row>
    <row r="2022" spans="1:3" x14ac:dyDescent="0.2">
      <c r="A2022" s="3">
        <v>43031</v>
      </c>
      <c r="B2022" s="2">
        <v>28.07</v>
      </c>
      <c r="C2022" s="2">
        <f t="shared" si="31"/>
        <v>1.3268977180498276E-2</v>
      </c>
    </row>
    <row r="2023" spans="1:3" x14ac:dyDescent="0.2">
      <c r="A2023" s="3">
        <v>43028</v>
      </c>
      <c r="B2023" s="2">
        <v>27.7</v>
      </c>
      <c r="C2023" s="2">
        <f t="shared" si="31"/>
        <v>1.1619593332990022E-2</v>
      </c>
    </row>
    <row r="2024" spans="1:3" x14ac:dyDescent="0.2">
      <c r="A2024" s="3">
        <v>43027</v>
      </c>
      <c r="B2024" s="2">
        <v>27.38</v>
      </c>
      <c r="C2024" s="2">
        <f t="shared" si="31"/>
        <v>-4.3731848122227626E-3</v>
      </c>
    </row>
    <row r="2025" spans="1:3" x14ac:dyDescent="0.2">
      <c r="A2025" s="3">
        <v>43026</v>
      </c>
      <c r="B2025" s="2">
        <v>27.5</v>
      </c>
      <c r="C2025" s="2">
        <f t="shared" si="31"/>
        <v>-5.4397232958180979E-3</v>
      </c>
    </row>
    <row r="2026" spans="1:3" x14ac:dyDescent="0.2">
      <c r="A2026" s="3">
        <v>43025</v>
      </c>
      <c r="B2026" s="2">
        <v>27.65</v>
      </c>
      <c r="C2026" s="2">
        <f t="shared" si="31"/>
        <v>4.8157452980972459E-2</v>
      </c>
    </row>
    <row r="2027" spans="1:3" x14ac:dyDescent="0.2">
      <c r="A2027" s="3">
        <v>43024</v>
      </c>
      <c r="B2027" s="2">
        <v>26.35</v>
      </c>
      <c r="C2027" s="2">
        <f t="shared" si="31"/>
        <v>4.9457966518176993E-3</v>
      </c>
    </row>
    <row r="2028" spans="1:3" x14ac:dyDescent="0.2">
      <c r="A2028" s="3">
        <v>43021</v>
      </c>
      <c r="B2028" s="2">
        <v>26.22</v>
      </c>
      <c r="C2028" s="2">
        <f t="shared" si="31"/>
        <v>1.5267178537998873E-3</v>
      </c>
    </row>
    <row r="2029" spans="1:3" x14ac:dyDescent="0.2">
      <c r="A2029" s="3">
        <v>43020</v>
      </c>
      <c r="B2029" s="2">
        <v>26.18</v>
      </c>
      <c r="C2029" s="2">
        <f t="shared" si="31"/>
        <v>-4.1928782600359274E-3</v>
      </c>
    </row>
    <row r="2030" spans="1:3" x14ac:dyDescent="0.2">
      <c r="A2030" s="3">
        <v>43019</v>
      </c>
      <c r="B2030" s="2">
        <v>26.29</v>
      </c>
      <c r="C2030" s="2">
        <f t="shared" si="31"/>
        <v>2.0754011632044753E-2</v>
      </c>
    </row>
    <row r="2031" spans="1:3" x14ac:dyDescent="0.2">
      <c r="A2031" s="3">
        <v>43018</v>
      </c>
      <c r="B2031" s="2">
        <v>25.75</v>
      </c>
      <c r="C2031" s="2">
        <f t="shared" si="31"/>
        <v>-1.3117472038891888E-2</v>
      </c>
    </row>
    <row r="2032" spans="1:3" x14ac:dyDescent="0.2">
      <c r="A2032" s="3">
        <v>43017</v>
      </c>
      <c r="B2032" s="2">
        <v>26.09</v>
      </c>
      <c r="C2032" s="2">
        <f t="shared" si="31"/>
        <v>8.0816295159372147E-3</v>
      </c>
    </row>
    <row r="2033" spans="1:3" x14ac:dyDescent="0.2">
      <c r="A2033" s="3">
        <v>43014</v>
      </c>
      <c r="B2033" s="2">
        <v>25.88</v>
      </c>
      <c r="C2033" s="2">
        <f t="shared" si="31"/>
        <v>-5.7792493737742904E-3</v>
      </c>
    </row>
    <row r="2034" spans="1:3" x14ac:dyDescent="0.2">
      <c r="A2034" s="3">
        <v>43013</v>
      </c>
      <c r="B2034" s="2">
        <v>26.03</v>
      </c>
      <c r="C2034" s="2">
        <f t="shared" si="31"/>
        <v>-9.9389197353157294E-3</v>
      </c>
    </row>
    <row r="2035" spans="1:3" x14ac:dyDescent="0.2">
      <c r="A2035" s="3">
        <v>43012</v>
      </c>
      <c r="B2035" s="2">
        <v>26.29</v>
      </c>
      <c r="C2035" s="2">
        <f t="shared" si="31"/>
        <v>1.0707559281229514E-2</v>
      </c>
    </row>
    <row r="2036" spans="1:3" x14ac:dyDescent="0.2">
      <c r="A2036" s="3">
        <v>43011</v>
      </c>
      <c r="B2036" s="2">
        <v>26.01</v>
      </c>
      <c r="C2036" s="2">
        <f t="shared" si="31"/>
        <v>-1.1848026996556267E-2</v>
      </c>
    </row>
    <row r="2037" spans="1:3" x14ac:dyDescent="0.2">
      <c r="A2037" s="3">
        <v>43007</v>
      </c>
      <c r="B2037" s="2">
        <v>26.32</v>
      </c>
      <c r="C2037" s="2">
        <f t="shared" si="31"/>
        <v>1.2232568435634451E-2</v>
      </c>
    </row>
    <row r="2038" spans="1:3" x14ac:dyDescent="0.2">
      <c r="A2038" s="3">
        <v>43006</v>
      </c>
      <c r="B2038" s="2">
        <v>26</v>
      </c>
      <c r="C2038" s="2">
        <f t="shared" si="31"/>
        <v>1.1216516743683951E-2</v>
      </c>
    </row>
    <row r="2039" spans="1:3" x14ac:dyDescent="0.2">
      <c r="A2039" s="3">
        <v>43005</v>
      </c>
      <c r="B2039" s="2">
        <v>25.71</v>
      </c>
      <c r="C2039" s="2">
        <f t="shared" si="31"/>
        <v>-1.5546058319469984E-3</v>
      </c>
    </row>
    <row r="2040" spans="1:3" x14ac:dyDescent="0.2">
      <c r="A2040" s="3">
        <v>43004</v>
      </c>
      <c r="B2040" s="2">
        <v>25.75</v>
      </c>
      <c r="C2040" s="2">
        <f t="shared" si="31"/>
        <v>-6.1943674642734167E-3</v>
      </c>
    </row>
    <row r="2041" spans="1:3" x14ac:dyDescent="0.2">
      <c r="A2041" s="3">
        <v>43003</v>
      </c>
      <c r="B2041" s="2">
        <v>25.91</v>
      </c>
      <c r="C2041" s="2">
        <f t="shared" si="31"/>
        <v>1.79132515774869E-2</v>
      </c>
    </row>
    <row r="2042" spans="1:3" x14ac:dyDescent="0.2">
      <c r="A2042" s="3">
        <v>43000</v>
      </c>
      <c r="B2042" s="2">
        <v>25.45</v>
      </c>
      <c r="C2042" s="2">
        <f t="shared" si="31"/>
        <v>3.9370129593395992E-3</v>
      </c>
    </row>
    <row r="2043" spans="1:3" x14ac:dyDescent="0.2">
      <c r="A2043" s="3">
        <v>42999</v>
      </c>
      <c r="B2043" s="2">
        <v>25.35</v>
      </c>
      <c r="C2043" s="2">
        <f t="shared" si="31"/>
        <v>2.1935076866255714E-2</v>
      </c>
    </row>
    <row r="2044" spans="1:3" x14ac:dyDescent="0.2">
      <c r="A2044" s="3">
        <v>42998</v>
      </c>
      <c r="B2044" s="2">
        <v>24.8</v>
      </c>
      <c r="C2044" s="2">
        <f t="shared" si="31"/>
        <v>-1.2024192966801701E-2</v>
      </c>
    </row>
    <row r="2045" spans="1:3" x14ac:dyDescent="0.2">
      <c r="A2045" s="3">
        <v>42997</v>
      </c>
      <c r="B2045" s="2">
        <v>25.1</v>
      </c>
      <c r="C2045" s="2">
        <f t="shared" si="31"/>
        <v>1.7685348401540086E-2</v>
      </c>
    </row>
    <row r="2046" spans="1:3" x14ac:dyDescent="0.2">
      <c r="A2046" s="3">
        <v>42996</v>
      </c>
      <c r="B2046" s="2">
        <v>24.66</v>
      </c>
      <c r="C2046" s="2">
        <f t="shared" si="31"/>
        <v>1.347234094076712E-2</v>
      </c>
    </row>
    <row r="2047" spans="1:3" x14ac:dyDescent="0.2">
      <c r="A2047" s="3">
        <v>42993</v>
      </c>
      <c r="B2047" s="2">
        <v>24.33</v>
      </c>
      <c r="C2047" s="2">
        <f t="shared" si="31"/>
        <v>-2.9961755374770856E-2</v>
      </c>
    </row>
    <row r="2048" spans="1:3" x14ac:dyDescent="0.2">
      <c r="A2048" s="3">
        <v>42992</v>
      </c>
      <c r="B2048" s="2">
        <v>25.07</v>
      </c>
      <c r="C2048" s="2">
        <f t="shared" si="31"/>
        <v>4.7980899726744004E-3</v>
      </c>
    </row>
    <row r="2049" spans="1:3" x14ac:dyDescent="0.2">
      <c r="A2049" s="3">
        <v>42991</v>
      </c>
      <c r="B2049" s="2">
        <v>24.95</v>
      </c>
      <c r="C2049" s="2">
        <f t="shared" si="31"/>
        <v>8.0192466206114395E-4</v>
      </c>
    </row>
    <row r="2050" spans="1:3" x14ac:dyDescent="0.2">
      <c r="A2050" s="3">
        <v>42989</v>
      </c>
      <c r="B2050" s="2">
        <v>24.93</v>
      </c>
      <c r="C2050" s="2">
        <f t="shared" si="31"/>
        <v>1.4545711002378716E-2</v>
      </c>
    </row>
    <row r="2051" spans="1:3" x14ac:dyDescent="0.2">
      <c r="A2051" s="3">
        <v>42986</v>
      </c>
      <c r="B2051" s="2">
        <v>24.57</v>
      </c>
      <c r="C2051" s="2">
        <f t="shared" ref="C2051:C2114" si="32">+LN(B2051/B2052)</f>
        <v>-7.7032612833076875E-3</v>
      </c>
    </row>
    <row r="2052" spans="1:3" x14ac:dyDescent="0.2">
      <c r="A2052" s="3">
        <v>42985</v>
      </c>
      <c r="B2052" s="2">
        <v>24.76</v>
      </c>
      <c r="C2052" s="2">
        <f t="shared" si="32"/>
        <v>4.8583091510763675E-3</v>
      </c>
    </row>
    <row r="2053" spans="1:3" x14ac:dyDescent="0.2">
      <c r="A2053" s="3">
        <v>42984</v>
      </c>
      <c r="B2053" s="2">
        <v>24.64</v>
      </c>
      <c r="C2053" s="2">
        <f t="shared" si="32"/>
        <v>-4.0502282990227028E-3</v>
      </c>
    </row>
    <row r="2054" spans="1:3" x14ac:dyDescent="0.2">
      <c r="A2054" s="3">
        <v>42983</v>
      </c>
      <c r="B2054" s="2">
        <v>24.74</v>
      </c>
      <c r="C2054" s="2">
        <f t="shared" si="32"/>
        <v>-2.4222862065947808E-3</v>
      </c>
    </row>
    <row r="2055" spans="1:3" x14ac:dyDescent="0.2">
      <c r="A2055" s="3">
        <v>42982</v>
      </c>
      <c r="B2055" s="2">
        <v>24.8</v>
      </c>
      <c r="C2055" s="2">
        <f t="shared" si="32"/>
        <v>8.0972102326193028E-3</v>
      </c>
    </row>
    <row r="2056" spans="1:3" x14ac:dyDescent="0.2">
      <c r="A2056" s="3">
        <v>42979</v>
      </c>
      <c r="B2056" s="2">
        <v>24.6</v>
      </c>
      <c r="C2056" s="2">
        <f t="shared" si="32"/>
        <v>6.525308634922641E-3</v>
      </c>
    </row>
    <row r="2057" spans="1:3" x14ac:dyDescent="0.2">
      <c r="A2057" s="3">
        <v>42978</v>
      </c>
      <c r="B2057" s="2">
        <v>24.44</v>
      </c>
      <c r="C2057" s="2">
        <f t="shared" si="32"/>
        <v>-4.4907199371349718E-3</v>
      </c>
    </row>
    <row r="2058" spans="1:3" x14ac:dyDescent="0.2">
      <c r="A2058" s="3">
        <v>42977</v>
      </c>
      <c r="B2058" s="2">
        <v>24.55</v>
      </c>
      <c r="C2058" s="2">
        <f t="shared" si="32"/>
        <v>3.3550465059007779E-2</v>
      </c>
    </row>
    <row r="2059" spans="1:3" x14ac:dyDescent="0.2">
      <c r="A2059" s="3">
        <v>42976</v>
      </c>
      <c r="B2059" s="2">
        <v>23.74</v>
      </c>
      <c r="C2059" s="2">
        <f t="shared" si="32"/>
        <v>-1.5465303011557709E-2</v>
      </c>
    </row>
    <row r="2060" spans="1:3" x14ac:dyDescent="0.2">
      <c r="A2060" s="3">
        <v>42975</v>
      </c>
      <c r="B2060" s="2">
        <v>24.11</v>
      </c>
      <c r="C2060" s="2">
        <f t="shared" si="32"/>
        <v>-1.1956440106076464E-2</v>
      </c>
    </row>
    <row r="2061" spans="1:3" x14ac:dyDescent="0.2">
      <c r="A2061" s="3">
        <v>42972</v>
      </c>
      <c r="B2061" s="2">
        <v>24.4</v>
      </c>
      <c r="C2061" s="2">
        <f t="shared" si="32"/>
        <v>8.6438076772200802E-3</v>
      </c>
    </row>
    <row r="2062" spans="1:3" x14ac:dyDescent="0.2">
      <c r="A2062" s="3">
        <v>42971</v>
      </c>
      <c r="B2062" s="2">
        <v>24.19</v>
      </c>
      <c r="C2062" s="2">
        <f t="shared" si="32"/>
        <v>-1.1099805637090411E-2</v>
      </c>
    </row>
    <row r="2063" spans="1:3" x14ac:dyDescent="0.2">
      <c r="A2063" s="3">
        <v>42970</v>
      </c>
      <c r="B2063" s="2">
        <v>24.46</v>
      </c>
      <c r="C2063" s="2">
        <f t="shared" si="32"/>
        <v>1.1926935543634576E-2</v>
      </c>
    </row>
    <row r="2064" spans="1:3" x14ac:dyDescent="0.2">
      <c r="A2064" s="3">
        <v>42968</v>
      </c>
      <c r="B2064" s="2">
        <v>24.17</v>
      </c>
      <c r="C2064" s="2">
        <f t="shared" si="32"/>
        <v>-2.8919664857219129E-3</v>
      </c>
    </row>
    <row r="2065" spans="1:3" x14ac:dyDescent="0.2">
      <c r="A2065" s="3">
        <v>42965</v>
      </c>
      <c r="B2065" s="2">
        <v>24.24</v>
      </c>
      <c r="C2065" s="2">
        <f t="shared" si="32"/>
        <v>-3.7059955943175358E-3</v>
      </c>
    </row>
    <row r="2066" spans="1:3" x14ac:dyDescent="0.2">
      <c r="A2066" s="3">
        <v>42964</v>
      </c>
      <c r="B2066" s="2">
        <v>24.33</v>
      </c>
      <c r="C2066" s="2">
        <f t="shared" si="32"/>
        <v>4.5314186704850136E-3</v>
      </c>
    </row>
    <row r="2067" spans="1:3" x14ac:dyDescent="0.2">
      <c r="A2067" s="3">
        <v>42963</v>
      </c>
      <c r="B2067" s="2">
        <v>24.22</v>
      </c>
      <c r="C2067" s="2">
        <f t="shared" si="32"/>
        <v>-2.4742280663513886E-3</v>
      </c>
    </row>
    <row r="2068" spans="1:3" x14ac:dyDescent="0.2">
      <c r="A2068" s="3">
        <v>42961</v>
      </c>
      <c r="B2068" s="2">
        <v>24.28</v>
      </c>
      <c r="C2068" s="2">
        <f t="shared" si="32"/>
        <v>1.4938037108866407E-2</v>
      </c>
    </row>
    <row r="2069" spans="1:3" x14ac:dyDescent="0.2">
      <c r="A2069" s="3">
        <v>42958</v>
      </c>
      <c r="B2069" s="2">
        <v>23.92</v>
      </c>
      <c r="C2069" s="2">
        <f t="shared" si="32"/>
        <v>-2.3958188468250263E-2</v>
      </c>
    </row>
    <row r="2070" spans="1:3" x14ac:dyDescent="0.2">
      <c r="A2070" s="3">
        <v>42957</v>
      </c>
      <c r="B2070" s="2">
        <v>24.5</v>
      </c>
      <c r="C2070" s="2">
        <f t="shared" si="32"/>
        <v>1.6339872916549549E-3</v>
      </c>
    </row>
    <row r="2071" spans="1:3" x14ac:dyDescent="0.2">
      <c r="A2071" s="3">
        <v>42956</v>
      </c>
      <c r="B2071" s="2">
        <v>24.46</v>
      </c>
      <c r="C2071" s="2">
        <f t="shared" si="32"/>
        <v>-1.7828673211635587E-2</v>
      </c>
    </row>
    <row r="2072" spans="1:3" x14ac:dyDescent="0.2">
      <c r="A2072" s="3">
        <v>42955</v>
      </c>
      <c r="B2072" s="2">
        <v>24.9</v>
      </c>
      <c r="C2072" s="2">
        <f t="shared" si="32"/>
        <v>-1.7516371422331162E-2</v>
      </c>
    </row>
    <row r="2073" spans="1:3" x14ac:dyDescent="0.2">
      <c r="A2073" s="3">
        <v>42954</v>
      </c>
      <c r="B2073" s="2">
        <v>25.34</v>
      </c>
      <c r="C2073" s="2">
        <f t="shared" si="32"/>
        <v>1.8721917077679621E-2</v>
      </c>
    </row>
    <row r="2074" spans="1:3" x14ac:dyDescent="0.2">
      <c r="A2074" s="3">
        <v>42951</v>
      </c>
      <c r="B2074" s="2">
        <v>24.87</v>
      </c>
      <c r="C2074" s="2">
        <f t="shared" si="32"/>
        <v>-2.1874007945994665E-2</v>
      </c>
    </row>
    <row r="2075" spans="1:3" x14ac:dyDescent="0.2">
      <c r="A2075" s="3">
        <v>42950</v>
      </c>
      <c r="B2075" s="2">
        <v>25.42</v>
      </c>
      <c r="C2075" s="2">
        <f t="shared" si="32"/>
        <v>-1.0565545360484246E-2</v>
      </c>
    </row>
    <row r="2076" spans="1:3" x14ac:dyDescent="0.2">
      <c r="A2076" s="3">
        <v>42949</v>
      </c>
      <c r="B2076" s="2">
        <v>25.69</v>
      </c>
      <c r="C2076" s="2">
        <f t="shared" si="32"/>
        <v>-2.3086827619997499E-2</v>
      </c>
    </row>
    <row r="2077" spans="1:3" x14ac:dyDescent="0.2">
      <c r="A2077" s="3">
        <v>42948</v>
      </c>
      <c r="B2077" s="2">
        <v>26.29</v>
      </c>
      <c r="C2077" s="2">
        <f t="shared" si="32"/>
        <v>2.1531012448137054E-2</v>
      </c>
    </row>
    <row r="2078" spans="1:3" x14ac:dyDescent="0.2">
      <c r="A2078" s="3">
        <v>42947</v>
      </c>
      <c r="B2078" s="2">
        <v>25.73</v>
      </c>
      <c r="C2078" s="2">
        <f t="shared" si="32"/>
        <v>-3.878980814096216E-3</v>
      </c>
    </row>
    <row r="2079" spans="1:3" x14ac:dyDescent="0.2">
      <c r="A2079" s="3">
        <v>42944</v>
      </c>
      <c r="B2079" s="2">
        <v>25.83</v>
      </c>
      <c r="C2079" s="2">
        <f t="shared" si="32"/>
        <v>-6.944472352811158E-3</v>
      </c>
    </row>
    <row r="2080" spans="1:3" x14ac:dyDescent="0.2">
      <c r="A2080" s="3">
        <v>42943</v>
      </c>
      <c r="B2080" s="2">
        <v>26.01</v>
      </c>
      <c r="C2080" s="2">
        <f t="shared" si="32"/>
        <v>1.7452449951226207E-2</v>
      </c>
    </row>
    <row r="2081" spans="1:3" x14ac:dyDescent="0.2">
      <c r="A2081" s="3">
        <v>42942</v>
      </c>
      <c r="B2081" s="2">
        <v>25.56</v>
      </c>
      <c r="C2081" s="2">
        <f t="shared" si="32"/>
        <v>4.3128865128022973E-3</v>
      </c>
    </row>
    <row r="2082" spans="1:3" x14ac:dyDescent="0.2">
      <c r="A2082" s="3">
        <v>42941</v>
      </c>
      <c r="B2082" s="2">
        <v>25.45</v>
      </c>
      <c r="C2082" s="2">
        <f t="shared" si="32"/>
        <v>-3.138488256860735E-3</v>
      </c>
    </row>
    <row r="2083" spans="1:3" x14ac:dyDescent="0.2">
      <c r="A2083" s="3">
        <v>42940</v>
      </c>
      <c r="B2083" s="2">
        <v>25.53</v>
      </c>
      <c r="C2083" s="2">
        <f t="shared" si="32"/>
        <v>1.7783515488672578E-2</v>
      </c>
    </row>
    <row r="2084" spans="1:3" x14ac:dyDescent="0.2">
      <c r="A2084" s="3">
        <v>42937</v>
      </c>
      <c r="B2084" s="2">
        <v>25.08</v>
      </c>
      <c r="C2084" s="2">
        <f t="shared" si="32"/>
        <v>-2.3894873973814672E-3</v>
      </c>
    </row>
    <row r="2085" spans="1:3" x14ac:dyDescent="0.2">
      <c r="A2085" s="3">
        <v>42936</v>
      </c>
      <c r="B2085" s="2">
        <v>25.14</v>
      </c>
      <c r="C2085" s="2">
        <f t="shared" si="32"/>
        <v>-2.3837913552762504E-3</v>
      </c>
    </row>
    <row r="2086" spans="1:3" x14ac:dyDescent="0.2">
      <c r="A2086" s="3">
        <v>42935</v>
      </c>
      <c r="B2086" s="2">
        <v>25.2</v>
      </c>
      <c r="C2086" s="2">
        <f t="shared" si="32"/>
        <v>1.197619104671562E-2</v>
      </c>
    </row>
    <row r="2087" spans="1:3" x14ac:dyDescent="0.2">
      <c r="A2087" s="3">
        <v>42934</v>
      </c>
      <c r="B2087" s="2">
        <v>24.9</v>
      </c>
      <c r="C2087" s="2">
        <f t="shared" si="32"/>
        <v>8.8746044334748562E-3</v>
      </c>
    </row>
    <row r="2088" spans="1:3" x14ac:dyDescent="0.2">
      <c r="A2088" s="3">
        <v>42933</v>
      </c>
      <c r="B2088" s="2">
        <v>24.68</v>
      </c>
      <c r="C2088" s="2">
        <f t="shared" si="32"/>
        <v>7.3200814865058512E-3</v>
      </c>
    </row>
    <row r="2089" spans="1:3" x14ac:dyDescent="0.2">
      <c r="A2089" s="3">
        <v>42930</v>
      </c>
      <c r="B2089" s="2">
        <v>24.5</v>
      </c>
      <c r="C2089" s="2">
        <f t="shared" si="32"/>
        <v>1.9370067802303659E-2</v>
      </c>
    </row>
    <row r="2090" spans="1:3" x14ac:dyDescent="0.2">
      <c r="A2090" s="3">
        <v>42929</v>
      </c>
      <c r="B2090" s="2">
        <v>24.03</v>
      </c>
      <c r="C2090" s="2">
        <f t="shared" si="32"/>
        <v>1.3828001607292115E-2</v>
      </c>
    </row>
    <row r="2091" spans="1:3" x14ac:dyDescent="0.2">
      <c r="A2091" s="3">
        <v>42928</v>
      </c>
      <c r="B2091" s="2">
        <v>23.7</v>
      </c>
      <c r="C2091" s="2">
        <f t="shared" si="32"/>
        <v>1.2311766638265994E-2</v>
      </c>
    </row>
    <row r="2092" spans="1:3" x14ac:dyDescent="0.2">
      <c r="A2092" s="3">
        <v>42927</v>
      </c>
      <c r="B2092" s="2">
        <v>23.41</v>
      </c>
      <c r="C2092" s="2">
        <f t="shared" si="32"/>
        <v>-1.5681609759816438E-2</v>
      </c>
    </row>
    <row r="2093" spans="1:3" x14ac:dyDescent="0.2">
      <c r="A2093" s="3">
        <v>42926</v>
      </c>
      <c r="B2093" s="2">
        <v>23.78</v>
      </c>
      <c r="C2093" s="2">
        <f t="shared" si="32"/>
        <v>7.5981792310713227E-3</v>
      </c>
    </row>
    <row r="2094" spans="1:3" x14ac:dyDescent="0.2">
      <c r="A2094" s="3">
        <v>42923</v>
      </c>
      <c r="B2094" s="2">
        <v>23.6</v>
      </c>
      <c r="C2094" s="2">
        <f t="shared" si="32"/>
        <v>8.4781692233958019E-4</v>
      </c>
    </row>
    <row r="2095" spans="1:3" x14ac:dyDescent="0.2">
      <c r="A2095" s="3">
        <v>42922</v>
      </c>
      <c r="B2095" s="2">
        <v>23.58</v>
      </c>
      <c r="C2095" s="2">
        <f t="shared" si="32"/>
        <v>5.5284002169363492E-3</v>
      </c>
    </row>
    <row r="2096" spans="1:3" x14ac:dyDescent="0.2">
      <c r="A2096" s="3">
        <v>42921</v>
      </c>
      <c r="B2096" s="2">
        <v>23.45</v>
      </c>
      <c r="C2096" s="2">
        <f t="shared" si="32"/>
        <v>-1.0182523278405849E-2</v>
      </c>
    </row>
    <row r="2097" spans="1:3" x14ac:dyDescent="0.2">
      <c r="A2097" s="3">
        <v>42920</v>
      </c>
      <c r="B2097" s="2">
        <v>23.69</v>
      </c>
      <c r="C2097" s="2">
        <f t="shared" si="32"/>
        <v>1.1035765650989904E-2</v>
      </c>
    </row>
    <row r="2098" spans="1:3" x14ac:dyDescent="0.2">
      <c r="A2098" s="3">
        <v>42919</v>
      </c>
      <c r="B2098" s="2">
        <v>23.43</v>
      </c>
      <c r="C2098" s="2">
        <f t="shared" si="32"/>
        <v>-2.1533447610122883E-2</v>
      </c>
    </row>
    <row r="2099" spans="1:3" x14ac:dyDescent="0.2">
      <c r="A2099" s="3">
        <v>42916</v>
      </c>
      <c r="B2099" s="2">
        <v>23.94</v>
      </c>
      <c r="C2099" s="2">
        <f t="shared" si="32"/>
        <v>-4.5323127401046666E-2</v>
      </c>
    </row>
    <row r="2100" spans="1:3" x14ac:dyDescent="0.2">
      <c r="A2100" s="3">
        <v>42914</v>
      </c>
      <c r="B2100" s="2">
        <v>25.05</v>
      </c>
      <c r="C2100" s="2">
        <f t="shared" si="32"/>
        <v>-2.790514069124163E-3</v>
      </c>
    </row>
    <row r="2101" spans="1:3" x14ac:dyDescent="0.2">
      <c r="A2101" s="3">
        <v>42913</v>
      </c>
      <c r="B2101" s="2">
        <v>25.12</v>
      </c>
      <c r="C2101" s="2">
        <f t="shared" si="32"/>
        <v>-9.1143884371942454E-3</v>
      </c>
    </row>
    <row r="2102" spans="1:3" x14ac:dyDescent="0.2">
      <c r="A2102" s="3">
        <v>42912</v>
      </c>
      <c r="B2102" s="2">
        <v>25.35</v>
      </c>
      <c r="C2102" s="2">
        <f t="shared" si="32"/>
        <v>-8.2498994721417248E-3</v>
      </c>
    </row>
    <row r="2103" spans="1:3" x14ac:dyDescent="0.2">
      <c r="A2103" s="3">
        <v>42909</v>
      </c>
      <c r="B2103" s="2">
        <v>25.56</v>
      </c>
      <c r="C2103" s="2">
        <f t="shared" si="32"/>
        <v>-1.1281971445104202E-2</v>
      </c>
    </row>
    <row r="2104" spans="1:3" x14ac:dyDescent="0.2">
      <c r="A2104" s="3">
        <v>42908</v>
      </c>
      <c r="B2104" s="2">
        <v>25.85</v>
      </c>
      <c r="C2104" s="2">
        <f t="shared" si="32"/>
        <v>1.128197144510408E-2</v>
      </c>
    </row>
    <row r="2105" spans="1:3" x14ac:dyDescent="0.2">
      <c r="A2105" s="3">
        <v>42907</v>
      </c>
      <c r="B2105" s="2">
        <v>25.56</v>
      </c>
      <c r="C2105" s="2">
        <f t="shared" si="32"/>
        <v>2.3501773449534514E-3</v>
      </c>
    </row>
    <row r="2106" spans="1:3" x14ac:dyDescent="0.2">
      <c r="A2106" s="3">
        <v>42906</v>
      </c>
      <c r="B2106" s="2">
        <v>25.5</v>
      </c>
      <c r="C2106" s="2">
        <f t="shared" si="32"/>
        <v>-1.0144449071772465E-2</v>
      </c>
    </row>
    <row r="2107" spans="1:3" x14ac:dyDescent="0.2">
      <c r="A2107" s="3">
        <v>42902</v>
      </c>
      <c r="B2107" s="2">
        <v>25.76</v>
      </c>
      <c r="C2107" s="2">
        <f t="shared" si="32"/>
        <v>3.7576103532443381E-2</v>
      </c>
    </row>
    <row r="2108" spans="1:3" x14ac:dyDescent="0.2">
      <c r="A2108" s="3">
        <v>42901</v>
      </c>
      <c r="B2108" s="2">
        <v>24.81</v>
      </c>
      <c r="C2108" s="2">
        <f t="shared" si="32"/>
        <v>-2.9781831805624454E-2</v>
      </c>
    </row>
    <row r="2109" spans="1:3" x14ac:dyDescent="0.2">
      <c r="A2109" s="3">
        <v>42900</v>
      </c>
      <c r="B2109" s="2">
        <v>25.56</v>
      </c>
      <c r="C2109" s="2">
        <f t="shared" si="32"/>
        <v>1.5375820362109433E-2</v>
      </c>
    </row>
    <row r="2110" spans="1:3" x14ac:dyDescent="0.2">
      <c r="A2110" s="3">
        <v>42899</v>
      </c>
      <c r="B2110" s="2">
        <v>25.17</v>
      </c>
      <c r="C2110" s="2">
        <f t="shared" si="32"/>
        <v>3.2299941510109613E-2</v>
      </c>
    </row>
    <row r="2111" spans="1:3" x14ac:dyDescent="0.2">
      <c r="A2111" s="3">
        <v>42898</v>
      </c>
      <c r="B2111" s="2">
        <v>24.37</v>
      </c>
      <c r="C2111" s="2">
        <f t="shared" si="32"/>
        <v>-3.5869249285230241E-2</v>
      </c>
    </row>
    <row r="2112" spans="1:3" x14ac:dyDescent="0.2">
      <c r="A2112" s="3">
        <v>42895</v>
      </c>
      <c r="B2112" s="2">
        <v>25.26</v>
      </c>
      <c r="C2112" s="2">
        <f t="shared" si="32"/>
        <v>-1.8824085245635475E-2</v>
      </c>
    </row>
    <row r="2113" spans="1:3" x14ac:dyDescent="0.2">
      <c r="A2113" s="3">
        <v>42894</v>
      </c>
      <c r="B2113" s="2">
        <v>25.74</v>
      </c>
      <c r="C2113" s="2">
        <f t="shared" si="32"/>
        <v>-1.8857591710801726E-2</v>
      </c>
    </row>
    <row r="2114" spans="1:3" x14ac:dyDescent="0.2">
      <c r="A2114" s="3">
        <v>42893</v>
      </c>
      <c r="B2114" s="2">
        <v>26.23</v>
      </c>
      <c r="C2114" s="2">
        <f t="shared" si="32"/>
        <v>-1.7385169537650541E-2</v>
      </c>
    </row>
    <row r="2115" spans="1:3" x14ac:dyDescent="0.2">
      <c r="A2115" s="3">
        <v>42892</v>
      </c>
      <c r="B2115" s="2">
        <v>26.69</v>
      </c>
      <c r="C2115" s="2">
        <f t="shared" ref="C2115:C2178" si="33">+LN(B2115/B2116)</f>
        <v>9.4109484329473244E-3</v>
      </c>
    </row>
    <row r="2116" spans="1:3" x14ac:dyDescent="0.2">
      <c r="A2116" s="3">
        <v>42891</v>
      </c>
      <c r="B2116" s="2">
        <v>26.44</v>
      </c>
      <c r="C2116" s="2">
        <f t="shared" si="33"/>
        <v>-1.352387253332543E-2</v>
      </c>
    </row>
    <row r="2117" spans="1:3" x14ac:dyDescent="0.2">
      <c r="A2117" s="3">
        <v>42888</v>
      </c>
      <c r="B2117" s="2">
        <v>26.8</v>
      </c>
      <c r="C2117" s="2">
        <f t="shared" si="33"/>
        <v>-1.1187769207216768E-3</v>
      </c>
    </row>
    <row r="2118" spans="1:3" x14ac:dyDescent="0.2">
      <c r="A2118" s="3">
        <v>42887</v>
      </c>
      <c r="B2118" s="2">
        <v>26.83</v>
      </c>
      <c r="C2118" s="2">
        <f t="shared" si="33"/>
        <v>2.7968565288895582E-2</v>
      </c>
    </row>
    <row r="2119" spans="1:3" x14ac:dyDescent="0.2">
      <c r="A2119" s="3">
        <v>42886</v>
      </c>
      <c r="B2119" s="2">
        <v>26.09</v>
      </c>
      <c r="C2119" s="2">
        <f t="shared" si="33"/>
        <v>-1.2947629467560749E-2</v>
      </c>
    </row>
    <row r="2120" spans="1:3" x14ac:dyDescent="0.2">
      <c r="A2120" s="3">
        <v>42885</v>
      </c>
      <c r="B2120" s="2">
        <v>26.43</v>
      </c>
      <c r="C2120" s="2">
        <f t="shared" si="33"/>
        <v>6.0721249187494211E-3</v>
      </c>
    </row>
    <row r="2121" spans="1:3" x14ac:dyDescent="0.2">
      <c r="A2121" s="3">
        <v>42884</v>
      </c>
      <c r="B2121" s="2">
        <v>26.27</v>
      </c>
      <c r="C2121" s="2">
        <f t="shared" si="33"/>
        <v>-5.6936953967308144E-3</v>
      </c>
    </row>
    <row r="2122" spans="1:3" x14ac:dyDescent="0.2">
      <c r="A2122" s="3">
        <v>42881</v>
      </c>
      <c r="B2122" s="2">
        <v>26.42</v>
      </c>
      <c r="C2122" s="2">
        <f t="shared" si="33"/>
        <v>1.6024761072697246E-2</v>
      </c>
    </row>
    <row r="2123" spans="1:3" x14ac:dyDescent="0.2">
      <c r="A2123" s="3">
        <v>42879</v>
      </c>
      <c r="B2123" s="2">
        <v>26</v>
      </c>
      <c r="C2123" s="2">
        <f t="shared" si="33"/>
        <v>1.0050335853501506E-2</v>
      </c>
    </row>
    <row r="2124" spans="1:3" x14ac:dyDescent="0.2">
      <c r="A2124" s="3">
        <v>42878</v>
      </c>
      <c r="B2124" s="2">
        <v>25.74</v>
      </c>
      <c r="C2124" s="2">
        <f t="shared" si="33"/>
        <v>2.3188305622232445E-2</v>
      </c>
    </row>
    <row r="2125" spans="1:3" x14ac:dyDescent="0.2">
      <c r="A2125" s="3">
        <v>42877</v>
      </c>
      <c r="B2125" s="2">
        <v>25.15</v>
      </c>
      <c r="C2125" s="2">
        <f t="shared" si="33"/>
        <v>-6.7367007302273412E-3</v>
      </c>
    </row>
    <row r="2126" spans="1:3" x14ac:dyDescent="0.2">
      <c r="A2126" s="3">
        <v>42874</v>
      </c>
      <c r="B2126" s="2">
        <v>25.32</v>
      </c>
      <c r="C2126" s="2">
        <f t="shared" si="33"/>
        <v>2.479135364204392E-2</v>
      </c>
    </row>
    <row r="2127" spans="1:3" x14ac:dyDescent="0.2">
      <c r="A2127" s="3">
        <v>42873</v>
      </c>
      <c r="B2127" s="2">
        <v>24.7</v>
      </c>
      <c r="C2127" s="2">
        <f t="shared" si="33"/>
        <v>-2.4262041824639371E-3</v>
      </c>
    </row>
    <row r="2128" spans="1:3" x14ac:dyDescent="0.2">
      <c r="A2128" s="3">
        <v>42872</v>
      </c>
      <c r="B2128" s="2">
        <v>24.76</v>
      </c>
      <c r="C2128" s="2">
        <f t="shared" si="33"/>
        <v>-5.2705866512252335E-2</v>
      </c>
    </row>
    <row r="2129" spans="1:3" x14ac:dyDescent="0.2">
      <c r="A2129" s="3">
        <v>42871</v>
      </c>
      <c r="B2129" s="2">
        <v>26.1</v>
      </c>
      <c r="C2129" s="2">
        <f t="shared" si="33"/>
        <v>1.0011635414246741E-2</v>
      </c>
    </row>
    <row r="2130" spans="1:3" x14ac:dyDescent="0.2">
      <c r="A2130" s="3">
        <v>42867</v>
      </c>
      <c r="B2130" s="2">
        <v>25.84</v>
      </c>
      <c r="C2130" s="2">
        <f t="shared" si="33"/>
        <v>1.5491869868293187E-3</v>
      </c>
    </row>
    <row r="2131" spans="1:3" x14ac:dyDescent="0.2">
      <c r="A2131" s="3">
        <v>42866</v>
      </c>
      <c r="B2131" s="2">
        <v>25.8</v>
      </c>
      <c r="C2131" s="2">
        <f t="shared" si="33"/>
        <v>3.3500669730044209E-2</v>
      </c>
    </row>
    <row r="2132" spans="1:3" x14ac:dyDescent="0.2">
      <c r="A2132" s="3">
        <v>42865</v>
      </c>
      <c r="B2132" s="2">
        <v>24.95</v>
      </c>
      <c r="C2132" s="2">
        <f t="shared" si="33"/>
        <v>-2.0020026706730793E-3</v>
      </c>
    </row>
    <row r="2133" spans="1:3" x14ac:dyDescent="0.2">
      <c r="A2133" s="3">
        <v>42864</v>
      </c>
      <c r="B2133" s="2">
        <v>25</v>
      </c>
      <c r="C2133" s="2">
        <f t="shared" si="33"/>
        <v>3.2523191705560145E-2</v>
      </c>
    </row>
    <row r="2134" spans="1:3" x14ac:dyDescent="0.2">
      <c r="A2134" s="3">
        <v>42863</v>
      </c>
      <c r="B2134" s="2">
        <v>24.2</v>
      </c>
      <c r="C2134" s="2">
        <f t="shared" si="33"/>
        <v>-1.5173553370447054E-2</v>
      </c>
    </row>
    <row r="2135" spans="1:3" x14ac:dyDescent="0.2">
      <c r="A2135" s="3">
        <v>42860</v>
      </c>
      <c r="B2135" s="2">
        <v>24.57</v>
      </c>
      <c r="C2135" s="2">
        <f t="shared" si="33"/>
        <v>1.3109569149595454E-2</v>
      </c>
    </row>
    <row r="2136" spans="1:3" x14ac:dyDescent="0.2">
      <c r="A2136" s="3">
        <v>42859</v>
      </c>
      <c r="B2136" s="2">
        <v>24.25</v>
      </c>
      <c r="C2136" s="2">
        <f t="shared" si="33"/>
        <v>4.9607377465519806E-3</v>
      </c>
    </row>
    <row r="2137" spans="1:3" x14ac:dyDescent="0.2">
      <c r="A2137" s="3">
        <v>42858</v>
      </c>
      <c r="B2137" s="2">
        <v>24.13</v>
      </c>
      <c r="C2137" s="2">
        <f t="shared" si="33"/>
        <v>-9.4865632047559257E-3</v>
      </c>
    </row>
    <row r="2138" spans="1:3" x14ac:dyDescent="0.2">
      <c r="A2138" s="3">
        <v>42857</v>
      </c>
      <c r="B2138" s="2">
        <v>24.36</v>
      </c>
      <c r="C2138" s="2">
        <f t="shared" si="33"/>
        <v>4.1059331309733902E-4</v>
      </c>
    </row>
    <row r="2139" spans="1:3" x14ac:dyDescent="0.2">
      <c r="A2139" s="3">
        <v>42853</v>
      </c>
      <c r="B2139" s="2">
        <v>24.35</v>
      </c>
      <c r="C2139" s="2">
        <f t="shared" si="33"/>
        <v>7.8334764619845971E-3</v>
      </c>
    </row>
    <row r="2140" spans="1:3" x14ac:dyDescent="0.2">
      <c r="A2140" s="3">
        <v>42852</v>
      </c>
      <c r="B2140" s="2">
        <v>24.16</v>
      </c>
      <c r="C2140" s="2">
        <f t="shared" si="33"/>
        <v>1.4172809139460228E-2</v>
      </c>
    </row>
    <row r="2141" spans="1:3" x14ac:dyDescent="0.2">
      <c r="A2141" s="3">
        <v>42851</v>
      </c>
      <c r="B2141" s="2">
        <v>23.82</v>
      </c>
      <c r="C2141" s="2">
        <f t="shared" si="33"/>
        <v>3.4162160633417503E-2</v>
      </c>
    </row>
    <row r="2142" spans="1:3" x14ac:dyDescent="0.2">
      <c r="A2142" s="3">
        <v>42850</v>
      </c>
      <c r="B2142" s="2">
        <v>23.02</v>
      </c>
      <c r="C2142" s="2">
        <f t="shared" si="33"/>
        <v>8.2879427520324393E-3</v>
      </c>
    </row>
    <row r="2143" spans="1:3" x14ac:dyDescent="0.2">
      <c r="A2143" s="3">
        <v>42849</v>
      </c>
      <c r="B2143" s="2">
        <v>22.83</v>
      </c>
      <c r="C2143" s="2">
        <f t="shared" si="33"/>
        <v>4.0675998461889122E-2</v>
      </c>
    </row>
    <row r="2144" spans="1:3" x14ac:dyDescent="0.2">
      <c r="A2144" s="3">
        <v>42846</v>
      </c>
      <c r="B2144" s="2">
        <v>21.92</v>
      </c>
      <c r="C2144" s="2">
        <f t="shared" si="33"/>
        <v>-1.5841019189461424E-2</v>
      </c>
    </row>
    <row r="2145" spans="1:3" x14ac:dyDescent="0.2">
      <c r="A2145" s="3">
        <v>42845</v>
      </c>
      <c r="B2145" s="2">
        <v>22.27</v>
      </c>
      <c r="C2145" s="2">
        <f t="shared" si="33"/>
        <v>1.2198027910960344E-2</v>
      </c>
    </row>
    <row r="2146" spans="1:3" x14ac:dyDescent="0.2">
      <c r="A2146" s="3">
        <v>42844</v>
      </c>
      <c r="B2146" s="2">
        <v>22</v>
      </c>
      <c r="C2146" s="2">
        <f t="shared" si="33"/>
        <v>-9.0867793621806432E-4</v>
      </c>
    </row>
    <row r="2147" spans="1:3" x14ac:dyDescent="0.2">
      <c r="A2147" s="3">
        <v>42843</v>
      </c>
      <c r="B2147" s="2">
        <v>22.02</v>
      </c>
      <c r="C2147" s="2">
        <f t="shared" si="33"/>
        <v>-3.3492748781114343E-2</v>
      </c>
    </row>
    <row r="2148" spans="1:3" x14ac:dyDescent="0.2">
      <c r="A2148" s="3">
        <v>42837</v>
      </c>
      <c r="B2148" s="2">
        <v>22.77</v>
      </c>
      <c r="C2148" s="2">
        <f t="shared" si="33"/>
        <v>4.8426244757879908E-3</v>
      </c>
    </row>
    <row r="2149" spans="1:3" x14ac:dyDescent="0.2">
      <c r="A2149" s="3">
        <v>42836</v>
      </c>
      <c r="B2149" s="2">
        <v>22.66</v>
      </c>
      <c r="C2149" s="2">
        <f t="shared" si="33"/>
        <v>2.5023647076153035E-2</v>
      </c>
    </row>
    <row r="2150" spans="1:3" x14ac:dyDescent="0.2">
      <c r="A2150" s="3">
        <v>42835</v>
      </c>
      <c r="B2150" s="2">
        <v>22.1</v>
      </c>
      <c r="C2150" s="2">
        <f t="shared" si="33"/>
        <v>-4.5146803545265827E-3</v>
      </c>
    </row>
    <row r="2151" spans="1:3" x14ac:dyDescent="0.2">
      <c r="A2151" s="3">
        <v>42832</v>
      </c>
      <c r="B2151" s="2">
        <v>22.2</v>
      </c>
      <c r="C2151" s="2">
        <f t="shared" si="33"/>
        <v>4.0622940088789264E-3</v>
      </c>
    </row>
    <row r="2152" spans="1:3" x14ac:dyDescent="0.2">
      <c r="A2152" s="3">
        <v>42831</v>
      </c>
      <c r="B2152" s="2">
        <v>22.11</v>
      </c>
      <c r="C2152" s="2">
        <f t="shared" si="33"/>
        <v>6.3521084728361699E-3</v>
      </c>
    </row>
    <row r="2153" spans="1:3" x14ac:dyDescent="0.2">
      <c r="A2153" s="3">
        <v>42830</v>
      </c>
      <c r="B2153" s="2">
        <v>21.97</v>
      </c>
      <c r="C2153" s="2">
        <f t="shared" si="33"/>
        <v>-1.0414402481714926E-2</v>
      </c>
    </row>
    <row r="2154" spans="1:3" x14ac:dyDescent="0.2">
      <c r="A2154" s="3">
        <v>42829</v>
      </c>
      <c r="B2154" s="2">
        <v>22.2</v>
      </c>
      <c r="C2154" s="2">
        <f t="shared" si="33"/>
        <v>1.7265308473309048E-2</v>
      </c>
    </row>
    <row r="2155" spans="1:3" x14ac:dyDescent="0.2">
      <c r="A2155" s="3">
        <v>42828</v>
      </c>
      <c r="B2155" s="2">
        <v>21.82</v>
      </c>
      <c r="C2155" s="2">
        <f t="shared" si="33"/>
        <v>9.1701060988140645E-4</v>
      </c>
    </row>
    <row r="2156" spans="1:3" x14ac:dyDescent="0.2">
      <c r="A2156" s="3">
        <v>42825</v>
      </c>
      <c r="B2156" s="2">
        <v>21.8</v>
      </c>
      <c r="C2156" s="2">
        <f t="shared" si="33"/>
        <v>-6.4014850520408345E-3</v>
      </c>
    </row>
    <row r="2157" spans="1:3" x14ac:dyDescent="0.2">
      <c r="A2157" s="3">
        <v>42824</v>
      </c>
      <c r="B2157" s="2">
        <v>21.94</v>
      </c>
      <c r="C2157" s="2">
        <f t="shared" si="33"/>
        <v>4.1105333054849945E-3</v>
      </c>
    </row>
    <row r="2158" spans="1:3" x14ac:dyDescent="0.2">
      <c r="A2158" s="3">
        <v>42823</v>
      </c>
      <c r="B2158" s="2">
        <v>21.85</v>
      </c>
      <c r="C2158" s="2">
        <f t="shared" si="33"/>
        <v>-4.1105333054850205E-3</v>
      </c>
    </row>
    <row r="2159" spans="1:3" x14ac:dyDescent="0.2">
      <c r="A2159" s="3">
        <v>42822</v>
      </c>
      <c r="B2159" s="2">
        <v>21.94</v>
      </c>
      <c r="C2159" s="2">
        <f t="shared" si="33"/>
        <v>-1.4030553765164927E-2</v>
      </c>
    </row>
    <row r="2160" spans="1:3" x14ac:dyDescent="0.2">
      <c r="A2160" s="3">
        <v>42821</v>
      </c>
      <c r="B2160" s="2">
        <v>22.25</v>
      </c>
      <c r="C2160" s="2">
        <f t="shared" si="33"/>
        <v>-8.984726570270057E-4</v>
      </c>
    </row>
    <row r="2161" spans="1:3" x14ac:dyDescent="0.2">
      <c r="A2161" s="3">
        <v>42818</v>
      </c>
      <c r="B2161" s="2">
        <v>22.27</v>
      </c>
      <c r="C2161" s="2">
        <f t="shared" si="33"/>
        <v>3.0547166579156758E-2</v>
      </c>
    </row>
    <row r="2162" spans="1:3" x14ac:dyDescent="0.2">
      <c r="A2162" s="3">
        <v>42817</v>
      </c>
      <c r="B2162" s="2">
        <v>21.6</v>
      </c>
      <c r="C2162" s="2">
        <f t="shared" si="33"/>
        <v>2.8170876966696439E-2</v>
      </c>
    </row>
    <row r="2163" spans="1:3" x14ac:dyDescent="0.2">
      <c r="A2163" s="3">
        <v>42815</v>
      </c>
      <c r="B2163" s="2">
        <v>21</v>
      </c>
      <c r="C2163" s="2">
        <f t="shared" si="33"/>
        <v>1.4388737452099671E-2</v>
      </c>
    </row>
    <row r="2164" spans="1:3" x14ac:dyDescent="0.2">
      <c r="A2164" s="3">
        <v>42814</v>
      </c>
      <c r="B2164" s="2">
        <v>20.7</v>
      </c>
      <c r="C2164" s="2">
        <f t="shared" si="33"/>
        <v>1.2150817782512528E-2</v>
      </c>
    </row>
    <row r="2165" spans="1:3" x14ac:dyDescent="0.2">
      <c r="A2165" s="3">
        <v>42811</v>
      </c>
      <c r="B2165" s="2">
        <v>20.45</v>
      </c>
      <c r="C2165" s="2">
        <f t="shared" si="33"/>
        <v>8.3477037658283258E-3</v>
      </c>
    </row>
    <row r="2166" spans="1:3" x14ac:dyDescent="0.2">
      <c r="A2166" s="3">
        <v>42810</v>
      </c>
      <c r="B2166" s="2">
        <v>20.28</v>
      </c>
      <c r="C2166" s="2">
        <f t="shared" si="33"/>
        <v>1.3902905168991434E-2</v>
      </c>
    </row>
    <row r="2167" spans="1:3" x14ac:dyDescent="0.2">
      <c r="A2167" s="3">
        <v>42809</v>
      </c>
      <c r="B2167" s="2">
        <v>20</v>
      </c>
      <c r="C2167" s="2">
        <f t="shared" si="33"/>
        <v>-4.9987504165115355E-4</v>
      </c>
    </row>
    <row r="2168" spans="1:3" x14ac:dyDescent="0.2">
      <c r="A2168" s="3">
        <v>42808</v>
      </c>
      <c r="B2168" s="2">
        <v>20.010000000000002</v>
      </c>
      <c r="C2168" s="2">
        <f t="shared" si="33"/>
        <v>4.9987504165121481E-4</v>
      </c>
    </row>
    <row r="2169" spans="1:3" x14ac:dyDescent="0.2">
      <c r="A2169" s="3">
        <v>42807</v>
      </c>
      <c r="B2169" s="2">
        <v>20</v>
      </c>
      <c r="C2169" s="2">
        <f t="shared" si="33"/>
        <v>2.0713041597541528E-2</v>
      </c>
    </row>
    <row r="2170" spans="1:3" x14ac:dyDescent="0.2">
      <c r="A2170" s="3">
        <v>42804</v>
      </c>
      <c r="B2170" s="2">
        <v>19.59</v>
      </c>
      <c r="C2170" s="2">
        <f t="shared" si="33"/>
        <v>2.0108952922713478E-2</v>
      </c>
    </row>
    <row r="2171" spans="1:3" x14ac:dyDescent="0.2">
      <c r="A2171" s="3">
        <v>42803</v>
      </c>
      <c r="B2171" s="2">
        <v>19.2</v>
      </c>
      <c r="C2171" s="2">
        <f t="shared" si="33"/>
        <v>-4.6765478839017934E-3</v>
      </c>
    </row>
    <row r="2172" spans="1:3" x14ac:dyDescent="0.2">
      <c r="A2172" s="3">
        <v>42802</v>
      </c>
      <c r="B2172" s="2">
        <v>19.29</v>
      </c>
      <c r="C2172" s="2">
        <f t="shared" si="33"/>
        <v>-5.1826899320229233E-4</v>
      </c>
    </row>
    <row r="2173" spans="1:3" x14ac:dyDescent="0.2">
      <c r="A2173" s="3">
        <v>42801</v>
      </c>
      <c r="B2173" s="2">
        <v>19.3</v>
      </c>
      <c r="C2173" s="2">
        <f t="shared" si="33"/>
        <v>1.3037994338129801E-2</v>
      </c>
    </row>
    <row r="2174" spans="1:3" x14ac:dyDescent="0.2">
      <c r="A2174" s="3">
        <v>42800</v>
      </c>
      <c r="B2174" s="2">
        <v>19.05</v>
      </c>
      <c r="C2174" s="2">
        <f t="shared" si="33"/>
        <v>-5.2356140539449401E-3</v>
      </c>
    </row>
    <row r="2175" spans="1:3" x14ac:dyDescent="0.2">
      <c r="A2175" s="3">
        <v>42797</v>
      </c>
      <c r="B2175" s="2">
        <v>19.149999999999999</v>
      </c>
      <c r="C2175" s="2">
        <f t="shared" si="33"/>
        <v>-6.2467667996201192E-3</v>
      </c>
    </row>
    <row r="2176" spans="1:3" x14ac:dyDescent="0.2">
      <c r="A2176" s="3">
        <v>42796</v>
      </c>
      <c r="B2176" s="2">
        <v>19.27</v>
      </c>
      <c r="C2176" s="2">
        <f t="shared" si="33"/>
        <v>2.5980788841285371E-3</v>
      </c>
    </row>
    <row r="2177" spans="1:3" x14ac:dyDescent="0.2">
      <c r="A2177" s="3">
        <v>42794</v>
      </c>
      <c r="B2177" s="2">
        <v>19.22</v>
      </c>
      <c r="C2177" s="2">
        <f t="shared" si="33"/>
        <v>1.0460346424902121E-2</v>
      </c>
    </row>
    <row r="2178" spans="1:3" x14ac:dyDescent="0.2">
      <c r="A2178" s="3">
        <v>42793</v>
      </c>
      <c r="B2178" s="2">
        <v>19.02</v>
      </c>
      <c r="C2178" s="2">
        <f t="shared" si="33"/>
        <v>8.978143223224308E-3</v>
      </c>
    </row>
    <row r="2179" spans="1:3" x14ac:dyDescent="0.2">
      <c r="A2179" s="3">
        <v>42790</v>
      </c>
      <c r="B2179" s="2">
        <v>18.850000000000001</v>
      </c>
      <c r="C2179" s="2">
        <f t="shared" ref="C2179:C2242" si="34">+LN(B2179/B2180)</f>
        <v>1.5927797367863341E-3</v>
      </c>
    </row>
    <row r="2180" spans="1:3" x14ac:dyDescent="0.2">
      <c r="A2180" s="3">
        <v>42789</v>
      </c>
      <c r="B2180" s="2">
        <v>18.82</v>
      </c>
      <c r="C2180" s="2">
        <f t="shared" si="34"/>
        <v>-6.8837973712016966E-3</v>
      </c>
    </row>
    <row r="2181" spans="1:3" x14ac:dyDescent="0.2">
      <c r="A2181" s="3">
        <v>42788</v>
      </c>
      <c r="B2181" s="2">
        <v>18.95</v>
      </c>
      <c r="C2181" s="2">
        <f t="shared" si="34"/>
        <v>-5.263170044274644E-3</v>
      </c>
    </row>
    <row r="2182" spans="1:3" x14ac:dyDescent="0.2">
      <c r="A2182" s="3">
        <v>42787</v>
      </c>
      <c r="B2182" s="2">
        <v>19.05</v>
      </c>
      <c r="C2182" s="2">
        <f t="shared" si="34"/>
        <v>3.1545767485155669E-3</v>
      </c>
    </row>
    <row r="2183" spans="1:3" x14ac:dyDescent="0.2">
      <c r="A2183" s="3">
        <v>42786</v>
      </c>
      <c r="B2183" s="2">
        <v>18.989999999999998</v>
      </c>
      <c r="C2183" s="2">
        <f t="shared" si="34"/>
        <v>1.5810279973185514E-3</v>
      </c>
    </row>
    <row r="2184" spans="1:3" x14ac:dyDescent="0.2">
      <c r="A2184" s="3">
        <v>42783</v>
      </c>
      <c r="B2184" s="2">
        <v>18.96</v>
      </c>
      <c r="C2184" s="2">
        <f t="shared" si="34"/>
        <v>5.275652984403766E-4</v>
      </c>
    </row>
    <row r="2185" spans="1:3" x14ac:dyDescent="0.2">
      <c r="A2185" s="3">
        <v>42782</v>
      </c>
      <c r="B2185" s="2">
        <v>18.95</v>
      </c>
      <c r="C2185" s="2">
        <f t="shared" si="34"/>
        <v>-1.9336897255936687E-2</v>
      </c>
    </row>
    <row r="2186" spans="1:3" x14ac:dyDescent="0.2">
      <c r="A2186" s="3">
        <v>42781</v>
      </c>
      <c r="B2186" s="2">
        <v>19.32</v>
      </c>
      <c r="C2186" s="2">
        <f t="shared" si="34"/>
        <v>3.4758633365174256E-2</v>
      </c>
    </row>
    <row r="2187" spans="1:3" x14ac:dyDescent="0.2">
      <c r="A2187" s="3">
        <v>42780</v>
      </c>
      <c r="B2187" s="2">
        <v>18.66</v>
      </c>
      <c r="C2187" s="2">
        <f t="shared" si="34"/>
        <v>3.2206147000421572E-3</v>
      </c>
    </row>
    <row r="2188" spans="1:3" x14ac:dyDescent="0.2">
      <c r="A2188" s="3">
        <v>42779</v>
      </c>
      <c r="B2188" s="2">
        <v>18.600000000000001</v>
      </c>
      <c r="C2188" s="2">
        <f t="shared" si="34"/>
        <v>5.9315353201223201E-3</v>
      </c>
    </row>
    <row r="2189" spans="1:3" x14ac:dyDescent="0.2">
      <c r="A2189" s="3">
        <v>42776</v>
      </c>
      <c r="B2189" s="2">
        <v>18.489999999999998</v>
      </c>
      <c r="C2189" s="2">
        <f t="shared" si="34"/>
        <v>-2.7005147386756768E-3</v>
      </c>
    </row>
    <row r="2190" spans="1:3" x14ac:dyDescent="0.2">
      <c r="A2190" s="3">
        <v>42775</v>
      </c>
      <c r="B2190" s="2">
        <v>18.54</v>
      </c>
      <c r="C2190" s="2">
        <f t="shared" si="34"/>
        <v>-8.058061329762535E-3</v>
      </c>
    </row>
    <row r="2191" spans="1:3" x14ac:dyDescent="0.2">
      <c r="A2191" s="3">
        <v>42774</v>
      </c>
      <c r="B2191" s="2">
        <v>18.690000000000001</v>
      </c>
      <c r="C2191" s="2">
        <f t="shared" si="34"/>
        <v>1.0217889383192447E-2</v>
      </c>
    </row>
    <row r="2192" spans="1:3" x14ac:dyDescent="0.2">
      <c r="A2192" s="3">
        <v>42773</v>
      </c>
      <c r="B2192" s="2">
        <v>18.5</v>
      </c>
      <c r="C2192" s="2">
        <f t="shared" si="34"/>
        <v>1.910017137341943E-2</v>
      </c>
    </row>
    <row r="2193" spans="1:3" x14ac:dyDescent="0.2">
      <c r="A2193" s="3">
        <v>42772</v>
      </c>
      <c r="B2193" s="2">
        <v>18.149999999999999</v>
      </c>
      <c r="C2193" s="2">
        <f t="shared" si="34"/>
        <v>-3.3003330286569656E-3</v>
      </c>
    </row>
    <row r="2194" spans="1:3" x14ac:dyDescent="0.2">
      <c r="A2194" s="3">
        <v>42769</v>
      </c>
      <c r="B2194" s="2">
        <v>18.21</v>
      </c>
      <c r="C2194" s="2">
        <f t="shared" si="34"/>
        <v>2.7841441944774347E-2</v>
      </c>
    </row>
    <row r="2195" spans="1:3" x14ac:dyDescent="0.2">
      <c r="A2195" s="3">
        <v>42768</v>
      </c>
      <c r="B2195" s="2">
        <v>17.71</v>
      </c>
      <c r="C2195" s="2">
        <f t="shared" si="34"/>
        <v>8.5058635877715907E-3</v>
      </c>
    </row>
    <row r="2196" spans="1:3" x14ac:dyDescent="0.2">
      <c r="A2196" s="3">
        <v>42767</v>
      </c>
      <c r="B2196" s="2">
        <v>17.559999999999999</v>
      </c>
      <c r="C2196" s="2">
        <f t="shared" si="34"/>
        <v>9.7282598407788055E-3</v>
      </c>
    </row>
    <row r="2197" spans="1:3" x14ac:dyDescent="0.2">
      <c r="A2197" s="3">
        <v>42766</v>
      </c>
      <c r="B2197" s="2">
        <v>17.39</v>
      </c>
      <c r="C2197" s="2">
        <f t="shared" si="34"/>
        <v>5.1888268624584255E-3</v>
      </c>
    </row>
    <row r="2198" spans="1:3" x14ac:dyDescent="0.2">
      <c r="A2198" s="3">
        <v>42765</v>
      </c>
      <c r="B2198" s="2">
        <v>17.3</v>
      </c>
      <c r="C2198" s="2">
        <f t="shared" si="34"/>
        <v>-1.8328119004300186E-2</v>
      </c>
    </row>
    <row r="2199" spans="1:3" x14ac:dyDescent="0.2">
      <c r="A2199" s="3">
        <v>42762</v>
      </c>
      <c r="B2199" s="2">
        <v>17.62</v>
      </c>
      <c r="C2199" s="2">
        <f t="shared" si="34"/>
        <v>-5.6593246689013547E-3</v>
      </c>
    </row>
    <row r="2200" spans="1:3" x14ac:dyDescent="0.2">
      <c r="A2200" s="3">
        <v>42761</v>
      </c>
      <c r="B2200" s="2">
        <v>17.72</v>
      </c>
      <c r="C2200" s="2">
        <f t="shared" si="34"/>
        <v>-1.0665270895685581E-2</v>
      </c>
    </row>
    <row r="2201" spans="1:3" x14ac:dyDescent="0.2">
      <c r="A2201" s="3">
        <v>42760</v>
      </c>
      <c r="B2201" s="2">
        <v>17.91</v>
      </c>
      <c r="C2201" s="2">
        <f t="shared" si="34"/>
        <v>1.8028657323153587E-2</v>
      </c>
    </row>
    <row r="2202" spans="1:3" x14ac:dyDescent="0.2">
      <c r="A2202" s="3">
        <v>42759</v>
      </c>
      <c r="B2202" s="2">
        <v>17.59</v>
      </c>
      <c r="C2202" s="2">
        <f t="shared" si="34"/>
        <v>2.6499246413438385E-2</v>
      </c>
    </row>
    <row r="2203" spans="1:3" x14ac:dyDescent="0.2">
      <c r="A2203" s="3">
        <v>42758</v>
      </c>
      <c r="B2203" s="2">
        <v>17.13</v>
      </c>
      <c r="C2203" s="2">
        <f t="shared" si="34"/>
        <v>1.1153623112119964E-2</v>
      </c>
    </row>
    <row r="2204" spans="1:3" x14ac:dyDescent="0.2">
      <c r="A2204" s="3">
        <v>42755</v>
      </c>
      <c r="B2204" s="2">
        <v>16.940000000000001</v>
      </c>
      <c r="C2204" s="2">
        <f t="shared" si="34"/>
        <v>5.3270324255375442E-3</v>
      </c>
    </row>
    <row r="2205" spans="1:3" x14ac:dyDescent="0.2">
      <c r="A2205" s="3">
        <v>42754</v>
      </c>
      <c r="B2205" s="2">
        <v>16.850000000000001</v>
      </c>
      <c r="C2205" s="2">
        <f t="shared" si="34"/>
        <v>1.2541221405308181E-2</v>
      </c>
    </row>
    <row r="2206" spans="1:3" x14ac:dyDescent="0.2">
      <c r="A2206" s="3">
        <v>42753</v>
      </c>
      <c r="B2206" s="2">
        <v>16.64</v>
      </c>
      <c r="C2206" s="2">
        <f t="shared" si="34"/>
        <v>-1.8012613696401281E-3</v>
      </c>
    </row>
    <row r="2207" spans="1:3" x14ac:dyDescent="0.2">
      <c r="A2207" s="3">
        <v>42752</v>
      </c>
      <c r="B2207" s="2">
        <v>16.670000000000002</v>
      </c>
      <c r="C2207" s="2">
        <f t="shared" si="34"/>
        <v>4.2080014002050491E-3</v>
      </c>
    </row>
    <row r="2208" spans="1:3" x14ac:dyDescent="0.2">
      <c r="A2208" s="3">
        <v>42751</v>
      </c>
      <c r="B2208" s="2">
        <v>16.600000000000001</v>
      </c>
      <c r="C2208" s="2">
        <f t="shared" si="34"/>
        <v>1.0902591338215436E-2</v>
      </c>
    </row>
    <row r="2209" spans="1:3" x14ac:dyDescent="0.2">
      <c r="A2209" s="3">
        <v>42748</v>
      </c>
      <c r="B2209" s="2">
        <v>16.420000000000002</v>
      </c>
      <c r="C2209" s="2">
        <f t="shared" si="34"/>
        <v>8.5627434498878573E-3</v>
      </c>
    </row>
    <row r="2210" spans="1:3" x14ac:dyDescent="0.2">
      <c r="A2210" s="3">
        <v>42747</v>
      </c>
      <c r="B2210" s="2">
        <v>16.28</v>
      </c>
      <c r="C2210" s="2">
        <f t="shared" si="34"/>
        <v>8.6366977325915643E-3</v>
      </c>
    </row>
    <row r="2211" spans="1:3" x14ac:dyDescent="0.2">
      <c r="A2211" s="3">
        <v>42746</v>
      </c>
      <c r="B2211" s="2">
        <v>16.14</v>
      </c>
      <c r="C2211" s="2">
        <f t="shared" si="34"/>
        <v>4.968954323187144E-3</v>
      </c>
    </row>
    <row r="2212" spans="1:3" x14ac:dyDescent="0.2">
      <c r="A2212" s="3">
        <v>42745</v>
      </c>
      <c r="B2212" s="2">
        <v>16.059999999999999</v>
      </c>
      <c r="C2212" s="2">
        <f t="shared" si="34"/>
        <v>-2.4875634718018579E-3</v>
      </c>
    </row>
    <row r="2213" spans="1:3" x14ac:dyDescent="0.2">
      <c r="A2213" s="3">
        <v>42744</v>
      </c>
      <c r="B2213" s="2">
        <v>16.100000000000001</v>
      </c>
      <c r="C2213" s="2">
        <f t="shared" si="34"/>
        <v>2.4875634718019286E-3</v>
      </c>
    </row>
    <row r="2214" spans="1:3" x14ac:dyDescent="0.2">
      <c r="A2214" s="3">
        <v>42741</v>
      </c>
      <c r="B2214" s="2">
        <v>16.059999999999999</v>
      </c>
      <c r="C2214" s="2">
        <f t="shared" si="34"/>
        <v>2.4937668784024581E-3</v>
      </c>
    </row>
    <row r="2215" spans="1:3" x14ac:dyDescent="0.2">
      <c r="A2215" s="3">
        <v>42740</v>
      </c>
      <c r="B2215" s="2">
        <v>16.02</v>
      </c>
      <c r="C2215" s="2">
        <f t="shared" si="34"/>
        <v>-1.247660798155252E-3</v>
      </c>
    </row>
    <row r="2216" spans="1:3" x14ac:dyDescent="0.2">
      <c r="A2216" s="3">
        <v>42739</v>
      </c>
      <c r="B2216" s="2">
        <v>16.04</v>
      </c>
      <c r="C2216" s="2">
        <f t="shared" si="34"/>
        <v>-1.2461060802471829E-3</v>
      </c>
    </row>
    <row r="2217" spans="1:3" x14ac:dyDescent="0.2">
      <c r="A2217" s="3">
        <v>42738</v>
      </c>
      <c r="B2217" s="2">
        <v>16.059999999999999</v>
      </c>
      <c r="C2217" s="2">
        <f t="shared" si="34"/>
        <v>3.2271069893372327E-2</v>
      </c>
    </row>
    <row r="2218" spans="1:3" x14ac:dyDescent="0.2">
      <c r="A2218" s="3">
        <v>42734</v>
      </c>
      <c r="B2218" s="2">
        <v>15.55</v>
      </c>
      <c r="C2218" s="2">
        <f t="shared" si="34"/>
        <v>5.8045954659673151E-3</v>
      </c>
    </row>
    <row r="2219" spans="1:3" x14ac:dyDescent="0.2">
      <c r="A2219" s="3">
        <v>42733</v>
      </c>
      <c r="B2219" s="2">
        <v>15.46</v>
      </c>
      <c r="C2219" s="2">
        <f t="shared" si="34"/>
        <v>-1.6041409108253885E-2</v>
      </c>
    </row>
    <row r="2220" spans="1:3" x14ac:dyDescent="0.2">
      <c r="A2220" s="3">
        <v>42732</v>
      </c>
      <c r="B2220" s="2">
        <v>15.71</v>
      </c>
      <c r="C2220" s="2">
        <f t="shared" si="34"/>
        <v>3.4977658907088885E-2</v>
      </c>
    </row>
    <row r="2221" spans="1:3" x14ac:dyDescent="0.2">
      <c r="A2221" s="3">
        <v>42731</v>
      </c>
      <c r="B2221" s="2">
        <v>15.17</v>
      </c>
      <c r="C2221" s="2">
        <f t="shared" si="34"/>
        <v>-6.5703258701002168E-3</v>
      </c>
    </row>
    <row r="2222" spans="1:3" x14ac:dyDescent="0.2">
      <c r="A2222" s="3">
        <v>42727</v>
      </c>
      <c r="B2222" s="2">
        <v>15.27</v>
      </c>
      <c r="C2222" s="2">
        <f t="shared" si="34"/>
        <v>-3.2690450819042186E-3</v>
      </c>
    </row>
    <row r="2223" spans="1:3" x14ac:dyDescent="0.2">
      <c r="A2223" s="3">
        <v>42726</v>
      </c>
      <c r="B2223" s="2">
        <v>15.32</v>
      </c>
      <c r="C2223" s="2">
        <f t="shared" si="34"/>
        <v>-2.6075634070808302E-3</v>
      </c>
    </row>
    <row r="2224" spans="1:3" x14ac:dyDescent="0.2">
      <c r="A2224" s="3">
        <v>42725</v>
      </c>
      <c r="B2224" s="2">
        <v>15.36</v>
      </c>
      <c r="C2224" s="2">
        <f t="shared" si="34"/>
        <v>1.3029317804160619E-3</v>
      </c>
    </row>
    <row r="2225" spans="1:3" x14ac:dyDescent="0.2">
      <c r="A2225" s="3">
        <v>42724</v>
      </c>
      <c r="B2225" s="2">
        <v>15.34</v>
      </c>
      <c r="C2225" s="2">
        <f t="shared" si="34"/>
        <v>-1.302931780415906E-3</v>
      </c>
    </row>
    <row r="2226" spans="1:3" x14ac:dyDescent="0.2">
      <c r="A2226" s="3">
        <v>42723</v>
      </c>
      <c r="B2226" s="2">
        <v>15.36</v>
      </c>
      <c r="C2226" s="2">
        <f t="shared" si="34"/>
        <v>-1.5504186535965312E-2</v>
      </c>
    </row>
    <row r="2227" spans="1:3" x14ac:dyDescent="0.2">
      <c r="A2227" s="3">
        <v>42720</v>
      </c>
      <c r="B2227" s="2">
        <v>15.6</v>
      </c>
      <c r="C2227" s="2">
        <f t="shared" si="34"/>
        <v>1.4202950177993317E-2</v>
      </c>
    </row>
    <row r="2228" spans="1:3" x14ac:dyDescent="0.2">
      <c r="A2228" s="3">
        <v>42719</v>
      </c>
      <c r="B2228" s="2">
        <v>15.38</v>
      </c>
      <c r="C2228" s="2">
        <f t="shared" si="34"/>
        <v>-1.2995453420855034E-3</v>
      </c>
    </row>
    <row r="2229" spans="1:3" x14ac:dyDescent="0.2">
      <c r="A2229" s="3">
        <v>42718</v>
      </c>
      <c r="B2229" s="2">
        <v>15.4</v>
      </c>
      <c r="C2229" s="2">
        <f t="shared" si="34"/>
        <v>-3.2414939241709557E-3</v>
      </c>
    </row>
    <row r="2230" spans="1:3" x14ac:dyDescent="0.2">
      <c r="A2230" s="3">
        <v>42717</v>
      </c>
      <c r="B2230" s="2">
        <v>15.45</v>
      </c>
      <c r="C2230" s="2">
        <f t="shared" si="34"/>
        <v>6.4935293105483115E-3</v>
      </c>
    </row>
    <row r="2231" spans="1:3" x14ac:dyDescent="0.2">
      <c r="A2231" s="3">
        <v>42713</v>
      </c>
      <c r="B2231" s="2">
        <v>15.35</v>
      </c>
      <c r="C2231" s="2">
        <f t="shared" si="34"/>
        <v>-9.0791803955711479E-3</v>
      </c>
    </row>
    <row r="2232" spans="1:3" x14ac:dyDescent="0.2">
      <c r="A2232" s="3">
        <v>42712</v>
      </c>
      <c r="B2232" s="2">
        <v>15.49</v>
      </c>
      <c r="C2232" s="2">
        <f t="shared" si="34"/>
        <v>6.4578626719628113E-4</v>
      </c>
    </row>
    <row r="2233" spans="1:3" x14ac:dyDescent="0.2">
      <c r="A2233" s="3">
        <v>42711</v>
      </c>
      <c r="B2233" s="2">
        <v>15.48</v>
      </c>
      <c r="C2233" s="2">
        <f t="shared" si="34"/>
        <v>6.4809040840831415E-3</v>
      </c>
    </row>
    <row r="2234" spans="1:3" x14ac:dyDescent="0.2">
      <c r="A2234" s="3">
        <v>42710</v>
      </c>
      <c r="B2234" s="2">
        <v>15.38</v>
      </c>
      <c r="C2234" s="2">
        <f t="shared" si="34"/>
        <v>1.5067432122119707E-2</v>
      </c>
    </row>
    <row r="2235" spans="1:3" x14ac:dyDescent="0.2">
      <c r="A2235" s="3">
        <v>42709</v>
      </c>
      <c r="B2235" s="2">
        <v>15.15</v>
      </c>
      <c r="C2235" s="2">
        <f t="shared" si="34"/>
        <v>1.7310685259460518E-2</v>
      </c>
    </row>
    <row r="2236" spans="1:3" x14ac:dyDescent="0.2">
      <c r="A2236" s="3">
        <v>42706</v>
      </c>
      <c r="B2236" s="2">
        <v>14.89</v>
      </c>
      <c r="C2236" s="2">
        <f t="shared" si="34"/>
        <v>-1.1352375675829892E-2</v>
      </c>
    </row>
    <row r="2237" spans="1:3" x14ac:dyDescent="0.2">
      <c r="A2237" s="3">
        <v>42705</v>
      </c>
      <c r="B2237" s="2">
        <v>15.06</v>
      </c>
      <c r="C2237" s="2">
        <f t="shared" si="34"/>
        <v>-8.5950942359339314E-3</v>
      </c>
    </row>
    <row r="2238" spans="1:3" x14ac:dyDescent="0.2">
      <c r="A2238" s="3">
        <v>42704</v>
      </c>
      <c r="B2238" s="2">
        <v>15.19</v>
      </c>
      <c r="C2238" s="2">
        <f t="shared" si="34"/>
        <v>-3.942186445739182E-3</v>
      </c>
    </row>
    <row r="2239" spans="1:3" x14ac:dyDescent="0.2">
      <c r="A2239" s="3">
        <v>42703</v>
      </c>
      <c r="B2239" s="2">
        <v>15.25</v>
      </c>
      <c r="C2239" s="2">
        <f t="shared" si="34"/>
        <v>-1.6905474135026827E-2</v>
      </c>
    </row>
    <row r="2240" spans="1:3" x14ac:dyDescent="0.2">
      <c r="A2240" s="3">
        <v>42702</v>
      </c>
      <c r="B2240" s="2">
        <v>15.51</v>
      </c>
      <c r="C2240" s="2">
        <f t="shared" si="34"/>
        <v>8.4170131109494502E-3</v>
      </c>
    </row>
    <row r="2241" spans="1:3" x14ac:dyDescent="0.2">
      <c r="A2241" s="3">
        <v>42699</v>
      </c>
      <c r="B2241" s="2">
        <v>15.38</v>
      </c>
      <c r="C2241" s="2">
        <f t="shared" si="34"/>
        <v>6.5040652699362904E-4</v>
      </c>
    </row>
    <row r="2242" spans="1:3" x14ac:dyDescent="0.2">
      <c r="A2242" s="3">
        <v>42698</v>
      </c>
      <c r="B2242" s="2">
        <v>15.37</v>
      </c>
      <c r="C2242" s="2">
        <f t="shared" si="34"/>
        <v>7.838054497083722E-3</v>
      </c>
    </row>
    <row r="2243" spans="1:3" x14ac:dyDescent="0.2">
      <c r="A2243" s="3">
        <v>42697</v>
      </c>
      <c r="B2243" s="2">
        <v>15.25</v>
      </c>
      <c r="C2243" s="2">
        <f t="shared" ref="C2243:C2306" si="35">+LN(B2243/B2244)</f>
        <v>2.8601883185479689E-2</v>
      </c>
    </row>
    <row r="2244" spans="1:3" x14ac:dyDescent="0.2">
      <c r="A2244" s="3">
        <v>42696</v>
      </c>
      <c r="B2244" s="2">
        <v>14.82</v>
      </c>
      <c r="C2244" s="2">
        <f t="shared" si="35"/>
        <v>8.8106296821549059E-3</v>
      </c>
    </row>
    <row r="2245" spans="1:3" x14ac:dyDescent="0.2">
      <c r="A2245" s="3">
        <v>42695</v>
      </c>
      <c r="B2245" s="2">
        <v>14.69</v>
      </c>
      <c r="C2245" s="2">
        <f t="shared" si="35"/>
        <v>-2.0401231149443492E-3</v>
      </c>
    </row>
    <row r="2246" spans="1:3" x14ac:dyDescent="0.2">
      <c r="A2246" s="3">
        <v>42692</v>
      </c>
      <c r="B2246" s="2">
        <v>14.72</v>
      </c>
      <c r="C2246" s="2">
        <f t="shared" si="35"/>
        <v>-5.4200674693392556E-3</v>
      </c>
    </row>
    <row r="2247" spans="1:3" x14ac:dyDescent="0.2">
      <c r="A2247" s="3">
        <v>42691</v>
      </c>
      <c r="B2247" s="2">
        <v>14.8</v>
      </c>
      <c r="C2247" s="2">
        <f t="shared" si="35"/>
        <v>1.3605652055778678E-2</v>
      </c>
    </row>
    <row r="2248" spans="1:3" x14ac:dyDescent="0.2">
      <c r="A2248" s="3">
        <v>42689</v>
      </c>
      <c r="B2248" s="2">
        <v>14.6</v>
      </c>
      <c r="C2248" s="2">
        <f t="shared" si="35"/>
        <v>-6.1454614714951316E-3</v>
      </c>
    </row>
    <row r="2249" spans="1:3" x14ac:dyDescent="0.2">
      <c r="A2249" s="3">
        <v>42688</v>
      </c>
      <c r="B2249" s="2">
        <v>14.69</v>
      </c>
      <c r="C2249" s="2">
        <f t="shared" si="35"/>
        <v>-1.3522856510131732E-2</v>
      </c>
    </row>
    <row r="2250" spans="1:3" x14ac:dyDescent="0.2">
      <c r="A2250" s="3">
        <v>42685</v>
      </c>
      <c r="B2250" s="2">
        <v>14.89</v>
      </c>
      <c r="C2250" s="2">
        <f t="shared" si="35"/>
        <v>8.0917501526292356E-3</v>
      </c>
    </row>
    <row r="2251" spans="1:3" x14ac:dyDescent="0.2">
      <c r="A2251" s="3">
        <v>42684</v>
      </c>
      <c r="B2251" s="2">
        <v>14.77</v>
      </c>
      <c r="C2251" s="2">
        <f t="shared" si="35"/>
        <v>4.6423299159165744E-2</v>
      </c>
    </row>
    <row r="2252" spans="1:3" x14ac:dyDescent="0.2">
      <c r="A2252" s="3">
        <v>42683</v>
      </c>
      <c r="B2252" s="2">
        <v>14.1</v>
      </c>
      <c r="C2252" s="2">
        <f t="shared" si="35"/>
        <v>-1.2685159527315687E-2</v>
      </c>
    </row>
    <row r="2253" spans="1:3" x14ac:dyDescent="0.2">
      <c r="A2253" s="3">
        <v>42682</v>
      </c>
      <c r="B2253" s="2">
        <v>14.28</v>
      </c>
      <c r="C2253" s="2">
        <f t="shared" si="35"/>
        <v>-4.8899852941917919E-3</v>
      </c>
    </row>
    <row r="2254" spans="1:3" x14ac:dyDescent="0.2">
      <c r="A2254" s="3">
        <v>42681</v>
      </c>
      <c r="B2254" s="2">
        <v>14.35</v>
      </c>
      <c r="C2254" s="2">
        <f t="shared" si="35"/>
        <v>1.4035318116383365E-2</v>
      </c>
    </row>
    <row r="2255" spans="1:3" x14ac:dyDescent="0.2">
      <c r="A2255" s="3">
        <v>42678</v>
      </c>
      <c r="B2255" s="2">
        <v>14.15</v>
      </c>
      <c r="C2255" s="2">
        <f t="shared" si="35"/>
        <v>1.1371835411856848E-2</v>
      </c>
    </row>
    <row r="2256" spans="1:3" x14ac:dyDescent="0.2">
      <c r="A2256" s="3">
        <v>42677</v>
      </c>
      <c r="B2256" s="2">
        <v>13.99</v>
      </c>
      <c r="C2256" s="2">
        <f t="shared" si="35"/>
        <v>-1.8414118037269736E-2</v>
      </c>
    </row>
    <row r="2257" spans="1:3" x14ac:dyDescent="0.2">
      <c r="A2257" s="3">
        <v>42676</v>
      </c>
      <c r="B2257" s="2">
        <v>14.25</v>
      </c>
      <c r="C2257" s="2">
        <f t="shared" si="35"/>
        <v>-6.2959284568148118E-3</v>
      </c>
    </row>
    <row r="2258" spans="1:3" x14ac:dyDescent="0.2">
      <c r="A2258" s="3">
        <v>42675</v>
      </c>
      <c r="B2258" s="2">
        <v>14.34</v>
      </c>
      <c r="C2258" s="2">
        <f t="shared" si="35"/>
        <v>-1.933761915015806E-2</v>
      </c>
    </row>
    <row r="2259" spans="1:3" x14ac:dyDescent="0.2">
      <c r="A2259" s="3">
        <v>42674</v>
      </c>
      <c r="B2259" s="2">
        <v>14.62</v>
      </c>
      <c r="C2259" s="2">
        <f t="shared" si="35"/>
        <v>-2.0498811414439871E-3</v>
      </c>
    </row>
    <row r="2260" spans="1:3" x14ac:dyDescent="0.2">
      <c r="A2260" s="3">
        <v>42671</v>
      </c>
      <c r="B2260" s="2">
        <v>14.65</v>
      </c>
      <c r="C2260" s="2">
        <f t="shared" si="35"/>
        <v>-6.8027473227525231E-3</v>
      </c>
    </row>
    <row r="2261" spans="1:3" x14ac:dyDescent="0.2">
      <c r="A2261" s="3">
        <v>42670</v>
      </c>
      <c r="B2261" s="2">
        <v>14.75</v>
      </c>
      <c r="C2261" s="2">
        <f t="shared" si="35"/>
        <v>-6.0831549534055805E-3</v>
      </c>
    </row>
    <row r="2262" spans="1:3" x14ac:dyDescent="0.2">
      <c r="A2262" s="3">
        <v>42669</v>
      </c>
      <c r="B2262" s="2">
        <v>14.84</v>
      </c>
      <c r="C2262" s="2">
        <f t="shared" si="35"/>
        <v>1.152164558434395E-2</v>
      </c>
    </row>
    <row r="2263" spans="1:3" x14ac:dyDescent="0.2">
      <c r="A2263" s="3">
        <v>42668</v>
      </c>
      <c r="B2263" s="2">
        <v>14.67</v>
      </c>
      <c r="C2263" s="2">
        <f t="shared" si="35"/>
        <v>-1.6898002620724398E-2</v>
      </c>
    </row>
    <row r="2264" spans="1:3" x14ac:dyDescent="0.2">
      <c r="A2264" s="3">
        <v>42667</v>
      </c>
      <c r="B2264" s="2">
        <v>14.92</v>
      </c>
      <c r="C2264" s="2">
        <f t="shared" si="35"/>
        <v>-8.6753964192700442E-3</v>
      </c>
    </row>
    <row r="2265" spans="1:3" x14ac:dyDescent="0.2">
      <c r="A2265" s="3">
        <v>42664</v>
      </c>
      <c r="B2265" s="2">
        <v>15.05</v>
      </c>
      <c r="C2265" s="2">
        <f t="shared" si="35"/>
        <v>-6.6225407604933824E-3</v>
      </c>
    </row>
    <row r="2266" spans="1:3" x14ac:dyDescent="0.2">
      <c r="A2266" s="3">
        <v>42663</v>
      </c>
      <c r="B2266" s="2">
        <v>15.15</v>
      </c>
      <c r="C2266" s="2">
        <f t="shared" si="35"/>
        <v>-5.2666349516923457E-3</v>
      </c>
    </row>
    <row r="2267" spans="1:3" x14ac:dyDescent="0.2">
      <c r="A2267" s="3">
        <v>42662</v>
      </c>
      <c r="B2267" s="2">
        <v>15.23</v>
      </c>
      <c r="C2267" s="2">
        <f t="shared" si="35"/>
        <v>-2.6229523234705915E-3</v>
      </c>
    </row>
    <row r="2268" spans="1:3" x14ac:dyDescent="0.2">
      <c r="A2268" s="3">
        <v>42661</v>
      </c>
      <c r="B2268" s="2">
        <v>15.27</v>
      </c>
      <c r="C2268" s="2">
        <f t="shared" si="35"/>
        <v>-1.3012545354433754E-2</v>
      </c>
    </row>
    <row r="2269" spans="1:3" x14ac:dyDescent="0.2">
      <c r="A2269" s="3">
        <v>42660</v>
      </c>
      <c r="B2269" s="2">
        <v>15.47</v>
      </c>
      <c r="C2269" s="2">
        <f t="shared" si="35"/>
        <v>9.0909717012521048E-3</v>
      </c>
    </row>
    <row r="2270" spans="1:3" x14ac:dyDescent="0.2">
      <c r="A2270" s="3">
        <v>42657</v>
      </c>
      <c r="B2270" s="2">
        <v>15.33</v>
      </c>
      <c r="C2270" s="2">
        <f t="shared" si="35"/>
        <v>9.8329209162388333E-3</v>
      </c>
    </row>
    <row r="2271" spans="1:3" x14ac:dyDescent="0.2">
      <c r="A2271" s="3">
        <v>42656</v>
      </c>
      <c r="B2271" s="2">
        <v>15.18</v>
      </c>
      <c r="C2271" s="2">
        <f t="shared" si="35"/>
        <v>-1.9743343037177405E-3</v>
      </c>
    </row>
    <row r="2272" spans="1:3" x14ac:dyDescent="0.2">
      <c r="A2272" s="3">
        <v>42655</v>
      </c>
      <c r="B2272" s="2">
        <v>15.21</v>
      </c>
      <c r="C2272" s="2">
        <f t="shared" si="35"/>
        <v>9.2470936327974235E-3</v>
      </c>
    </row>
    <row r="2273" spans="1:3" x14ac:dyDescent="0.2">
      <c r="A2273" s="3">
        <v>42654</v>
      </c>
      <c r="B2273" s="2">
        <v>15.07</v>
      </c>
      <c r="C2273" s="2">
        <f t="shared" si="35"/>
        <v>-2.2310636693620316E-2</v>
      </c>
    </row>
    <row r="2274" spans="1:3" x14ac:dyDescent="0.2">
      <c r="A2274" s="3">
        <v>42653</v>
      </c>
      <c r="B2274" s="2">
        <v>15.41</v>
      </c>
      <c r="C2274" s="2">
        <f t="shared" si="35"/>
        <v>5.2049564483016243E-3</v>
      </c>
    </row>
    <row r="2275" spans="1:3" x14ac:dyDescent="0.2">
      <c r="A2275" s="3">
        <v>42650</v>
      </c>
      <c r="B2275" s="2">
        <v>15.33</v>
      </c>
      <c r="C2275" s="2">
        <f t="shared" si="35"/>
        <v>-3.9062549670650995E-3</v>
      </c>
    </row>
    <row r="2276" spans="1:3" x14ac:dyDescent="0.2">
      <c r="A2276" s="3">
        <v>42649</v>
      </c>
      <c r="B2276" s="2">
        <v>15.39</v>
      </c>
      <c r="C2276" s="2">
        <f t="shared" si="35"/>
        <v>-1.0342690774455246E-2</v>
      </c>
    </row>
    <row r="2277" spans="1:3" x14ac:dyDescent="0.2">
      <c r="A2277" s="3">
        <v>42648</v>
      </c>
      <c r="B2277" s="2">
        <v>15.55</v>
      </c>
      <c r="C2277" s="2">
        <f t="shared" si="35"/>
        <v>-5.7710964919218408E-3</v>
      </c>
    </row>
    <row r="2278" spans="1:3" x14ac:dyDescent="0.2">
      <c r="A2278" s="3">
        <v>42647</v>
      </c>
      <c r="B2278" s="2">
        <v>15.64</v>
      </c>
      <c r="C2278" s="2">
        <f t="shared" si="35"/>
        <v>8.9917111919640864E-3</v>
      </c>
    </row>
    <row r="2279" spans="1:3" x14ac:dyDescent="0.2">
      <c r="A2279" s="3">
        <v>42646</v>
      </c>
      <c r="B2279" s="2">
        <v>15.5</v>
      </c>
      <c r="C2279" s="2">
        <f t="shared" si="35"/>
        <v>2.1520230564760153E-2</v>
      </c>
    </row>
    <row r="2280" spans="1:3" x14ac:dyDescent="0.2">
      <c r="A2280" s="3">
        <v>42643</v>
      </c>
      <c r="B2280" s="2">
        <v>15.17</v>
      </c>
      <c r="C2280" s="2">
        <f t="shared" si="35"/>
        <v>-8.5330350379489803E-3</v>
      </c>
    </row>
    <row r="2281" spans="1:3" x14ac:dyDescent="0.2">
      <c r="A2281" s="3">
        <v>42642</v>
      </c>
      <c r="B2281" s="2">
        <v>15.3</v>
      </c>
      <c r="C2281" s="2">
        <f t="shared" si="35"/>
        <v>6.5380845741894265E-4</v>
      </c>
    </row>
    <row r="2282" spans="1:3" x14ac:dyDescent="0.2">
      <c r="A2282" s="3">
        <v>42641</v>
      </c>
      <c r="B2282" s="2">
        <v>15.29</v>
      </c>
      <c r="C2282" s="2">
        <f t="shared" si="35"/>
        <v>2.3156840236299752E-2</v>
      </c>
    </row>
    <row r="2283" spans="1:3" x14ac:dyDescent="0.2">
      <c r="A2283" s="3">
        <v>42640</v>
      </c>
      <c r="B2283" s="2">
        <v>14.94</v>
      </c>
      <c r="C2283" s="2">
        <f t="shared" si="35"/>
        <v>-9.3271828751387686E-3</v>
      </c>
    </row>
    <row r="2284" spans="1:3" x14ac:dyDescent="0.2">
      <c r="A2284" s="3">
        <v>42639</v>
      </c>
      <c r="B2284" s="2">
        <v>15.08</v>
      </c>
      <c r="C2284" s="2">
        <f t="shared" si="35"/>
        <v>-9.8978043272604701E-3</v>
      </c>
    </row>
    <row r="2285" spans="1:3" x14ac:dyDescent="0.2">
      <c r="A2285" s="3">
        <v>42636</v>
      </c>
      <c r="B2285" s="2">
        <v>15.23</v>
      </c>
      <c r="C2285" s="2">
        <f t="shared" si="35"/>
        <v>-1.7572857018130415E-2</v>
      </c>
    </row>
    <row r="2286" spans="1:3" x14ac:dyDescent="0.2">
      <c r="A2286" s="3">
        <v>42635</v>
      </c>
      <c r="B2286" s="2">
        <v>15.5</v>
      </c>
      <c r="C2286" s="2">
        <f t="shared" si="35"/>
        <v>2.7470661345390817E-2</v>
      </c>
    </row>
    <row r="2287" spans="1:3" x14ac:dyDescent="0.2">
      <c r="A2287" s="3">
        <v>42634</v>
      </c>
      <c r="B2287" s="2">
        <v>15.08</v>
      </c>
      <c r="C2287" s="2">
        <f t="shared" si="35"/>
        <v>4.6527169344394758E-3</v>
      </c>
    </row>
    <row r="2288" spans="1:3" x14ac:dyDescent="0.2">
      <c r="A2288" s="3">
        <v>42633</v>
      </c>
      <c r="B2288" s="2">
        <v>15.01</v>
      </c>
      <c r="C2288" s="2">
        <f t="shared" si="35"/>
        <v>1.3333335308641169E-3</v>
      </c>
    </row>
    <row r="2289" spans="1:3" x14ac:dyDescent="0.2">
      <c r="A2289" s="3">
        <v>42632</v>
      </c>
      <c r="B2289" s="2">
        <v>14.99</v>
      </c>
      <c r="C2289" s="2">
        <f t="shared" si="35"/>
        <v>2.003339568175104E-3</v>
      </c>
    </row>
    <row r="2290" spans="1:3" x14ac:dyDescent="0.2">
      <c r="A2290" s="3">
        <v>42629</v>
      </c>
      <c r="B2290" s="2">
        <v>14.96</v>
      </c>
      <c r="C2290" s="2">
        <f t="shared" si="35"/>
        <v>-1.3939820814109686E-2</v>
      </c>
    </row>
    <row r="2291" spans="1:3" x14ac:dyDescent="0.2">
      <c r="A2291" s="3">
        <v>42628</v>
      </c>
      <c r="B2291" s="2">
        <v>15.17</v>
      </c>
      <c r="C2291" s="2">
        <f t="shared" si="35"/>
        <v>8.6064748387472134E-3</v>
      </c>
    </row>
    <row r="2292" spans="1:3" x14ac:dyDescent="0.2">
      <c r="A2292" s="3">
        <v>42627</v>
      </c>
      <c r="B2292" s="2">
        <v>15.04</v>
      </c>
      <c r="C2292" s="2">
        <f t="shared" si="35"/>
        <v>2.6631174194836284E-3</v>
      </c>
    </row>
    <row r="2293" spans="1:3" x14ac:dyDescent="0.2">
      <c r="A2293" s="3">
        <v>42626</v>
      </c>
      <c r="B2293" s="2">
        <v>15</v>
      </c>
      <c r="C2293" s="2">
        <f t="shared" si="35"/>
        <v>-5.982071677547429E-3</v>
      </c>
    </row>
    <row r="2294" spans="1:3" x14ac:dyDescent="0.2">
      <c r="A2294" s="3">
        <v>42625</v>
      </c>
      <c r="B2294" s="2">
        <v>15.09</v>
      </c>
      <c r="C2294" s="2">
        <f t="shared" si="35"/>
        <v>-1.2512510958616867E-2</v>
      </c>
    </row>
    <row r="2295" spans="1:3" x14ac:dyDescent="0.2">
      <c r="A2295" s="3">
        <v>42622</v>
      </c>
      <c r="B2295" s="2">
        <v>15.28</v>
      </c>
      <c r="C2295" s="2">
        <f t="shared" si="35"/>
        <v>-7.8227256812091559E-3</v>
      </c>
    </row>
    <row r="2296" spans="1:3" x14ac:dyDescent="0.2">
      <c r="A2296" s="3">
        <v>42621</v>
      </c>
      <c r="B2296" s="2">
        <v>15.4</v>
      </c>
      <c r="C2296" s="2">
        <f t="shared" si="35"/>
        <v>-2.943270678711838E-2</v>
      </c>
    </row>
    <row r="2297" spans="1:3" x14ac:dyDescent="0.2">
      <c r="A2297" s="3">
        <v>42620</v>
      </c>
      <c r="B2297" s="2">
        <v>15.86</v>
      </c>
      <c r="C2297" s="2">
        <f t="shared" si="35"/>
        <v>8.8664292056413255E-3</v>
      </c>
    </row>
    <row r="2298" spans="1:3" x14ac:dyDescent="0.2">
      <c r="A2298" s="3">
        <v>42619</v>
      </c>
      <c r="B2298" s="2">
        <v>15.72</v>
      </c>
      <c r="C2298" s="2">
        <f t="shared" si="35"/>
        <v>-1.515180502060222E-2</v>
      </c>
    </row>
    <row r="2299" spans="1:3" x14ac:dyDescent="0.2">
      <c r="A2299" s="3">
        <v>42618</v>
      </c>
      <c r="B2299" s="2">
        <v>15.96</v>
      </c>
      <c r="C2299" s="2">
        <f t="shared" si="35"/>
        <v>2.0253856904497596E-2</v>
      </c>
    </row>
    <row r="2300" spans="1:3" x14ac:dyDescent="0.2">
      <c r="A2300" s="3">
        <v>42614</v>
      </c>
      <c r="B2300" s="2">
        <v>15.64</v>
      </c>
      <c r="C2300" s="2">
        <f t="shared" si="35"/>
        <v>-1.333776520612456E-2</v>
      </c>
    </row>
    <row r="2301" spans="1:3" x14ac:dyDescent="0.2">
      <c r="A2301" s="3">
        <v>42613</v>
      </c>
      <c r="B2301" s="2">
        <v>15.85</v>
      </c>
      <c r="C2301" s="2">
        <f t="shared" si="35"/>
        <v>1.2626264303687892E-3</v>
      </c>
    </row>
    <row r="2302" spans="1:3" x14ac:dyDescent="0.2">
      <c r="A2302" s="3">
        <v>42612</v>
      </c>
      <c r="B2302" s="2">
        <v>15.83</v>
      </c>
      <c r="C2302" s="2">
        <f t="shared" si="35"/>
        <v>-1.8933423137810883E-3</v>
      </c>
    </row>
    <row r="2303" spans="1:3" x14ac:dyDescent="0.2">
      <c r="A2303" s="3">
        <v>42611</v>
      </c>
      <c r="B2303" s="2">
        <v>15.86</v>
      </c>
      <c r="C2303" s="2">
        <f t="shared" si="35"/>
        <v>-8.1633106391609811E-3</v>
      </c>
    </row>
    <row r="2304" spans="1:3" x14ac:dyDescent="0.2">
      <c r="A2304" s="3">
        <v>42608</v>
      </c>
      <c r="B2304" s="2">
        <v>15.99</v>
      </c>
      <c r="C2304" s="2">
        <f t="shared" si="35"/>
        <v>1.1320875624482293E-2</v>
      </c>
    </row>
    <row r="2305" spans="1:3" x14ac:dyDescent="0.2">
      <c r="A2305" s="3">
        <v>42607</v>
      </c>
      <c r="B2305" s="2">
        <v>15.81</v>
      </c>
      <c r="C2305" s="2">
        <f t="shared" si="35"/>
        <v>6.3271118845953335E-4</v>
      </c>
    </row>
    <row r="2306" spans="1:3" x14ac:dyDescent="0.2">
      <c r="A2306" s="3">
        <v>42606</v>
      </c>
      <c r="B2306" s="2">
        <v>15.8</v>
      </c>
      <c r="C2306" s="2">
        <f t="shared" si="35"/>
        <v>8.9002494702640784E-3</v>
      </c>
    </row>
    <row r="2307" spans="1:3" x14ac:dyDescent="0.2">
      <c r="A2307" s="3">
        <v>42605</v>
      </c>
      <c r="B2307" s="2">
        <v>15.66</v>
      </c>
      <c r="C2307" s="2">
        <f t="shared" ref="C2307:C2370" si="36">+LN(B2307/B2308)</f>
        <v>1.2779554454919874E-3</v>
      </c>
    </row>
    <row r="2308" spans="1:3" x14ac:dyDescent="0.2">
      <c r="A2308" s="3">
        <v>42604</v>
      </c>
      <c r="B2308" s="2">
        <v>15.64</v>
      </c>
      <c r="C2308" s="2">
        <f t="shared" si="36"/>
        <v>8.3467579287175696E-3</v>
      </c>
    </row>
    <row r="2309" spans="1:3" x14ac:dyDescent="0.2">
      <c r="A2309" s="3">
        <v>42601</v>
      </c>
      <c r="B2309" s="2">
        <v>15.51</v>
      </c>
      <c r="C2309" s="2">
        <f t="shared" si="36"/>
        <v>1.7561426929947208E-2</v>
      </c>
    </row>
    <row r="2310" spans="1:3" x14ac:dyDescent="0.2">
      <c r="A2310" s="3">
        <v>42600</v>
      </c>
      <c r="B2310" s="2">
        <v>15.24</v>
      </c>
      <c r="C2310" s="2">
        <f t="shared" si="36"/>
        <v>2.1891421481853197E-2</v>
      </c>
    </row>
    <row r="2311" spans="1:3" x14ac:dyDescent="0.2">
      <c r="A2311" s="3">
        <v>42599</v>
      </c>
      <c r="B2311" s="2">
        <v>14.91</v>
      </c>
      <c r="C2311" s="2">
        <f t="shared" si="36"/>
        <v>-1.2000144003110409E-2</v>
      </c>
    </row>
    <row r="2312" spans="1:3" x14ac:dyDescent="0.2">
      <c r="A2312" s="3">
        <v>42594</v>
      </c>
      <c r="B2312" s="2">
        <v>15.09</v>
      </c>
      <c r="C2312" s="2">
        <f t="shared" si="36"/>
        <v>-8.5780796537822911E-3</v>
      </c>
    </row>
    <row r="2313" spans="1:3" x14ac:dyDescent="0.2">
      <c r="A2313" s="3">
        <v>42593</v>
      </c>
      <c r="B2313" s="2">
        <v>15.22</v>
      </c>
      <c r="C2313" s="2">
        <f t="shared" si="36"/>
        <v>2.0578223656892679E-2</v>
      </c>
    </row>
    <row r="2314" spans="1:3" x14ac:dyDescent="0.2">
      <c r="A2314" s="3">
        <v>42591</v>
      </c>
      <c r="B2314" s="2">
        <v>14.91</v>
      </c>
      <c r="C2314" s="2">
        <f t="shared" si="36"/>
        <v>1.3422820807294489E-3</v>
      </c>
    </row>
    <row r="2315" spans="1:3" x14ac:dyDescent="0.2">
      <c r="A2315" s="3">
        <v>42590</v>
      </c>
      <c r="B2315" s="2">
        <v>14.89</v>
      </c>
      <c r="C2315" s="2">
        <f t="shared" si="36"/>
        <v>1.556715023741227E-2</v>
      </c>
    </row>
    <row r="2316" spans="1:3" x14ac:dyDescent="0.2">
      <c r="A2316" s="3">
        <v>42587</v>
      </c>
      <c r="B2316" s="2">
        <v>14.66</v>
      </c>
      <c r="C2316" s="2">
        <f t="shared" si="36"/>
        <v>2.6963264969760533E-2</v>
      </c>
    </row>
    <row r="2317" spans="1:3" x14ac:dyDescent="0.2">
      <c r="A2317" s="3">
        <v>42586</v>
      </c>
      <c r="B2317" s="2">
        <v>14.27</v>
      </c>
      <c r="C2317" s="2">
        <f t="shared" si="36"/>
        <v>7.0323777861558707E-3</v>
      </c>
    </row>
    <row r="2318" spans="1:3" x14ac:dyDescent="0.2">
      <c r="A2318" s="3">
        <v>42585</v>
      </c>
      <c r="B2318" s="2">
        <v>14.17</v>
      </c>
      <c r="C2318" s="2">
        <f t="shared" si="36"/>
        <v>-1.4711298590311579E-2</v>
      </c>
    </row>
    <row r="2319" spans="1:3" x14ac:dyDescent="0.2">
      <c r="A2319" s="3">
        <v>42584</v>
      </c>
      <c r="B2319" s="2">
        <v>14.38</v>
      </c>
      <c r="C2319" s="2">
        <f t="shared" si="36"/>
        <v>-1.3812374287611359E-2</v>
      </c>
    </row>
    <row r="2320" spans="1:3" x14ac:dyDescent="0.2">
      <c r="A2320" s="3">
        <v>42583</v>
      </c>
      <c r="B2320" s="2">
        <v>14.58</v>
      </c>
      <c r="C2320" s="2">
        <f t="shared" si="36"/>
        <v>6.8823396229417376E-3</v>
      </c>
    </row>
    <row r="2321" spans="1:3" x14ac:dyDescent="0.2">
      <c r="A2321" s="3">
        <v>42579</v>
      </c>
      <c r="B2321" s="2">
        <v>14.48</v>
      </c>
      <c r="C2321" s="2">
        <f t="shared" si="36"/>
        <v>6.9084631417777164E-4</v>
      </c>
    </row>
    <row r="2322" spans="1:3" x14ac:dyDescent="0.2">
      <c r="A2322" s="3">
        <v>42578</v>
      </c>
      <c r="B2322" s="2">
        <v>14.47</v>
      </c>
      <c r="C2322" s="2">
        <f t="shared" si="36"/>
        <v>2.7681678576130632E-3</v>
      </c>
    </row>
    <row r="2323" spans="1:3" x14ac:dyDescent="0.2">
      <c r="A2323" s="3">
        <v>42577</v>
      </c>
      <c r="B2323" s="2">
        <v>14.43</v>
      </c>
      <c r="C2323" s="2">
        <f t="shared" si="36"/>
        <v>1.9594748696532879E-2</v>
      </c>
    </row>
    <row r="2324" spans="1:3" x14ac:dyDescent="0.2">
      <c r="A2324" s="3">
        <v>42576</v>
      </c>
      <c r="B2324" s="2">
        <v>14.15</v>
      </c>
      <c r="C2324" s="2">
        <f t="shared" si="36"/>
        <v>-9.1453328221916645E-3</v>
      </c>
    </row>
    <row r="2325" spans="1:3" x14ac:dyDescent="0.2">
      <c r="A2325" s="3">
        <v>42573</v>
      </c>
      <c r="B2325" s="2">
        <v>14.28</v>
      </c>
      <c r="C2325" s="2">
        <f t="shared" si="36"/>
        <v>-5.5866067086398231E-3</v>
      </c>
    </row>
    <row r="2326" spans="1:3" x14ac:dyDescent="0.2">
      <c r="A2326" s="3">
        <v>42572</v>
      </c>
      <c r="B2326" s="2">
        <v>14.36</v>
      </c>
      <c r="C2326" s="2">
        <f t="shared" si="36"/>
        <v>2.7894020875785922E-3</v>
      </c>
    </row>
    <row r="2327" spans="1:3" x14ac:dyDescent="0.2">
      <c r="A2327" s="3">
        <v>42571</v>
      </c>
      <c r="B2327" s="2">
        <v>14.32</v>
      </c>
      <c r="C2327" s="2">
        <f t="shared" si="36"/>
        <v>-2.7894020875785254E-3</v>
      </c>
    </row>
    <row r="2328" spans="1:3" x14ac:dyDescent="0.2">
      <c r="A2328" s="3">
        <v>42570</v>
      </c>
      <c r="B2328" s="2">
        <v>14.36</v>
      </c>
      <c r="C2328" s="2">
        <f t="shared" si="36"/>
        <v>1.8271766235955448E-2</v>
      </c>
    </row>
    <row r="2329" spans="1:3" x14ac:dyDescent="0.2">
      <c r="A2329" s="3">
        <v>42566</v>
      </c>
      <c r="B2329" s="2">
        <v>14.1</v>
      </c>
      <c r="C2329" s="2">
        <f t="shared" si="36"/>
        <v>-1.8967902706810924E-2</v>
      </c>
    </row>
    <row r="2330" spans="1:3" x14ac:dyDescent="0.2">
      <c r="A2330" s="3">
        <v>42565</v>
      </c>
      <c r="B2330" s="2">
        <v>14.37</v>
      </c>
      <c r="C2330" s="2">
        <f t="shared" si="36"/>
        <v>1.9677374180344698E-2</v>
      </c>
    </row>
    <row r="2331" spans="1:3" x14ac:dyDescent="0.2">
      <c r="A2331" s="3">
        <v>42563</v>
      </c>
      <c r="B2331" s="2">
        <v>14.09</v>
      </c>
      <c r="C2331" s="2">
        <f t="shared" si="36"/>
        <v>2.8429301308340238E-3</v>
      </c>
    </row>
    <row r="2332" spans="1:3" x14ac:dyDescent="0.2">
      <c r="A2332" s="3">
        <v>42562</v>
      </c>
      <c r="B2332" s="2">
        <v>14.05</v>
      </c>
      <c r="C2332" s="2">
        <f t="shared" si="36"/>
        <v>1.7229428358554007E-2</v>
      </c>
    </row>
    <row r="2333" spans="1:3" x14ac:dyDescent="0.2">
      <c r="A2333" s="3">
        <v>42559</v>
      </c>
      <c r="B2333" s="2">
        <v>13.81</v>
      </c>
      <c r="C2333" s="2">
        <f t="shared" si="36"/>
        <v>2.5670643204618915E-2</v>
      </c>
    </row>
    <row r="2334" spans="1:3" x14ac:dyDescent="0.2">
      <c r="A2334" s="3">
        <v>42558</v>
      </c>
      <c r="B2334" s="2">
        <v>13.46</v>
      </c>
      <c r="C2334" s="2">
        <f t="shared" si="36"/>
        <v>1.1206691809561424E-2</v>
      </c>
    </row>
    <row r="2335" spans="1:3" x14ac:dyDescent="0.2">
      <c r="A2335" s="3">
        <v>42557</v>
      </c>
      <c r="B2335" s="2">
        <v>13.31</v>
      </c>
      <c r="C2335" s="2">
        <f t="shared" si="36"/>
        <v>-1.4174053037363443E-2</v>
      </c>
    </row>
    <row r="2336" spans="1:3" x14ac:dyDescent="0.2">
      <c r="A2336" s="3">
        <v>42556</v>
      </c>
      <c r="B2336" s="2">
        <v>13.5</v>
      </c>
      <c r="C2336" s="2">
        <f t="shared" si="36"/>
        <v>-2.9918320490967817E-2</v>
      </c>
    </row>
    <row r="2337" spans="1:3" x14ac:dyDescent="0.2">
      <c r="A2337" s="3">
        <v>42555</v>
      </c>
      <c r="B2337" s="2">
        <v>13.91</v>
      </c>
      <c r="C2337" s="2">
        <f t="shared" si="36"/>
        <v>-9.3023926623134485E-3</v>
      </c>
    </row>
    <row r="2338" spans="1:3" x14ac:dyDescent="0.2">
      <c r="A2338" s="3">
        <v>42552</v>
      </c>
      <c r="B2338" s="2">
        <v>14.04</v>
      </c>
      <c r="C2338" s="2">
        <f t="shared" si="36"/>
        <v>-1.4234877848538462E-3</v>
      </c>
    </row>
    <row r="2339" spans="1:3" x14ac:dyDescent="0.2">
      <c r="A2339" s="3">
        <v>42551</v>
      </c>
      <c r="B2339" s="2">
        <v>14.06</v>
      </c>
      <c r="C2339" s="2">
        <f t="shared" si="36"/>
        <v>1.7940918961318074E-2</v>
      </c>
    </row>
    <row r="2340" spans="1:3" x14ac:dyDescent="0.2">
      <c r="A2340" s="3">
        <v>42550</v>
      </c>
      <c r="B2340" s="2">
        <v>13.81</v>
      </c>
      <c r="C2340" s="2">
        <f t="shared" si="36"/>
        <v>4.2150416912338708E-2</v>
      </c>
    </row>
    <row r="2341" spans="1:3" x14ac:dyDescent="0.2">
      <c r="A2341" s="3">
        <v>42549</v>
      </c>
      <c r="B2341" s="2">
        <v>13.24</v>
      </c>
      <c r="C2341" s="2">
        <f t="shared" si="36"/>
        <v>2.4466052154406424E-2</v>
      </c>
    </row>
    <row r="2342" spans="1:3" x14ac:dyDescent="0.2">
      <c r="A2342" s="3">
        <v>42548</v>
      </c>
      <c r="B2342" s="2">
        <v>12.92</v>
      </c>
      <c r="C2342" s="2">
        <f t="shared" si="36"/>
        <v>-8.8107267510266776E-2</v>
      </c>
    </row>
    <row r="2343" spans="1:3" x14ac:dyDescent="0.2">
      <c r="A2343" s="3">
        <v>42545</v>
      </c>
      <c r="B2343" s="2">
        <v>14.11</v>
      </c>
      <c r="C2343" s="2">
        <f t="shared" si="36"/>
        <v>-4.4359316921106291E-2</v>
      </c>
    </row>
    <row r="2344" spans="1:3" x14ac:dyDescent="0.2">
      <c r="A2344" s="3">
        <v>42544</v>
      </c>
      <c r="B2344" s="2">
        <v>14.75</v>
      </c>
      <c r="C2344" s="2">
        <f t="shared" si="36"/>
        <v>2.054866822738776E-2</v>
      </c>
    </row>
    <row r="2345" spans="1:3" x14ac:dyDescent="0.2">
      <c r="A2345" s="3">
        <v>42543</v>
      </c>
      <c r="B2345" s="2">
        <v>14.45</v>
      </c>
      <c r="C2345" s="2">
        <f t="shared" si="36"/>
        <v>-6.9180217217756977E-4</v>
      </c>
    </row>
    <row r="2346" spans="1:3" x14ac:dyDescent="0.2">
      <c r="A2346" s="3">
        <v>42542</v>
      </c>
      <c r="B2346" s="2">
        <v>14.46</v>
      </c>
      <c r="C2346" s="2">
        <f t="shared" si="36"/>
        <v>1.3840832659385552E-3</v>
      </c>
    </row>
    <row r="2347" spans="1:3" x14ac:dyDescent="0.2">
      <c r="A2347" s="3">
        <v>42541</v>
      </c>
      <c r="B2347" s="2">
        <v>14.44</v>
      </c>
      <c r="C2347" s="2">
        <f t="shared" si="36"/>
        <v>6.9492982932059444E-3</v>
      </c>
    </row>
    <row r="2348" spans="1:3" x14ac:dyDescent="0.2">
      <c r="A2348" s="3">
        <v>42538</v>
      </c>
      <c r="B2348" s="2">
        <v>14.34</v>
      </c>
      <c r="C2348" s="2">
        <f t="shared" si="36"/>
        <v>6.1104164951809731E-2</v>
      </c>
    </row>
    <row r="2349" spans="1:3" x14ac:dyDescent="0.2">
      <c r="A2349" s="3">
        <v>42537</v>
      </c>
      <c r="B2349" s="2">
        <v>13.49</v>
      </c>
      <c r="C2349" s="2">
        <f t="shared" si="36"/>
        <v>-1.9817162285533069E-2</v>
      </c>
    </row>
    <row r="2350" spans="1:3" x14ac:dyDescent="0.2">
      <c r="A2350" s="3">
        <v>42536</v>
      </c>
      <c r="B2350" s="2">
        <v>13.76</v>
      </c>
      <c r="C2350" s="2">
        <f t="shared" si="36"/>
        <v>-1.0123007631448565E-2</v>
      </c>
    </row>
    <row r="2351" spans="1:3" x14ac:dyDescent="0.2">
      <c r="A2351" s="3">
        <v>42535</v>
      </c>
      <c r="B2351" s="2">
        <v>13.9</v>
      </c>
      <c r="C2351" s="2">
        <f t="shared" si="36"/>
        <v>-1.0021558461018877E-2</v>
      </c>
    </row>
    <row r="2352" spans="1:3" x14ac:dyDescent="0.2">
      <c r="A2352" s="3">
        <v>42534</v>
      </c>
      <c r="B2352" s="2">
        <v>14.04</v>
      </c>
      <c r="C2352" s="2">
        <f t="shared" si="36"/>
        <v>-2.5317807984290012E-2</v>
      </c>
    </row>
    <row r="2353" spans="1:3" x14ac:dyDescent="0.2">
      <c r="A2353" s="3">
        <v>42531</v>
      </c>
      <c r="B2353" s="2">
        <v>14.4</v>
      </c>
      <c r="C2353" s="2">
        <f t="shared" si="36"/>
        <v>-2.9423949567885764E-2</v>
      </c>
    </row>
    <row r="2354" spans="1:3" x14ac:dyDescent="0.2">
      <c r="A2354" s="3">
        <v>42530</v>
      </c>
      <c r="B2354" s="2">
        <v>14.83</v>
      </c>
      <c r="C2354" s="2">
        <f t="shared" si="36"/>
        <v>-6.7408158939370234E-4</v>
      </c>
    </row>
    <row r="2355" spans="1:3" x14ac:dyDescent="0.2">
      <c r="A2355" s="3">
        <v>42529</v>
      </c>
      <c r="B2355" s="2">
        <v>14.84</v>
      </c>
      <c r="C2355" s="2">
        <f t="shared" si="36"/>
        <v>2.7324104274554176E-2</v>
      </c>
    </row>
    <row r="2356" spans="1:3" x14ac:dyDescent="0.2">
      <c r="A2356" s="3">
        <v>42528</v>
      </c>
      <c r="B2356" s="2">
        <v>14.44</v>
      </c>
      <c r="C2356" s="2">
        <f t="shared" si="36"/>
        <v>2.0287509375433509E-2</v>
      </c>
    </row>
    <row r="2357" spans="1:3" x14ac:dyDescent="0.2">
      <c r="A2357" s="3">
        <v>42527</v>
      </c>
      <c r="B2357" s="2">
        <v>14.15</v>
      </c>
      <c r="C2357" s="2">
        <f t="shared" si="36"/>
        <v>-8.4448073994983774E-3</v>
      </c>
    </row>
    <row r="2358" spans="1:3" x14ac:dyDescent="0.2">
      <c r="A2358" s="3">
        <v>42524</v>
      </c>
      <c r="B2358" s="2">
        <v>14.27</v>
      </c>
      <c r="C2358" s="2">
        <f t="shared" si="36"/>
        <v>-1.0456700368057964E-2</v>
      </c>
    </row>
    <row r="2359" spans="1:3" x14ac:dyDescent="0.2">
      <c r="A2359" s="3">
        <v>42523</v>
      </c>
      <c r="B2359" s="2">
        <v>14.42</v>
      </c>
      <c r="C2359" s="2">
        <f t="shared" si="36"/>
        <v>2.7777795639023694E-3</v>
      </c>
    </row>
    <row r="2360" spans="1:3" x14ac:dyDescent="0.2">
      <c r="A2360" s="3">
        <v>42522</v>
      </c>
      <c r="B2360" s="2">
        <v>14.38</v>
      </c>
      <c r="C2360" s="2">
        <f t="shared" si="36"/>
        <v>4.1811907604011106E-3</v>
      </c>
    </row>
    <row r="2361" spans="1:3" x14ac:dyDescent="0.2">
      <c r="A2361" s="3">
        <v>42521</v>
      </c>
      <c r="B2361" s="2">
        <v>14.32</v>
      </c>
      <c r="C2361" s="2">
        <f t="shared" si="36"/>
        <v>-2.0927806731304973E-3</v>
      </c>
    </row>
    <row r="2362" spans="1:3" x14ac:dyDescent="0.2">
      <c r="A2362" s="3">
        <v>42520</v>
      </c>
      <c r="B2362" s="2">
        <v>14.35</v>
      </c>
      <c r="C2362" s="2">
        <f t="shared" si="36"/>
        <v>1.3947003655495568E-3</v>
      </c>
    </row>
    <row r="2363" spans="1:3" x14ac:dyDescent="0.2">
      <c r="A2363" s="3">
        <v>42517</v>
      </c>
      <c r="B2363" s="2">
        <v>14.33</v>
      </c>
      <c r="C2363" s="2">
        <f t="shared" si="36"/>
        <v>5.5983351254210549E-3</v>
      </c>
    </row>
    <row r="2364" spans="1:3" x14ac:dyDescent="0.2">
      <c r="A2364" s="3">
        <v>42515</v>
      </c>
      <c r="B2364" s="2">
        <v>14.25</v>
      </c>
      <c r="C2364" s="2">
        <f t="shared" si="36"/>
        <v>1.9844733445789128E-2</v>
      </c>
    </row>
    <row r="2365" spans="1:3" x14ac:dyDescent="0.2">
      <c r="A2365" s="3">
        <v>42514</v>
      </c>
      <c r="B2365" s="2">
        <v>13.97</v>
      </c>
      <c r="C2365" s="2">
        <f t="shared" si="36"/>
        <v>1.2968481463660074E-2</v>
      </c>
    </row>
    <row r="2366" spans="1:3" x14ac:dyDescent="0.2">
      <c r="A2366" s="3">
        <v>42513</v>
      </c>
      <c r="B2366" s="2">
        <v>13.79</v>
      </c>
      <c r="C2366" s="2">
        <f t="shared" si="36"/>
        <v>-4.3415408281371245E-3</v>
      </c>
    </row>
    <row r="2367" spans="1:3" x14ac:dyDescent="0.2">
      <c r="A2367" s="3">
        <v>42510</v>
      </c>
      <c r="B2367" s="2">
        <v>13.85</v>
      </c>
      <c r="C2367" s="2">
        <f t="shared" si="36"/>
        <v>2.633656241368305E-2</v>
      </c>
    </row>
    <row r="2368" spans="1:3" x14ac:dyDescent="0.2">
      <c r="A2368" s="3">
        <v>42509</v>
      </c>
      <c r="B2368" s="2">
        <v>13.49</v>
      </c>
      <c r="C2368" s="2">
        <f t="shared" si="36"/>
        <v>8.9352791058128697E-3</v>
      </c>
    </row>
    <row r="2369" spans="1:3" x14ac:dyDescent="0.2">
      <c r="A2369" s="3">
        <v>42508</v>
      </c>
      <c r="B2369" s="2">
        <v>13.37</v>
      </c>
      <c r="C2369" s="2">
        <f t="shared" si="36"/>
        <v>2.9962569232344855E-3</v>
      </c>
    </row>
    <row r="2370" spans="1:3" x14ac:dyDescent="0.2">
      <c r="A2370" s="3">
        <v>42507</v>
      </c>
      <c r="B2370" s="2">
        <v>13.33</v>
      </c>
      <c r="C2370" s="2">
        <f t="shared" si="36"/>
        <v>2.5837303508109061E-2</v>
      </c>
    </row>
    <row r="2371" spans="1:3" x14ac:dyDescent="0.2">
      <c r="A2371" s="3">
        <v>42506</v>
      </c>
      <c r="B2371" s="2">
        <v>12.99</v>
      </c>
      <c r="C2371" s="2">
        <f t="shared" ref="C2371:C2434" si="37">+LN(B2371/B2372)</f>
        <v>7.7011940656425209E-4</v>
      </c>
    </row>
    <row r="2372" spans="1:3" x14ac:dyDescent="0.2">
      <c r="A2372" s="3">
        <v>42503</v>
      </c>
      <c r="B2372" s="2">
        <v>12.98</v>
      </c>
      <c r="C2372" s="2">
        <f t="shared" si="37"/>
        <v>7.4345051339279891E-2</v>
      </c>
    </row>
    <row r="2373" spans="1:3" x14ac:dyDescent="0.2">
      <c r="A2373" s="3">
        <v>42502</v>
      </c>
      <c r="B2373" s="2">
        <v>12.05</v>
      </c>
      <c r="C2373" s="2">
        <f t="shared" si="37"/>
        <v>-5.7923207045043222E-3</v>
      </c>
    </row>
    <row r="2374" spans="1:3" x14ac:dyDescent="0.2">
      <c r="A2374" s="3">
        <v>42501</v>
      </c>
      <c r="B2374" s="2">
        <v>12.12</v>
      </c>
      <c r="C2374" s="2">
        <f t="shared" si="37"/>
        <v>9.1173445492762385E-3</v>
      </c>
    </row>
    <row r="2375" spans="1:3" x14ac:dyDescent="0.2">
      <c r="A2375" s="3">
        <v>42500</v>
      </c>
      <c r="B2375" s="2">
        <v>12.01</v>
      </c>
      <c r="C2375" s="2">
        <f t="shared" si="37"/>
        <v>-6.6390285348090832E-3</v>
      </c>
    </row>
    <row r="2376" spans="1:3" x14ac:dyDescent="0.2">
      <c r="A2376" s="3">
        <v>42499</v>
      </c>
      <c r="B2376" s="2">
        <v>12.09</v>
      </c>
      <c r="C2376" s="2">
        <f t="shared" si="37"/>
        <v>-3.3030583292575134E-3</v>
      </c>
    </row>
    <row r="2377" spans="1:3" x14ac:dyDescent="0.2">
      <c r="A2377" s="3">
        <v>42496</v>
      </c>
      <c r="B2377" s="2">
        <v>12.13</v>
      </c>
      <c r="C2377" s="2">
        <f t="shared" si="37"/>
        <v>-1.8783729073585866E-2</v>
      </c>
    </row>
    <row r="2378" spans="1:3" x14ac:dyDescent="0.2">
      <c r="A2378" s="3">
        <v>42495</v>
      </c>
      <c r="B2378" s="2">
        <v>12.36</v>
      </c>
      <c r="C2378" s="2">
        <f t="shared" si="37"/>
        <v>1.3029500290333897E-2</v>
      </c>
    </row>
    <row r="2379" spans="1:3" x14ac:dyDescent="0.2">
      <c r="A2379" s="3">
        <v>42494</v>
      </c>
      <c r="B2379" s="2">
        <v>12.2</v>
      </c>
      <c r="C2379" s="2">
        <f t="shared" si="37"/>
        <v>8.2304991365154435E-3</v>
      </c>
    </row>
    <row r="2380" spans="1:3" x14ac:dyDescent="0.2">
      <c r="A2380" s="3">
        <v>42493</v>
      </c>
      <c r="B2380" s="2">
        <v>12.1</v>
      </c>
      <c r="C2380" s="2">
        <f t="shared" si="37"/>
        <v>-2.2876814653754757E-2</v>
      </c>
    </row>
    <row r="2381" spans="1:3" x14ac:dyDescent="0.2">
      <c r="A2381" s="3">
        <v>42492</v>
      </c>
      <c r="B2381" s="2">
        <v>12.38</v>
      </c>
      <c r="C2381" s="2">
        <f t="shared" si="37"/>
        <v>-1.5230755345705992E-2</v>
      </c>
    </row>
    <row r="2382" spans="1:3" x14ac:dyDescent="0.2">
      <c r="A2382" s="3">
        <v>42489</v>
      </c>
      <c r="B2382" s="2">
        <v>12.57</v>
      </c>
      <c r="C2382" s="2">
        <f t="shared" si="37"/>
        <v>-6.3441925713731504E-3</v>
      </c>
    </row>
    <row r="2383" spans="1:3" x14ac:dyDescent="0.2">
      <c r="A2383" s="3">
        <v>42488</v>
      </c>
      <c r="B2383" s="2">
        <v>12.65</v>
      </c>
      <c r="C2383" s="2">
        <f t="shared" si="37"/>
        <v>-7.902015425009138E-4</v>
      </c>
    </row>
    <row r="2384" spans="1:3" x14ac:dyDescent="0.2">
      <c r="A2384" s="3">
        <v>42487</v>
      </c>
      <c r="B2384" s="2">
        <v>12.66</v>
      </c>
      <c r="C2384" s="2">
        <f t="shared" si="37"/>
        <v>3.9572667392019246E-3</v>
      </c>
    </row>
    <row r="2385" spans="1:3" x14ac:dyDescent="0.2">
      <c r="A2385" s="3">
        <v>42486</v>
      </c>
      <c r="B2385" s="2">
        <v>12.61</v>
      </c>
      <c r="C2385" s="2">
        <f t="shared" si="37"/>
        <v>-1.025650016718911E-2</v>
      </c>
    </row>
    <row r="2386" spans="1:3" x14ac:dyDescent="0.2">
      <c r="A2386" s="3">
        <v>42485</v>
      </c>
      <c r="B2386" s="2">
        <v>12.74</v>
      </c>
      <c r="C2386" s="2">
        <f t="shared" si="37"/>
        <v>-6.259801348506666E-3</v>
      </c>
    </row>
    <row r="2387" spans="1:3" x14ac:dyDescent="0.2">
      <c r="A2387" s="3">
        <v>42482</v>
      </c>
      <c r="B2387" s="2">
        <v>12.82</v>
      </c>
      <c r="C2387" s="2">
        <f t="shared" si="37"/>
        <v>1.0192169766227813E-2</v>
      </c>
    </row>
    <row r="2388" spans="1:3" x14ac:dyDescent="0.2">
      <c r="A2388" s="3">
        <v>42481</v>
      </c>
      <c r="B2388" s="2">
        <v>12.69</v>
      </c>
      <c r="C2388" s="2">
        <f t="shared" si="37"/>
        <v>-1.4084739881738972E-2</v>
      </c>
    </row>
    <row r="2389" spans="1:3" x14ac:dyDescent="0.2">
      <c r="A2389" s="3">
        <v>42480</v>
      </c>
      <c r="B2389" s="2">
        <v>12.87</v>
      </c>
      <c r="C2389" s="2">
        <f t="shared" si="37"/>
        <v>-2.3282897595911845E-3</v>
      </c>
    </row>
    <row r="2390" spans="1:3" x14ac:dyDescent="0.2">
      <c r="A2390" s="3">
        <v>42479</v>
      </c>
      <c r="B2390" s="2">
        <v>12.9</v>
      </c>
      <c r="C2390" s="2">
        <f t="shared" si="37"/>
        <v>1.5625317903081033E-2</v>
      </c>
    </row>
    <row r="2391" spans="1:3" x14ac:dyDescent="0.2">
      <c r="A2391" s="3">
        <v>42478</v>
      </c>
      <c r="B2391" s="2">
        <v>12.7</v>
      </c>
      <c r="C2391" s="2">
        <f t="shared" si="37"/>
        <v>1.0288970862389418E-2</v>
      </c>
    </row>
    <row r="2392" spans="1:3" x14ac:dyDescent="0.2">
      <c r="A2392" s="3">
        <v>42475</v>
      </c>
      <c r="B2392" s="2">
        <v>12.57</v>
      </c>
      <c r="C2392" s="2">
        <f t="shared" si="37"/>
        <v>-2.5914288765470354E-2</v>
      </c>
    </row>
    <row r="2393" spans="1:3" x14ac:dyDescent="0.2">
      <c r="A2393" s="3">
        <v>42474</v>
      </c>
      <c r="B2393" s="2">
        <v>12.9</v>
      </c>
      <c r="C2393" s="2">
        <f t="shared" si="37"/>
        <v>3.8835000263976122E-3</v>
      </c>
    </row>
    <row r="2394" spans="1:3" x14ac:dyDescent="0.2">
      <c r="A2394" s="3">
        <v>42473</v>
      </c>
      <c r="B2394" s="2">
        <v>12.85</v>
      </c>
      <c r="C2394" s="2">
        <f t="shared" si="37"/>
        <v>1.252952961493253E-2</v>
      </c>
    </row>
    <row r="2395" spans="1:3" x14ac:dyDescent="0.2">
      <c r="A2395" s="3">
        <v>42472</v>
      </c>
      <c r="B2395" s="2">
        <v>12.69</v>
      </c>
      <c r="C2395" s="2">
        <f t="shared" si="37"/>
        <v>-7.8493338644549816E-3</v>
      </c>
    </row>
    <row r="2396" spans="1:3" x14ac:dyDescent="0.2">
      <c r="A2396" s="3">
        <v>42471</v>
      </c>
      <c r="B2396" s="2">
        <v>12.79</v>
      </c>
      <c r="C2396" s="2">
        <f t="shared" si="37"/>
        <v>9.4266212577035508E-3</v>
      </c>
    </row>
    <row r="2397" spans="1:3" x14ac:dyDescent="0.2">
      <c r="A2397" s="3">
        <v>42468</v>
      </c>
      <c r="B2397" s="2">
        <v>12.67</v>
      </c>
      <c r="C2397" s="2">
        <f t="shared" si="37"/>
        <v>1.9124088810427969E-2</v>
      </c>
    </row>
    <row r="2398" spans="1:3" x14ac:dyDescent="0.2">
      <c r="A2398" s="3">
        <v>42467</v>
      </c>
      <c r="B2398" s="2">
        <v>12.43</v>
      </c>
      <c r="C2398" s="2">
        <f t="shared" si="37"/>
        <v>-1.991304348646011E-2</v>
      </c>
    </row>
    <row r="2399" spans="1:3" x14ac:dyDescent="0.2">
      <c r="A2399" s="3">
        <v>42466</v>
      </c>
      <c r="B2399" s="2">
        <v>12.68</v>
      </c>
      <c r="C2399" s="2">
        <f t="shared" si="37"/>
        <v>2.7990631832826865E-2</v>
      </c>
    </row>
    <row r="2400" spans="1:3" x14ac:dyDescent="0.2">
      <c r="A2400" s="3">
        <v>42465</v>
      </c>
      <c r="B2400" s="2">
        <v>12.33</v>
      </c>
      <c r="C2400" s="2">
        <f t="shared" si="37"/>
        <v>-5.0603681152099574E-2</v>
      </c>
    </row>
    <row r="2401" spans="1:3" x14ac:dyDescent="0.2">
      <c r="A2401" s="3">
        <v>42464</v>
      </c>
      <c r="B2401" s="2">
        <v>12.97</v>
      </c>
      <c r="C2401" s="2">
        <f t="shared" si="37"/>
        <v>3.0888055445864211E-3</v>
      </c>
    </row>
    <row r="2402" spans="1:3" x14ac:dyDescent="0.2">
      <c r="A2402" s="3">
        <v>42461</v>
      </c>
      <c r="B2402" s="2">
        <v>12.93</v>
      </c>
      <c r="C2402" s="2">
        <f t="shared" si="37"/>
        <v>6.2063814425372841E-3</v>
      </c>
    </row>
    <row r="2403" spans="1:3" x14ac:dyDescent="0.2">
      <c r="A2403" s="3">
        <v>42460</v>
      </c>
      <c r="B2403" s="2">
        <v>12.85</v>
      </c>
      <c r="C2403" s="2">
        <f t="shared" si="37"/>
        <v>-2.0793972174714112E-2</v>
      </c>
    </row>
    <row r="2404" spans="1:3" x14ac:dyDescent="0.2">
      <c r="A2404" s="3">
        <v>42459</v>
      </c>
      <c r="B2404" s="2">
        <v>13.12</v>
      </c>
      <c r="C2404" s="2">
        <f t="shared" si="37"/>
        <v>2.9391133371925563E-2</v>
      </c>
    </row>
    <row r="2405" spans="1:3" x14ac:dyDescent="0.2">
      <c r="A2405" s="3">
        <v>42458</v>
      </c>
      <c r="B2405" s="2">
        <v>12.74</v>
      </c>
      <c r="C2405" s="2">
        <f t="shared" si="37"/>
        <v>-1.5576638928737112E-2</v>
      </c>
    </row>
    <row r="2406" spans="1:3" x14ac:dyDescent="0.2">
      <c r="A2406" s="3">
        <v>42453</v>
      </c>
      <c r="B2406" s="2">
        <v>12.94</v>
      </c>
      <c r="C2406" s="2">
        <f t="shared" si="37"/>
        <v>-4.6260683887823029E-3</v>
      </c>
    </row>
    <row r="2407" spans="1:3" x14ac:dyDescent="0.2">
      <c r="A2407" s="3">
        <v>42451</v>
      </c>
      <c r="B2407" s="2">
        <v>13</v>
      </c>
      <c r="C2407" s="2">
        <f t="shared" si="37"/>
        <v>1.863407954489301E-2</v>
      </c>
    </row>
    <row r="2408" spans="1:3" x14ac:dyDescent="0.2">
      <c r="A2408" s="3">
        <v>42450</v>
      </c>
      <c r="B2408" s="2">
        <v>12.76</v>
      </c>
      <c r="C2408" s="2">
        <f t="shared" si="37"/>
        <v>-2.7060019858964678E-2</v>
      </c>
    </row>
    <row r="2409" spans="1:3" x14ac:dyDescent="0.2">
      <c r="A2409" s="3">
        <v>42447</v>
      </c>
      <c r="B2409" s="2">
        <v>13.11</v>
      </c>
      <c r="C2409" s="2">
        <f t="shared" si="37"/>
        <v>4.5871640069059198E-3</v>
      </c>
    </row>
    <row r="2410" spans="1:3" x14ac:dyDescent="0.2">
      <c r="A2410" s="3">
        <v>42445</v>
      </c>
      <c r="B2410" s="2">
        <v>13.05</v>
      </c>
      <c r="C2410" s="2">
        <f t="shared" si="37"/>
        <v>-7.6599007958253449E-4</v>
      </c>
    </row>
    <row r="2411" spans="1:3" x14ac:dyDescent="0.2">
      <c r="A2411" s="3">
        <v>42444</v>
      </c>
      <c r="B2411" s="2">
        <v>13.06</v>
      </c>
      <c r="C2411" s="2">
        <f t="shared" si="37"/>
        <v>-1.8209911379423054E-2</v>
      </c>
    </row>
    <row r="2412" spans="1:3" x14ac:dyDescent="0.2">
      <c r="A2412" s="3">
        <v>42443</v>
      </c>
      <c r="B2412" s="2">
        <v>13.3</v>
      </c>
      <c r="C2412" s="2">
        <f t="shared" si="37"/>
        <v>3.519873696589302E-2</v>
      </c>
    </row>
    <row r="2413" spans="1:3" x14ac:dyDescent="0.2">
      <c r="A2413" s="3">
        <v>42440</v>
      </c>
      <c r="B2413" s="2">
        <v>12.84</v>
      </c>
      <c r="C2413" s="2">
        <f t="shared" si="37"/>
        <v>4.6838493124264375E-3</v>
      </c>
    </row>
    <row r="2414" spans="1:3" x14ac:dyDescent="0.2">
      <c r="A2414" s="3">
        <v>42439</v>
      </c>
      <c r="B2414" s="2">
        <v>12.78</v>
      </c>
      <c r="C2414" s="2">
        <f t="shared" si="37"/>
        <v>-1.9372942187364985E-2</v>
      </c>
    </row>
    <row r="2415" spans="1:3" x14ac:dyDescent="0.2">
      <c r="A2415" s="3">
        <v>42438</v>
      </c>
      <c r="B2415" s="2">
        <v>13.03</v>
      </c>
      <c r="C2415" s="2">
        <f t="shared" si="37"/>
        <v>9.2521862782024636E-3</v>
      </c>
    </row>
    <row r="2416" spans="1:3" x14ac:dyDescent="0.2">
      <c r="A2416" s="3">
        <v>42437</v>
      </c>
      <c r="B2416" s="2">
        <v>12.91</v>
      </c>
      <c r="C2416" s="2">
        <f t="shared" si="37"/>
        <v>-2.3728629564989102E-2</v>
      </c>
    </row>
    <row r="2417" spans="1:3" x14ac:dyDescent="0.2">
      <c r="A2417" s="3">
        <v>42436</v>
      </c>
      <c r="B2417" s="2">
        <v>13.22</v>
      </c>
      <c r="C2417" s="2">
        <f t="shared" si="37"/>
        <v>-4.528309624747511E-3</v>
      </c>
    </row>
    <row r="2418" spans="1:3" x14ac:dyDescent="0.2">
      <c r="A2418" s="3">
        <v>42433</v>
      </c>
      <c r="B2418" s="2">
        <v>13.28</v>
      </c>
      <c r="C2418" s="2">
        <f t="shared" si="37"/>
        <v>2.2615916160566218E-3</v>
      </c>
    </row>
    <row r="2419" spans="1:3" x14ac:dyDescent="0.2">
      <c r="A2419" s="3">
        <v>42432</v>
      </c>
      <c r="B2419" s="2">
        <v>13.25</v>
      </c>
      <c r="C2419" s="2">
        <f t="shared" si="37"/>
        <v>3.0234338979971296E-3</v>
      </c>
    </row>
    <row r="2420" spans="1:3" x14ac:dyDescent="0.2">
      <c r="A2420" s="3">
        <v>42431</v>
      </c>
      <c r="B2420" s="2">
        <v>13.21</v>
      </c>
      <c r="C2420" s="2">
        <f t="shared" si="37"/>
        <v>3.032602779044422E-3</v>
      </c>
    </row>
    <row r="2421" spans="1:3" x14ac:dyDescent="0.2">
      <c r="A2421" s="3">
        <v>42430</v>
      </c>
      <c r="B2421" s="2">
        <v>13.17</v>
      </c>
      <c r="C2421" s="2">
        <f t="shared" si="37"/>
        <v>2.7715399846546827E-2</v>
      </c>
    </row>
    <row r="2422" spans="1:3" x14ac:dyDescent="0.2">
      <c r="A2422" s="3">
        <v>42429</v>
      </c>
      <c r="B2422" s="2">
        <v>12.81</v>
      </c>
      <c r="C2422" s="2">
        <f t="shared" si="37"/>
        <v>8.6241224440974044E-3</v>
      </c>
    </row>
    <row r="2423" spans="1:3" x14ac:dyDescent="0.2">
      <c r="A2423" s="3">
        <v>42425</v>
      </c>
      <c r="B2423" s="2">
        <v>12.7</v>
      </c>
      <c r="C2423" s="2">
        <f t="shared" si="37"/>
        <v>-1.573564447430552E-3</v>
      </c>
    </row>
    <row r="2424" spans="1:3" x14ac:dyDescent="0.2">
      <c r="A2424" s="3">
        <v>42424</v>
      </c>
      <c r="B2424" s="2">
        <v>12.72</v>
      </c>
      <c r="C2424" s="2">
        <f t="shared" si="37"/>
        <v>-1.4826646946575019E-2</v>
      </c>
    </row>
    <row r="2425" spans="1:3" x14ac:dyDescent="0.2">
      <c r="A2425" s="3">
        <v>42423</v>
      </c>
      <c r="B2425" s="2">
        <v>12.91</v>
      </c>
      <c r="C2425" s="2">
        <f t="shared" si="37"/>
        <v>7.7489349092479086E-4</v>
      </c>
    </row>
    <row r="2426" spans="1:3" x14ac:dyDescent="0.2">
      <c r="A2426" s="3">
        <v>42422</v>
      </c>
      <c r="B2426" s="2">
        <v>12.9</v>
      </c>
      <c r="C2426" s="2">
        <f t="shared" si="37"/>
        <v>2.3530497410194251E-2</v>
      </c>
    </row>
    <row r="2427" spans="1:3" x14ac:dyDescent="0.2">
      <c r="A2427" s="3">
        <v>42419</v>
      </c>
      <c r="B2427" s="2">
        <v>12.6</v>
      </c>
      <c r="C2427" s="2">
        <f t="shared" si="37"/>
        <v>-1.1834457647002909E-2</v>
      </c>
    </row>
    <row r="2428" spans="1:3" x14ac:dyDescent="0.2">
      <c r="A2428" s="3">
        <v>42417</v>
      </c>
      <c r="B2428" s="2">
        <v>12.75</v>
      </c>
      <c r="C2428" s="2">
        <f t="shared" si="37"/>
        <v>7.9977350332249883E-2</v>
      </c>
    </row>
    <row r="2429" spans="1:3" x14ac:dyDescent="0.2">
      <c r="A2429" s="3">
        <v>42416</v>
      </c>
      <c r="B2429" s="2">
        <v>11.77</v>
      </c>
      <c r="C2429" s="2">
        <f t="shared" si="37"/>
        <v>1.7138380066600133E-2</v>
      </c>
    </row>
    <row r="2430" spans="1:3" x14ac:dyDescent="0.2">
      <c r="A2430" s="3">
        <v>42415</v>
      </c>
      <c r="B2430" s="2">
        <v>11.57</v>
      </c>
      <c r="C2430" s="2">
        <f t="shared" si="37"/>
        <v>3.8771375918131769E-2</v>
      </c>
    </row>
    <row r="2431" spans="1:3" x14ac:dyDescent="0.2">
      <c r="A2431" s="3">
        <v>42412</v>
      </c>
      <c r="B2431" s="2">
        <v>11.13</v>
      </c>
      <c r="C2431" s="2">
        <f t="shared" si="37"/>
        <v>6.3042186876633599E-2</v>
      </c>
    </row>
    <row r="2432" spans="1:3" x14ac:dyDescent="0.2">
      <c r="A2432" s="3">
        <v>42411</v>
      </c>
      <c r="B2432" s="2">
        <v>10.45</v>
      </c>
      <c r="C2432" s="2">
        <f t="shared" si="37"/>
        <v>-2.8303776162851822E-2</v>
      </c>
    </row>
    <row r="2433" spans="1:3" x14ac:dyDescent="0.2">
      <c r="A2433" s="3">
        <v>42410</v>
      </c>
      <c r="B2433" s="2">
        <v>10.75</v>
      </c>
      <c r="C2433" s="2">
        <f t="shared" si="37"/>
        <v>1.5940328143518524E-2</v>
      </c>
    </row>
    <row r="2434" spans="1:3" x14ac:dyDescent="0.2">
      <c r="A2434" s="3">
        <v>42409</v>
      </c>
      <c r="B2434" s="2">
        <v>10.58</v>
      </c>
      <c r="C2434" s="2">
        <f t="shared" si="37"/>
        <v>4.7371002842692958E-3</v>
      </c>
    </row>
    <row r="2435" spans="1:3" x14ac:dyDescent="0.2">
      <c r="A2435" s="3">
        <v>42408</v>
      </c>
      <c r="B2435" s="2">
        <v>10.53</v>
      </c>
      <c r="C2435" s="2">
        <f t="shared" ref="C2435:C2498" si="38">+LN(B2435/B2436)</f>
        <v>-5.8107630807280812E-2</v>
      </c>
    </row>
    <row r="2436" spans="1:3" x14ac:dyDescent="0.2">
      <c r="A2436" s="3">
        <v>42405</v>
      </c>
      <c r="B2436" s="2">
        <v>11.16</v>
      </c>
      <c r="C2436" s="2">
        <f t="shared" si="38"/>
        <v>-8.9206657583793762E-3</v>
      </c>
    </row>
    <row r="2437" spans="1:3" x14ac:dyDescent="0.2">
      <c r="A2437" s="3">
        <v>42404</v>
      </c>
      <c r="B2437" s="2">
        <v>11.26</v>
      </c>
      <c r="C2437" s="2">
        <f t="shared" si="38"/>
        <v>-7.9611212158673308E-3</v>
      </c>
    </row>
    <row r="2438" spans="1:3" x14ac:dyDescent="0.2">
      <c r="A2438" s="3">
        <v>42403</v>
      </c>
      <c r="B2438" s="2">
        <v>11.35</v>
      </c>
      <c r="C2438" s="2">
        <f t="shared" si="38"/>
        <v>-8.7719860728369941E-3</v>
      </c>
    </row>
    <row r="2439" spans="1:3" x14ac:dyDescent="0.2">
      <c r="A2439" s="3">
        <v>42402</v>
      </c>
      <c r="B2439" s="2">
        <v>11.45</v>
      </c>
      <c r="C2439" s="2">
        <f t="shared" si="38"/>
        <v>-2.841344822319198E-2</v>
      </c>
    </row>
    <row r="2440" spans="1:3" x14ac:dyDescent="0.2">
      <c r="A2440" s="3">
        <v>42401</v>
      </c>
      <c r="B2440" s="2">
        <v>11.78</v>
      </c>
      <c r="C2440" s="2">
        <f t="shared" si="38"/>
        <v>8.5252008233596271E-3</v>
      </c>
    </row>
    <row r="2441" spans="1:3" x14ac:dyDescent="0.2">
      <c r="A2441" s="3">
        <v>42398</v>
      </c>
      <c r="B2441" s="2">
        <v>11.68</v>
      </c>
      <c r="C2441" s="2">
        <f t="shared" si="38"/>
        <v>3.3960599238510435E-2</v>
      </c>
    </row>
    <row r="2442" spans="1:3" x14ac:dyDescent="0.2">
      <c r="A2442" s="3">
        <v>42397</v>
      </c>
      <c r="B2442" s="2">
        <v>11.29</v>
      </c>
      <c r="C2442" s="2">
        <f t="shared" si="38"/>
        <v>-2.1034956119397052E-2</v>
      </c>
    </row>
    <row r="2443" spans="1:3" x14ac:dyDescent="0.2">
      <c r="A2443" s="3">
        <v>42396</v>
      </c>
      <c r="B2443" s="2">
        <v>11.53</v>
      </c>
      <c r="C2443" s="2">
        <f t="shared" si="38"/>
        <v>-8.6692679898583763E-4</v>
      </c>
    </row>
    <row r="2444" spans="1:3" x14ac:dyDescent="0.2">
      <c r="A2444" s="3">
        <v>42395</v>
      </c>
      <c r="B2444" s="2">
        <v>11.54</v>
      </c>
      <c r="C2444" s="2">
        <f t="shared" si="38"/>
        <v>5.2128701885329901E-3</v>
      </c>
    </row>
    <row r="2445" spans="1:3" x14ac:dyDescent="0.2">
      <c r="A2445" s="3">
        <v>42394</v>
      </c>
      <c r="B2445" s="2">
        <v>11.48</v>
      </c>
      <c r="C2445" s="2">
        <f t="shared" si="38"/>
        <v>-8.7070096924392088E-4</v>
      </c>
    </row>
    <row r="2446" spans="1:3" x14ac:dyDescent="0.2">
      <c r="A2446" s="3">
        <v>42391</v>
      </c>
      <c r="B2446" s="2">
        <v>11.49</v>
      </c>
      <c r="C2446" s="2">
        <f t="shared" si="38"/>
        <v>8.7070096924389095E-4</v>
      </c>
    </row>
    <row r="2447" spans="1:3" x14ac:dyDescent="0.2">
      <c r="A2447" s="3">
        <v>42390</v>
      </c>
      <c r="B2447" s="2">
        <v>11.48</v>
      </c>
      <c r="C2447" s="2">
        <f t="shared" si="38"/>
        <v>2.7374777810311092E-2</v>
      </c>
    </row>
    <row r="2448" spans="1:3" x14ac:dyDescent="0.2">
      <c r="A2448" s="3">
        <v>42389</v>
      </c>
      <c r="B2448" s="2">
        <v>11.17</v>
      </c>
      <c r="C2448" s="2">
        <f t="shared" si="38"/>
        <v>-2.6503318060169999E-2</v>
      </c>
    </row>
    <row r="2449" spans="1:3" x14ac:dyDescent="0.2">
      <c r="A2449" s="3">
        <v>42388</v>
      </c>
      <c r="B2449" s="2">
        <v>11.47</v>
      </c>
      <c r="C2449" s="2">
        <f t="shared" si="38"/>
        <v>4.368726913415168E-3</v>
      </c>
    </row>
    <row r="2450" spans="1:3" x14ac:dyDescent="0.2">
      <c r="A2450" s="3">
        <v>42387</v>
      </c>
      <c r="B2450" s="2">
        <v>11.42</v>
      </c>
      <c r="C2450" s="2">
        <f t="shared" si="38"/>
        <v>1.7528488274143868E-3</v>
      </c>
    </row>
    <row r="2451" spans="1:3" x14ac:dyDescent="0.2">
      <c r="A2451" s="3">
        <v>42384</v>
      </c>
      <c r="B2451" s="2">
        <v>11.4</v>
      </c>
      <c r="C2451" s="2">
        <f t="shared" si="38"/>
        <v>-3.7025322589845582E-2</v>
      </c>
    </row>
    <row r="2452" spans="1:3" x14ac:dyDescent="0.2">
      <c r="A2452" s="3">
        <v>42383</v>
      </c>
      <c r="B2452" s="2">
        <v>11.83</v>
      </c>
      <c r="C2452" s="2">
        <f t="shared" si="38"/>
        <v>-1.6891895908447178E-3</v>
      </c>
    </row>
    <row r="2453" spans="1:3" x14ac:dyDescent="0.2">
      <c r="A2453" s="3">
        <v>42382</v>
      </c>
      <c r="B2453" s="2">
        <v>11.85</v>
      </c>
      <c r="C2453" s="2">
        <f t="shared" si="38"/>
        <v>-2.9927420541473255E-2</v>
      </c>
    </row>
    <row r="2454" spans="1:3" x14ac:dyDescent="0.2">
      <c r="A2454" s="3">
        <v>42381</v>
      </c>
      <c r="B2454" s="2">
        <v>12.21</v>
      </c>
      <c r="C2454" s="2">
        <f t="shared" si="38"/>
        <v>1.5683359015551995E-2</v>
      </c>
    </row>
    <row r="2455" spans="1:3" x14ac:dyDescent="0.2">
      <c r="A2455" s="3">
        <v>42380</v>
      </c>
      <c r="B2455" s="2">
        <v>12.02</v>
      </c>
      <c r="C2455" s="2">
        <f t="shared" si="38"/>
        <v>-7.2978263676704624E-2</v>
      </c>
    </row>
    <row r="2456" spans="1:3" x14ac:dyDescent="0.2">
      <c r="A2456" s="3">
        <v>42377</v>
      </c>
      <c r="B2456" s="2">
        <v>12.93</v>
      </c>
      <c r="C2456" s="2">
        <f t="shared" si="38"/>
        <v>-2.293678534309827E-2</v>
      </c>
    </row>
    <row r="2457" spans="1:3" x14ac:dyDescent="0.2">
      <c r="A2457" s="3">
        <v>42376</v>
      </c>
      <c r="B2457" s="2">
        <v>13.23</v>
      </c>
      <c r="C2457" s="2">
        <f t="shared" si="38"/>
        <v>-5.0839676779409218E-2</v>
      </c>
    </row>
    <row r="2458" spans="1:3" x14ac:dyDescent="0.2">
      <c r="A2458" s="3">
        <v>42375</v>
      </c>
      <c r="B2458" s="2">
        <v>13.92</v>
      </c>
      <c r="C2458" s="2">
        <f t="shared" si="38"/>
        <v>-2.483277658247144E-2</v>
      </c>
    </row>
    <row r="2459" spans="1:3" x14ac:dyDescent="0.2">
      <c r="A2459" s="3">
        <v>42374</v>
      </c>
      <c r="B2459" s="2">
        <v>14.27</v>
      </c>
      <c r="C2459" s="2">
        <f t="shared" si="38"/>
        <v>-3.4977300437545387E-3</v>
      </c>
    </row>
    <row r="2460" spans="1:3" x14ac:dyDescent="0.2">
      <c r="A2460" s="3">
        <v>42368</v>
      </c>
      <c r="B2460" s="2">
        <v>14.32</v>
      </c>
      <c r="C2460" s="2">
        <f t="shared" si="38"/>
        <v>-1.3956736389746914E-3</v>
      </c>
    </row>
    <row r="2461" spans="1:3" x14ac:dyDescent="0.2">
      <c r="A2461" s="3">
        <v>42367</v>
      </c>
      <c r="B2461" s="2">
        <v>14.34</v>
      </c>
      <c r="C2461" s="2">
        <f t="shared" si="38"/>
        <v>2.6140661902603786E-2</v>
      </c>
    </row>
    <row r="2462" spans="1:3" x14ac:dyDescent="0.2">
      <c r="A2462" s="3">
        <v>42366</v>
      </c>
      <c r="B2462" s="2">
        <v>13.97</v>
      </c>
      <c r="C2462" s="2">
        <f t="shared" si="38"/>
        <v>-1.8440238832890532E-2</v>
      </c>
    </row>
    <row r="2463" spans="1:3" x14ac:dyDescent="0.2">
      <c r="A2463" s="3">
        <v>42361</v>
      </c>
      <c r="B2463" s="2">
        <v>14.23</v>
      </c>
      <c r="C2463" s="2">
        <f t="shared" si="38"/>
        <v>1.4867530495316993E-2</v>
      </c>
    </row>
    <row r="2464" spans="1:3" x14ac:dyDescent="0.2">
      <c r="A2464" s="3">
        <v>42360</v>
      </c>
      <c r="B2464" s="2">
        <v>14.02</v>
      </c>
      <c r="C2464" s="2">
        <f t="shared" si="38"/>
        <v>-4.2704691234523202E-3</v>
      </c>
    </row>
    <row r="2465" spans="1:3" x14ac:dyDescent="0.2">
      <c r="A2465" s="3">
        <v>42359</v>
      </c>
      <c r="B2465" s="2">
        <v>14.08</v>
      </c>
      <c r="C2465" s="2">
        <f t="shared" si="38"/>
        <v>-7.0771703740850874E-3</v>
      </c>
    </row>
    <row r="2466" spans="1:3" x14ac:dyDescent="0.2">
      <c r="A2466" s="3">
        <v>42356</v>
      </c>
      <c r="B2466" s="2">
        <v>14.18</v>
      </c>
      <c r="C2466" s="2">
        <f t="shared" si="38"/>
        <v>1.4114328384078085E-3</v>
      </c>
    </row>
    <row r="2467" spans="1:3" x14ac:dyDescent="0.2">
      <c r="A2467" s="3">
        <v>42355</v>
      </c>
      <c r="B2467" s="2">
        <v>14.16</v>
      </c>
      <c r="C2467" s="2">
        <f t="shared" si="38"/>
        <v>-1.411432838407736E-3</v>
      </c>
    </row>
    <row r="2468" spans="1:3" x14ac:dyDescent="0.2">
      <c r="A2468" s="3">
        <v>42353</v>
      </c>
      <c r="B2468" s="2">
        <v>14.18</v>
      </c>
      <c r="C2468" s="2">
        <f t="shared" si="38"/>
        <v>2.0663364337728984E-2</v>
      </c>
    </row>
    <row r="2469" spans="1:3" x14ac:dyDescent="0.2">
      <c r="A2469" s="3">
        <v>42352</v>
      </c>
      <c r="B2469" s="2">
        <v>13.89</v>
      </c>
      <c r="C2469" s="2">
        <f t="shared" si="38"/>
        <v>-7.1736319111373971E-3</v>
      </c>
    </row>
    <row r="2470" spans="1:3" x14ac:dyDescent="0.2">
      <c r="A2470" s="3">
        <v>42349</v>
      </c>
      <c r="B2470" s="2">
        <v>13.99</v>
      </c>
      <c r="C2470" s="2">
        <f t="shared" si="38"/>
        <v>-1.0664871791036867E-2</v>
      </c>
    </row>
    <row r="2471" spans="1:3" x14ac:dyDescent="0.2">
      <c r="A2471" s="3">
        <v>42348</v>
      </c>
      <c r="B2471" s="2">
        <v>14.14</v>
      </c>
      <c r="C2471" s="2">
        <f t="shared" si="38"/>
        <v>-1.3347581371653721E-2</v>
      </c>
    </row>
    <row r="2472" spans="1:3" x14ac:dyDescent="0.2">
      <c r="A2472" s="3">
        <v>42347</v>
      </c>
      <c r="B2472" s="2">
        <v>14.33</v>
      </c>
      <c r="C2472" s="2">
        <f t="shared" si="38"/>
        <v>-2.0913217799976101E-3</v>
      </c>
    </row>
    <row r="2473" spans="1:3" x14ac:dyDescent="0.2">
      <c r="A2473" s="3">
        <v>42346</v>
      </c>
      <c r="B2473" s="2">
        <v>14.36</v>
      </c>
      <c r="C2473" s="2">
        <f t="shared" si="38"/>
        <v>-1.6574965094212676E-2</v>
      </c>
    </row>
    <row r="2474" spans="1:3" x14ac:dyDescent="0.2">
      <c r="A2474" s="3">
        <v>42345</v>
      </c>
      <c r="B2474" s="2">
        <v>14.6</v>
      </c>
      <c r="C2474" s="2">
        <f t="shared" si="38"/>
        <v>8.9439880708981571E-3</v>
      </c>
    </row>
    <row r="2475" spans="1:3" x14ac:dyDescent="0.2">
      <c r="A2475" s="3">
        <v>42342</v>
      </c>
      <c r="B2475" s="2">
        <v>14.47</v>
      </c>
      <c r="C2475" s="2">
        <f t="shared" si="38"/>
        <v>-5.5134529741090073E-3</v>
      </c>
    </row>
    <row r="2476" spans="1:3" x14ac:dyDescent="0.2">
      <c r="A2476" s="3">
        <v>42341</v>
      </c>
      <c r="B2476" s="2">
        <v>14.55</v>
      </c>
      <c r="C2476" s="2">
        <f t="shared" si="38"/>
        <v>-1.0256500167188997E-2</v>
      </c>
    </row>
    <row r="2477" spans="1:3" x14ac:dyDescent="0.2">
      <c r="A2477" s="3">
        <v>42340</v>
      </c>
      <c r="B2477" s="2">
        <v>14.7</v>
      </c>
      <c r="C2477" s="2">
        <f t="shared" si="38"/>
        <v>4.0899852515250664E-3</v>
      </c>
    </row>
    <row r="2478" spans="1:3" x14ac:dyDescent="0.2">
      <c r="A2478" s="3">
        <v>42339</v>
      </c>
      <c r="B2478" s="2">
        <v>14.64</v>
      </c>
      <c r="C2478" s="2">
        <f t="shared" si="38"/>
        <v>-3.4094816526203217E-3</v>
      </c>
    </row>
    <row r="2479" spans="1:3" x14ac:dyDescent="0.2">
      <c r="A2479" s="3">
        <v>42338</v>
      </c>
      <c r="B2479" s="2">
        <v>14.69</v>
      </c>
      <c r="C2479" s="2">
        <f t="shared" si="38"/>
        <v>1.5780773455167253E-2</v>
      </c>
    </row>
    <row r="2480" spans="1:3" x14ac:dyDescent="0.2">
      <c r="A2480" s="3">
        <v>42335</v>
      </c>
      <c r="B2480" s="2">
        <v>14.46</v>
      </c>
      <c r="C2480" s="2">
        <f t="shared" si="38"/>
        <v>3.4638067191879642E-3</v>
      </c>
    </row>
    <row r="2481" spans="1:3" x14ac:dyDescent="0.2">
      <c r="A2481" s="3">
        <v>42334</v>
      </c>
      <c r="B2481" s="2">
        <v>14.41</v>
      </c>
      <c r="C2481" s="2">
        <f t="shared" si="38"/>
        <v>7.6628727455690972E-3</v>
      </c>
    </row>
    <row r="2482" spans="1:3" x14ac:dyDescent="0.2">
      <c r="A2482" s="3">
        <v>42333</v>
      </c>
      <c r="B2482" s="2">
        <v>14.3</v>
      </c>
      <c r="C2482" s="2">
        <f t="shared" si="38"/>
        <v>5.6101128907667828E-3</v>
      </c>
    </row>
    <row r="2483" spans="1:3" x14ac:dyDescent="0.2">
      <c r="A2483" s="3">
        <v>42332</v>
      </c>
      <c r="B2483" s="2">
        <v>14.22</v>
      </c>
      <c r="C2483" s="2">
        <f t="shared" si="38"/>
        <v>-2.2254047730278396E-2</v>
      </c>
    </row>
    <row r="2484" spans="1:3" x14ac:dyDescent="0.2">
      <c r="A2484" s="3">
        <v>42331</v>
      </c>
      <c r="B2484" s="2">
        <v>14.54</v>
      </c>
      <c r="C2484" s="2">
        <f t="shared" si="38"/>
        <v>7.5940993195936753E-3</v>
      </c>
    </row>
    <row r="2485" spans="1:3" x14ac:dyDescent="0.2">
      <c r="A2485" s="3">
        <v>42328</v>
      </c>
      <c r="B2485" s="2">
        <v>14.43</v>
      </c>
      <c r="C2485" s="2">
        <f t="shared" si="38"/>
        <v>-6.9276067890060484E-4</v>
      </c>
    </row>
    <row r="2486" spans="1:3" x14ac:dyDescent="0.2">
      <c r="A2486" s="3">
        <v>42327</v>
      </c>
      <c r="B2486" s="2">
        <v>14.44</v>
      </c>
      <c r="C2486" s="2">
        <f t="shared" si="38"/>
        <v>6.9276067890057459E-4</v>
      </c>
    </row>
    <row r="2487" spans="1:3" x14ac:dyDescent="0.2">
      <c r="A2487" s="3">
        <v>42326</v>
      </c>
      <c r="B2487" s="2">
        <v>14.43</v>
      </c>
      <c r="C2487" s="2">
        <f t="shared" si="38"/>
        <v>2.0811662038244493E-3</v>
      </c>
    </row>
    <row r="2488" spans="1:3" x14ac:dyDescent="0.2">
      <c r="A2488" s="3">
        <v>42325</v>
      </c>
      <c r="B2488" s="2">
        <v>14.4</v>
      </c>
      <c r="C2488" s="2">
        <f t="shared" si="38"/>
        <v>2.3183335455657282E-2</v>
      </c>
    </row>
    <row r="2489" spans="1:3" x14ac:dyDescent="0.2">
      <c r="A2489" s="3">
        <v>42324</v>
      </c>
      <c r="B2489" s="2">
        <v>14.07</v>
      </c>
      <c r="C2489" s="2">
        <f t="shared" si="38"/>
        <v>4.9875415110391882E-3</v>
      </c>
    </row>
    <row r="2490" spans="1:3" x14ac:dyDescent="0.2">
      <c r="A2490" s="3">
        <v>42321</v>
      </c>
      <c r="B2490" s="2">
        <v>14</v>
      </c>
      <c r="C2490" s="2">
        <f t="shared" si="38"/>
        <v>1.1494379425735212E-2</v>
      </c>
    </row>
    <row r="2491" spans="1:3" x14ac:dyDescent="0.2">
      <c r="A2491" s="3">
        <v>42320</v>
      </c>
      <c r="B2491" s="2">
        <v>13.84</v>
      </c>
      <c r="C2491" s="2">
        <f t="shared" si="38"/>
        <v>-3.1297006721914822E-2</v>
      </c>
    </row>
    <row r="2492" spans="1:3" x14ac:dyDescent="0.2">
      <c r="A2492" s="3">
        <v>42319</v>
      </c>
      <c r="B2492" s="2">
        <v>14.28</v>
      </c>
      <c r="C2492" s="2">
        <f t="shared" si="38"/>
        <v>4.9140148024289414E-3</v>
      </c>
    </row>
    <row r="2493" spans="1:3" x14ac:dyDescent="0.2">
      <c r="A2493" s="3">
        <v>42318</v>
      </c>
      <c r="B2493" s="2">
        <v>14.21</v>
      </c>
      <c r="C2493" s="2">
        <f t="shared" si="38"/>
        <v>1.7749844774782874E-2</v>
      </c>
    </row>
    <row r="2494" spans="1:3" x14ac:dyDescent="0.2">
      <c r="A2494" s="3">
        <v>42317</v>
      </c>
      <c r="B2494" s="2">
        <v>13.96</v>
      </c>
      <c r="C2494" s="2">
        <f t="shared" si="38"/>
        <v>-5.714301263438552E-3</v>
      </c>
    </row>
    <row r="2495" spans="1:3" x14ac:dyDescent="0.2">
      <c r="A2495" s="3">
        <v>42314</v>
      </c>
      <c r="B2495" s="2">
        <v>14.04</v>
      </c>
      <c r="C2495" s="2">
        <f t="shared" si="38"/>
        <v>2.451456576358578E-2</v>
      </c>
    </row>
    <row r="2496" spans="1:3" x14ac:dyDescent="0.2">
      <c r="A2496" s="3">
        <v>42313</v>
      </c>
      <c r="B2496" s="2">
        <v>13.7</v>
      </c>
      <c r="C2496" s="2">
        <f t="shared" si="38"/>
        <v>-1.3773323932173211E-2</v>
      </c>
    </row>
    <row r="2497" spans="1:3" x14ac:dyDescent="0.2">
      <c r="A2497" s="3">
        <v>42312</v>
      </c>
      <c r="B2497" s="2">
        <v>13.89</v>
      </c>
      <c r="C2497" s="2">
        <f t="shared" si="38"/>
        <v>7.9508911807400287E-3</v>
      </c>
    </row>
    <row r="2498" spans="1:3" x14ac:dyDescent="0.2">
      <c r="A2498" s="3">
        <v>42311</v>
      </c>
      <c r="B2498" s="2">
        <v>13.78</v>
      </c>
      <c r="C2498" s="2">
        <f t="shared" si="38"/>
        <v>3.6350458056327471E-3</v>
      </c>
    </row>
    <row r="2499" spans="1:3" x14ac:dyDescent="0.2">
      <c r="A2499" s="3">
        <v>42310</v>
      </c>
      <c r="B2499" s="2">
        <v>13.73</v>
      </c>
      <c r="C2499" s="2">
        <f t="shared" ref="C2499:C2562" si="39">+LN(B2499/B2500)</f>
        <v>4.9263692143749115E-2</v>
      </c>
    </row>
    <row r="2500" spans="1:3" x14ac:dyDescent="0.2">
      <c r="A2500" s="3">
        <v>42305</v>
      </c>
      <c r="B2500" s="2">
        <v>13.07</v>
      </c>
      <c r="C2500" s="2">
        <f t="shared" si="39"/>
        <v>-5.3414854203338458E-3</v>
      </c>
    </row>
    <row r="2501" spans="1:3" x14ac:dyDescent="0.2">
      <c r="A2501" s="3">
        <v>42304</v>
      </c>
      <c r="B2501" s="2">
        <v>13.14</v>
      </c>
      <c r="C2501" s="2">
        <f t="shared" si="39"/>
        <v>-1.8847146646616658E-2</v>
      </c>
    </row>
    <row r="2502" spans="1:3" x14ac:dyDescent="0.2">
      <c r="A2502" s="3">
        <v>42303</v>
      </c>
      <c r="B2502" s="2">
        <v>13.39</v>
      </c>
      <c r="C2502" s="2">
        <f t="shared" si="39"/>
        <v>3.8832439026873618E-2</v>
      </c>
    </row>
    <row r="2503" spans="1:3" x14ac:dyDescent="0.2">
      <c r="A2503" s="3">
        <v>42300</v>
      </c>
      <c r="B2503" s="2">
        <v>12.88</v>
      </c>
      <c r="C2503" s="2">
        <f t="shared" si="39"/>
        <v>3.7979248065216471E-2</v>
      </c>
    </row>
    <row r="2504" spans="1:3" x14ac:dyDescent="0.2">
      <c r="A2504" s="3">
        <v>42299</v>
      </c>
      <c r="B2504" s="2">
        <v>12.4</v>
      </c>
      <c r="C2504" s="2">
        <f t="shared" si="39"/>
        <v>1.1354542102925849E-2</v>
      </c>
    </row>
    <row r="2505" spans="1:3" x14ac:dyDescent="0.2">
      <c r="A2505" s="3">
        <v>42298</v>
      </c>
      <c r="B2505" s="2">
        <v>12.26</v>
      </c>
      <c r="C2505" s="2">
        <f t="shared" si="39"/>
        <v>8.1599351732935925E-4</v>
      </c>
    </row>
    <row r="2506" spans="1:3" x14ac:dyDescent="0.2">
      <c r="A2506" s="3">
        <v>42297</v>
      </c>
      <c r="B2506" s="2">
        <v>12.25</v>
      </c>
      <c r="C2506" s="2">
        <f t="shared" si="39"/>
        <v>-1.0556330265714136E-2</v>
      </c>
    </row>
    <row r="2507" spans="1:3" x14ac:dyDescent="0.2">
      <c r="A2507" s="3">
        <v>42296</v>
      </c>
      <c r="B2507" s="2">
        <v>12.38</v>
      </c>
      <c r="C2507" s="2">
        <f t="shared" si="39"/>
        <v>2.4262041824640191E-3</v>
      </c>
    </row>
    <row r="2508" spans="1:3" x14ac:dyDescent="0.2">
      <c r="A2508" s="3">
        <v>42293</v>
      </c>
      <c r="B2508" s="2">
        <v>12.35</v>
      </c>
      <c r="C2508" s="2">
        <f t="shared" si="39"/>
        <v>-8.8674502853209845E-3</v>
      </c>
    </row>
    <row r="2509" spans="1:3" x14ac:dyDescent="0.2">
      <c r="A2509" s="3">
        <v>42292</v>
      </c>
      <c r="B2509" s="2">
        <v>12.46</v>
      </c>
      <c r="C2509" s="2">
        <f t="shared" si="39"/>
        <v>7.2493269549107559E-3</v>
      </c>
    </row>
    <row r="2510" spans="1:3" x14ac:dyDescent="0.2">
      <c r="A2510" s="3">
        <v>42291</v>
      </c>
      <c r="B2510" s="2">
        <v>12.37</v>
      </c>
      <c r="C2510" s="2">
        <f t="shared" si="39"/>
        <v>-8.0808085205365525E-4</v>
      </c>
    </row>
    <row r="2511" spans="1:3" x14ac:dyDescent="0.2">
      <c r="A2511" s="3">
        <v>42290</v>
      </c>
      <c r="B2511" s="2">
        <v>12.38</v>
      </c>
      <c r="C2511" s="2">
        <f t="shared" si="39"/>
        <v>-2.5519726208095433E-2</v>
      </c>
    </row>
    <row r="2512" spans="1:3" x14ac:dyDescent="0.2">
      <c r="A2512" s="3">
        <v>42285</v>
      </c>
      <c r="B2512" s="2">
        <v>12.7</v>
      </c>
      <c r="C2512" s="2">
        <f t="shared" si="39"/>
        <v>1.3476224556568555E-2</v>
      </c>
    </row>
    <row r="2513" spans="1:3" x14ac:dyDescent="0.2">
      <c r="A2513" s="3">
        <v>42284</v>
      </c>
      <c r="B2513" s="2">
        <v>12.53</v>
      </c>
      <c r="C2513" s="2">
        <f t="shared" si="39"/>
        <v>-1.3476224556568677E-2</v>
      </c>
    </row>
    <row r="2514" spans="1:3" x14ac:dyDescent="0.2">
      <c r="A2514" s="3">
        <v>42283</v>
      </c>
      <c r="B2514" s="2">
        <v>12.7</v>
      </c>
      <c r="C2514" s="2">
        <f t="shared" si="39"/>
        <v>6.4223610097336861E-2</v>
      </c>
    </row>
    <row r="2515" spans="1:3" x14ac:dyDescent="0.2">
      <c r="A2515" s="3">
        <v>42279</v>
      </c>
      <c r="B2515" s="2">
        <v>11.91</v>
      </c>
      <c r="C2515" s="2">
        <f t="shared" si="39"/>
        <v>-3.3528950103108792E-3</v>
      </c>
    </row>
    <row r="2516" spans="1:3" x14ac:dyDescent="0.2">
      <c r="A2516" s="3">
        <v>42278</v>
      </c>
      <c r="B2516" s="2">
        <v>11.95</v>
      </c>
      <c r="C2516" s="2">
        <f t="shared" si="39"/>
        <v>3.3528950103109681E-3</v>
      </c>
    </row>
    <row r="2517" spans="1:3" x14ac:dyDescent="0.2">
      <c r="A2517" s="3">
        <v>42277</v>
      </c>
      <c r="B2517" s="2">
        <v>11.91</v>
      </c>
      <c r="C2517" s="2">
        <f t="shared" si="39"/>
        <v>-7.5282664207915245E-3</v>
      </c>
    </row>
    <row r="2518" spans="1:3" x14ac:dyDescent="0.2">
      <c r="A2518" s="3">
        <v>42276</v>
      </c>
      <c r="B2518" s="2">
        <v>12</v>
      </c>
      <c r="C2518" s="2">
        <f t="shared" si="39"/>
        <v>-2.5505290408361889E-2</v>
      </c>
    </row>
    <row r="2519" spans="1:3" x14ac:dyDescent="0.2">
      <c r="A2519" s="3">
        <v>42275</v>
      </c>
      <c r="B2519" s="2">
        <v>12.31</v>
      </c>
      <c r="C2519" s="2">
        <f t="shared" si="39"/>
        <v>-3.1977145005000561E-2</v>
      </c>
    </row>
    <row r="2520" spans="1:3" x14ac:dyDescent="0.2">
      <c r="A2520" s="3">
        <v>42272</v>
      </c>
      <c r="B2520" s="2">
        <v>12.71</v>
      </c>
      <c r="C2520" s="2">
        <f t="shared" si="39"/>
        <v>4.6707362245403845E-2</v>
      </c>
    </row>
    <row r="2521" spans="1:3" x14ac:dyDescent="0.2">
      <c r="A2521" s="3">
        <v>42271</v>
      </c>
      <c r="B2521" s="2">
        <v>12.13</v>
      </c>
      <c r="C2521" s="2">
        <f t="shared" si="39"/>
        <v>-2.3626353549373823E-2</v>
      </c>
    </row>
    <row r="2522" spans="1:3" x14ac:dyDescent="0.2">
      <c r="A2522" s="3">
        <v>42270</v>
      </c>
      <c r="B2522" s="2">
        <v>12.42</v>
      </c>
      <c r="C2522" s="2">
        <f t="shared" si="39"/>
        <v>2.5276518940331772E-2</v>
      </c>
    </row>
    <row r="2523" spans="1:3" x14ac:dyDescent="0.2">
      <c r="A2523" s="3">
        <v>42269</v>
      </c>
      <c r="B2523" s="2">
        <v>12.11</v>
      </c>
      <c r="C2523" s="2">
        <f t="shared" si="39"/>
        <v>-3.7281465037155265E-2</v>
      </c>
    </row>
    <row r="2524" spans="1:3" x14ac:dyDescent="0.2">
      <c r="A2524" s="3">
        <v>42268</v>
      </c>
      <c r="B2524" s="2">
        <v>12.57</v>
      </c>
      <c r="C2524" s="2">
        <f t="shared" si="39"/>
        <v>1.361654999116484E-2</v>
      </c>
    </row>
    <row r="2525" spans="1:3" x14ac:dyDescent="0.2">
      <c r="A2525" s="3">
        <v>42265</v>
      </c>
      <c r="B2525" s="2">
        <v>12.4</v>
      </c>
      <c r="C2525" s="2">
        <f t="shared" si="39"/>
        <v>-2.7050177533026059E-2</v>
      </c>
    </row>
    <row r="2526" spans="1:3" x14ac:dyDescent="0.2">
      <c r="A2526" s="3">
        <v>42264</v>
      </c>
      <c r="B2526" s="2">
        <v>12.74</v>
      </c>
      <c r="C2526" s="2">
        <f t="shared" si="39"/>
        <v>5.5096558109696998E-3</v>
      </c>
    </row>
    <row r="2527" spans="1:3" x14ac:dyDescent="0.2">
      <c r="A2527" s="3">
        <v>42263</v>
      </c>
      <c r="B2527" s="2">
        <v>12.67</v>
      </c>
      <c r="C2527" s="2">
        <f t="shared" si="39"/>
        <v>7.9239717308915731E-3</v>
      </c>
    </row>
    <row r="2528" spans="1:3" x14ac:dyDescent="0.2">
      <c r="A2528" s="3">
        <v>42262</v>
      </c>
      <c r="B2528" s="2">
        <v>12.57</v>
      </c>
      <c r="C2528" s="2">
        <f t="shared" si="39"/>
        <v>1.039593529112273E-2</v>
      </c>
    </row>
    <row r="2529" spans="1:3" x14ac:dyDescent="0.2">
      <c r="A2529" s="3">
        <v>42261</v>
      </c>
      <c r="B2529" s="2">
        <v>12.44</v>
      </c>
      <c r="C2529" s="2">
        <f t="shared" si="39"/>
        <v>-2.6964361638355298E-2</v>
      </c>
    </row>
    <row r="2530" spans="1:3" x14ac:dyDescent="0.2">
      <c r="A2530" s="3">
        <v>42258</v>
      </c>
      <c r="B2530" s="2">
        <v>12.78</v>
      </c>
      <c r="C2530" s="2">
        <f t="shared" si="39"/>
        <v>9.4340322333584942E-3</v>
      </c>
    </row>
    <row r="2531" spans="1:3" x14ac:dyDescent="0.2">
      <c r="A2531" s="3">
        <v>42257</v>
      </c>
      <c r="B2531" s="2">
        <v>12.66</v>
      </c>
      <c r="C2531" s="2">
        <f t="shared" si="39"/>
        <v>-9.4340322333585289E-3</v>
      </c>
    </row>
    <row r="2532" spans="1:3" x14ac:dyDescent="0.2">
      <c r="A2532" s="3">
        <v>42256</v>
      </c>
      <c r="B2532" s="2">
        <v>12.78</v>
      </c>
      <c r="C2532" s="2">
        <f t="shared" si="39"/>
        <v>1.4978600893132899E-2</v>
      </c>
    </row>
    <row r="2533" spans="1:3" x14ac:dyDescent="0.2">
      <c r="A2533" s="3">
        <v>42255</v>
      </c>
      <c r="B2533" s="2">
        <v>12.59</v>
      </c>
      <c r="C2533" s="2">
        <f t="shared" si="39"/>
        <v>2.0867530880002916E-2</v>
      </c>
    </row>
    <row r="2534" spans="1:3" x14ac:dyDescent="0.2">
      <c r="A2534" s="3">
        <v>42254</v>
      </c>
      <c r="B2534" s="2">
        <v>12.33</v>
      </c>
      <c r="C2534" s="2">
        <f t="shared" si="39"/>
        <v>-3.2388692281435805E-3</v>
      </c>
    </row>
    <row r="2535" spans="1:3" x14ac:dyDescent="0.2">
      <c r="A2535" s="3">
        <v>42251</v>
      </c>
      <c r="B2535" s="2">
        <v>12.37</v>
      </c>
      <c r="C2535" s="2">
        <f t="shared" si="39"/>
        <v>-3.4170984521175042E-2</v>
      </c>
    </row>
    <row r="2536" spans="1:3" x14ac:dyDescent="0.2">
      <c r="A2536" s="3">
        <v>42250</v>
      </c>
      <c r="B2536" s="2">
        <v>12.8</v>
      </c>
      <c r="C2536" s="2">
        <f t="shared" si="39"/>
        <v>3.0137094420238906E-2</v>
      </c>
    </row>
    <row r="2537" spans="1:3" x14ac:dyDescent="0.2">
      <c r="A2537" s="3">
        <v>42249</v>
      </c>
      <c r="B2537" s="2">
        <v>12.42</v>
      </c>
      <c r="C2537" s="2">
        <f t="shared" si="39"/>
        <v>4.0251840395507936E-2</v>
      </c>
    </row>
    <row r="2538" spans="1:3" x14ac:dyDescent="0.2">
      <c r="A2538" s="3">
        <v>42248</v>
      </c>
      <c r="B2538" s="2">
        <v>11.93</v>
      </c>
      <c r="C2538" s="2">
        <f t="shared" si="39"/>
        <v>-1.7449549521527496E-2</v>
      </c>
    </row>
    <row r="2539" spans="1:3" x14ac:dyDescent="0.2">
      <c r="A2539" s="3">
        <v>42247</v>
      </c>
      <c r="B2539" s="2">
        <v>12.14</v>
      </c>
      <c r="C2539" s="2">
        <f t="shared" si="39"/>
        <v>-8.2338415520521178E-4</v>
      </c>
    </row>
    <row r="2540" spans="1:3" x14ac:dyDescent="0.2">
      <c r="A2540" s="3">
        <v>42244</v>
      </c>
      <c r="B2540" s="2">
        <v>12.15</v>
      </c>
      <c r="C2540" s="2">
        <f t="shared" si="39"/>
        <v>-1.1456753791385905E-2</v>
      </c>
    </row>
    <row r="2541" spans="1:3" x14ac:dyDescent="0.2">
      <c r="A2541" s="3">
        <v>42243</v>
      </c>
      <c r="B2541" s="2">
        <v>12.29</v>
      </c>
      <c r="C2541" s="2">
        <f t="shared" si="39"/>
        <v>1.4754366012942546E-2</v>
      </c>
    </row>
    <row r="2542" spans="1:3" x14ac:dyDescent="0.2">
      <c r="A2542" s="3">
        <v>42242</v>
      </c>
      <c r="B2542" s="2">
        <v>12.11</v>
      </c>
      <c r="C2542" s="2">
        <f t="shared" si="39"/>
        <v>-4.1203189730200703E-3</v>
      </c>
    </row>
    <row r="2543" spans="1:3" x14ac:dyDescent="0.2">
      <c r="A2543" s="3">
        <v>42241</v>
      </c>
      <c r="B2543" s="2">
        <v>12.16</v>
      </c>
      <c r="C2543" s="2">
        <f t="shared" si="39"/>
        <v>3.7708698928394971E-2</v>
      </c>
    </row>
    <row r="2544" spans="1:3" x14ac:dyDescent="0.2">
      <c r="A2544" s="3">
        <v>42240</v>
      </c>
      <c r="B2544" s="2">
        <v>11.71</v>
      </c>
      <c r="C2544" s="2">
        <f t="shared" si="39"/>
        <v>-1.0195500380669407E-2</v>
      </c>
    </row>
    <row r="2545" spans="1:3" x14ac:dyDescent="0.2">
      <c r="A2545" s="3">
        <v>42237</v>
      </c>
      <c r="B2545" s="2">
        <v>11.83</v>
      </c>
      <c r="C2545" s="2">
        <f t="shared" si="39"/>
        <v>-5.1081944920421118E-2</v>
      </c>
    </row>
    <row r="2546" spans="1:3" x14ac:dyDescent="0.2">
      <c r="A2546" s="3">
        <v>42236</v>
      </c>
      <c r="B2546" s="2">
        <v>12.45</v>
      </c>
      <c r="C2546" s="2">
        <f t="shared" si="39"/>
        <v>-5.0891607296389266E-2</v>
      </c>
    </row>
    <row r="2547" spans="1:3" x14ac:dyDescent="0.2">
      <c r="A2547" s="3">
        <v>42235</v>
      </c>
      <c r="B2547" s="2">
        <v>13.1</v>
      </c>
      <c r="C2547" s="2">
        <f t="shared" si="39"/>
        <v>-2.4133901336429859E-2</v>
      </c>
    </row>
    <row r="2548" spans="1:3" x14ac:dyDescent="0.2">
      <c r="A2548" s="3">
        <v>42234</v>
      </c>
      <c r="B2548" s="2">
        <v>13.42</v>
      </c>
      <c r="C2548" s="2">
        <f t="shared" si="39"/>
        <v>2.9850768434532774E-3</v>
      </c>
    </row>
    <row r="2549" spans="1:3" x14ac:dyDescent="0.2">
      <c r="A2549" s="3">
        <v>42233</v>
      </c>
      <c r="B2549" s="2">
        <v>13.38</v>
      </c>
      <c r="C2549" s="2">
        <f t="shared" si="39"/>
        <v>-5.9612695164993337E-3</v>
      </c>
    </row>
    <row r="2550" spans="1:3" x14ac:dyDescent="0.2">
      <c r="A2550" s="3">
        <v>42230</v>
      </c>
      <c r="B2550" s="2">
        <v>13.46</v>
      </c>
      <c r="C2550" s="2">
        <f t="shared" si="39"/>
        <v>-7.4019582956677014E-3</v>
      </c>
    </row>
    <row r="2551" spans="1:3" x14ac:dyDescent="0.2">
      <c r="A2551" s="3">
        <v>42229</v>
      </c>
      <c r="B2551" s="2">
        <v>13.56</v>
      </c>
      <c r="C2551" s="2">
        <f t="shared" si="39"/>
        <v>3.9102726013742824E-2</v>
      </c>
    </row>
    <row r="2552" spans="1:3" x14ac:dyDescent="0.2">
      <c r="A2552" s="3">
        <v>42228</v>
      </c>
      <c r="B2552" s="2">
        <v>13.04</v>
      </c>
      <c r="C2552" s="2">
        <f t="shared" si="39"/>
        <v>-4.1312671664545469E-2</v>
      </c>
    </row>
    <row r="2553" spans="1:3" x14ac:dyDescent="0.2">
      <c r="A2553" s="3">
        <v>42227</v>
      </c>
      <c r="B2553" s="2">
        <v>13.59</v>
      </c>
      <c r="C2553" s="2">
        <f t="shared" si="39"/>
        <v>-2.6145280104322245E-2</v>
      </c>
    </row>
    <row r="2554" spans="1:3" x14ac:dyDescent="0.2">
      <c r="A2554" s="3">
        <v>42226</v>
      </c>
      <c r="B2554" s="2">
        <v>13.95</v>
      </c>
      <c r="C2554" s="2">
        <f t="shared" si="39"/>
        <v>-3.577821347884078E-3</v>
      </c>
    </row>
    <row r="2555" spans="1:3" x14ac:dyDescent="0.2">
      <c r="A2555" s="3">
        <v>42223</v>
      </c>
      <c r="B2555" s="2">
        <v>14</v>
      </c>
      <c r="C2555" s="2">
        <f t="shared" si="39"/>
        <v>-4.9470204998087589E-2</v>
      </c>
    </row>
    <row r="2556" spans="1:3" x14ac:dyDescent="0.2">
      <c r="A2556" s="3">
        <v>42222</v>
      </c>
      <c r="B2556" s="2">
        <v>14.71</v>
      </c>
      <c r="C2556" s="2">
        <f t="shared" si="39"/>
        <v>-6.7042182456840321E-2</v>
      </c>
    </row>
    <row r="2557" spans="1:3" x14ac:dyDescent="0.2">
      <c r="A2557" s="3">
        <v>42221</v>
      </c>
      <c r="B2557" s="2">
        <v>15.73</v>
      </c>
      <c r="C2557" s="2">
        <f t="shared" si="39"/>
        <v>2.315215951968207E-2</v>
      </c>
    </row>
    <row r="2558" spans="1:3" x14ac:dyDescent="0.2">
      <c r="A2558" s="3">
        <v>42220</v>
      </c>
      <c r="B2558" s="2">
        <v>15.37</v>
      </c>
      <c r="C2558" s="2">
        <f t="shared" si="39"/>
        <v>-1.5494176976836232E-2</v>
      </c>
    </row>
    <row r="2559" spans="1:3" x14ac:dyDescent="0.2">
      <c r="A2559" s="3">
        <v>42219</v>
      </c>
      <c r="B2559" s="2">
        <v>15.61</v>
      </c>
      <c r="C2559" s="2">
        <f t="shared" si="39"/>
        <v>9.0090699423659108E-3</v>
      </c>
    </row>
    <row r="2560" spans="1:3" x14ac:dyDescent="0.2">
      <c r="A2560" s="3">
        <v>42216</v>
      </c>
      <c r="B2560" s="2">
        <v>15.47</v>
      </c>
      <c r="C2560" s="2">
        <f t="shared" si="39"/>
        <v>5.1847167341868951E-3</v>
      </c>
    </row>
    <row r="2561" spans="1:3" x14ac:dyDescent="0.2">
      <c r="A2561" s="3">
        <v>42215</v>
      </c>
      <c r="B2561" s="2">
        <v>15.39</v>
      </c>
      <c r="C2561" s="2">
        <f t="shared" si="39"/>
        <v>5.8651194523980576E-3</v>
      </c>
    </row>
    <row r="2562" spans="1:3" x14ac:dyDescent="0.2">
      <c r="A2562" s="3">
        <v>42214</v>
      </c>
      <c r="B2562" s="2">
        <v>15.3</v>
      </c>
      <c r="C2562" s="2">
        <f t="shared" si="39"/>
        <v>1.847018206240127E-2</v>
      </c>
    </row>
    <row r="2563" spans="1:3" x14ac:dyDescent="0.2">
      <c r="A2563" s="3">
        <v>42213</v>
      </c>
      <c r="B2563" s="2">
        <v>15.02</v>
      </c>
      <c r="C2563" s="2">
        <f t="shared" ref="C2563:C2626" si="40">+LN(B2563/B2564)</f>
        <v>6.6600069061813812E-4</v>
      </c>
    </row>
    <row r="2564" spans="1:3" x14ac:dyDescent="0.2">
      <c r="A2564" s="3">
        <v>42212</v>
      </c>
      <c r="B2564" s="2">
        <v>15.01</v>
      </c>
      <c r="C2564" s="2">
        <f t="shared" si="40"/>
        <v>-2.5650863774212981E-2</v>
      </c>
    </row>
    <row r="2565" spans="1:3" x14ac:dyDescent="0.2">
      <c r="A2565" s="3">
        <v>42209</v>
      </c>
      <c r="B2565" s="2">
        <v>15.4</v>
      </c>
      <c r="C2565" s="2">
        <f t="shared" si="40"/>
        <v>1.9499518690791566E-3</v>
      </c>
    </row>
    <row r="2566" spans="1:3" x14ac:dyDescent="0.2">
      <c r="A2566" s="3">
        <v>42208</v>
      </c>
      <c r="B2566" s="2">
        <v>15.37</v>
      </c>
      <c r="C2566" s="2">
        <f t="shared" si="40"/>
        <v>-7.7770968782728562E-3</v>
      </c>
    </row>
    <row r="2567" spans="1:3" x14ac:dyDescent="0.2">
      <c r="A2567" s="3">
        <v>42207</v>
      </c>
      <c r="B2567" s="2">
        <v>15.49</v>
      </c>
      <c r="C2567" s="2">
        <f t="shared" si="40"/>
        <v>-1.4739132572283258E-2</v>
      </c>
    </row>
    <row r="2568" spans="1:3" x14ac:dyDescent="0.2">
      <c r="A2568" s="3">
        <v>42206</v>
      </c>
      <c r="B2568" s="2">
        <v>15.72</v>
      </c>
      <c r="C2568" s="2">
        <f t="shared" si="40"/>
        <v>-6.3411753384473545E-3</v>
      </c>
    </row>
    <row r="2569" spans="1:3" x14ac:dyDescent="0.2">
      <c r="A2569" s="3">
        <v>42205</v>
      </c>
      <c r="B2569" s="2">
        <v>15.82</v>
      </c>
      <c r="C2569" s="2">
        <f t="shared" si="40"/>
        <v>1.4004048084016403E-2</v>
      </c>
    </row>
    <row r="2570" spans="1:3" x14ac:dyDescent="0.2">
      <c r="A2570" s="3">
        <v>42202</v>
      </c>
      <c r="B2570" s="2">
        <v>15.6</v>
      </c>
      <c r="C2570" s="2">
        <f t="shared" si="40"/>
        <v>1.2828738128891231E-3</v>
      </c>
    </row>
    <row r="2571" spans="1:3" x14ac:dyDescent="0.2">
      <c r="A2571" s="3">
        <v>42201</v>
      </c>
      <c r="B2571" s="2">
        <v>15.58</v>
      </c>
      <c r="C2571" s="2">
        <f t="shared" si="40"/>
        <v>2.3377688009062293E-2</v>
      </c>
    </row>
    <row r="2572" spans="1:3" x14ac:dyDescent="0.2">
      <c r="A2572" s="3">
        <v>42200</v>
      </c>
      <c r="B2572" s="2">
        <v>15.22</v>
      </c>
      <c r="C2572" s="2">
        <f t="shared" si="40"/>
        <v>-1.9691506198807611E-3</v>
      </c>
    </row>
    <row r="2573" spans="1:3" x14ac:dyDescent="0.2">
      <c r="A2573" s="3">
        <v>42199</v>
      </c>
      <c r="B2573" s="2">
        <v>15.25</v>
      </c>
      <c r="C2573" s="2">
        <f t="shared" si="40"/>
        <v>-1.0437146278603798E-2</v>
      </c>
    </row>
    <row r="2574" spans="1:3" x14ac:dyDescent="0.2">
      <c r="A2574" s="3">
        <v>42198</v>
      </c>
      <c r="B2574" s="2">
        <v>15.41</v>
      </c>
      <c r="C2574" s="2">
        <f t="shared" si="40"/>
        <v>9.1265301014834248E-3</v>
      </c>
    </row>
    <row r="2575" spans="1:3" x14ac:dyDescent="0.2">
      <c r="A2575" s="3">
        <v>42195</v>
      </c>
      <c r="B2575" s="2">
        <v>15.27</v>
      </c>
      <c r="C2575" s="2">
        <f t="shared" si="40"/>
        <v>1.5841915465657923E-2</v>
      </c>
    </row>
    <row r="2576" spans="1:3" x14ac:dyDescent="0.2">
      <c r="A2576" s="3">
        <v>42194</v>
      </c>
      <c r="B2576" s="2">
        <v>15.03</v>
      </c>
      <c r="C2576" s="2">
        <f t="shared" si="40"/>
        <v>3.7970663121490493E-2</v>
      </c>
    </row>
    <row r="2577" spans="1:3" x14ac:dyDescent="0.2">
      <c r="A2577" s="3">
        <v>42193</v>
      </c>
      <c r="B2577" s="2">
        <v>14.47</v>
      </c>
      <c r="C2577" s="2">
        <f t="shared" si="40"/>
        <v>-1.0312913678239818E-2</v>
      </c>
    </row>
    <row r="2578" spans="1:3" x14ac:dyDescent="0.2">
      <c r="A2578" s="3">
        <v>42192</v>
      </c>
      <c r="B2578" s="2">
        <v>14.62</v>
      </c>
      <c r="C2578" s="2">
        <f t="shared" si="40"/>
        <v>-2.1651725383038847E-2</v>
      </c>
    </row>
    <row r="2579" spans="1:3" x14ac:dyDescent="0.2">
      <c r="A2579" s="3">
        <v>42191</v>
      </c>
      <c r="B2579" s="2">
        <v>14.94</v>
      </c>
      <c r="C2579" s="2">
        <f t="shared" si="40"/>
        <v>6.6956815357222291E-4</v>
      </c>
    </row>
    <row r="2580" spans="1:3" x14ac:dyDescent="0.2">
      <c r="A2580" s="3">
        <v>42188</v>
      </c>
      <c r="B2580" s="2">
        <v>14.93</v>
      </c>
      <c r="C2580" s="2">
        <f t="shared" si="40"/>
        <v>-2.6755868804380109E-3</v>
      </c>
    </row>
    <row r="2581" spans="1:3" x14ac:dyDescent="0.2">
      <c r="A2581" s="3">
        <v>42187</v>
      </c>
      <c r="B2581" s="2">
        <v>14.97</v>
      </c>
      <c r="C2581" s="2">
        <f t="shared" si="40"/>
        <v>4.6869854801235584E-3</v>
      </c>
    </row>
    <row r="2582" spans="1:3" x14ac:dyDescent="0.2">
      <c r="A2582" s="3">
        <v>42186</v>
      </c>
      <c r="B2582" s="2">
        <v>14.9</v>
      </c>
      <c r="C2582" s="2">
        <f t="shared" si="40"/>
        <v>2.8592825993843052E-2</v>
      </c>
    </row>
    <row r="2583" spans="1:3" x14ac:dyDescent="0.2">
      <c r="A2583" s="3">
        <v>42185</v>
      </c>
      <c r="B2583" s="2">
        <v>14.48</v>
      </c>
      <c r="C2583" s="2">
        <f t="shared" si="40"/>
        <v>-1.2354309500935124E-2</v>
      </c>
    </row>
    <row r="2584" spans="1:3" x14ac:dyDescent="0.2">
      <c r="A2584" s="3">
        <v>42184</v>
      </c>
      <c r="B2584" s="2">
        <v>14.66</v>
      </c>
      <c r="C2584" s="2">
        <f t="shared" si="40"/>
        <v>-2.2927504643704577E-2</v>
      </c>
    </row>
    <row r="2585" spans="1:3" x14ac:dyDescent="0.2">
      <c r="A2585" s="3">
        <v>42181</v>
      </c>
      <c r="B2585" s="2">
        <v>15</v>
      </c>
      <c r="C2585" s="2">
        <f t="shared" si="40"/>
        <v>2.0202707317519469E-2</v>
      </c>
    </row>
    <row r="2586" spans="1:3" x14ac:dyDescent="0.2">
      <c r="A2586" s="3">
        <v>42180</v>
      </c>
      <c r="B2586" s="2">
        <v>14.7</v>
      </c>
      <c r="C2586" s="2">
        <f t="shared" si="40"/>
        <v>-1.4855100990924184E-2</v>
      </c>
    </row>
    <row r="2587" spans="1:3" x14ac:dyDescent="0.2">
      <c r="A2587" s="3">
        <v>42179</v>
      </c>
      <c r="B2587" s="2">
        <v>14.92</v>
      </c>
      <c r="C2587" s="2">
        <f t="shared" si="40"/>
        <v>-1.3395849290564722E-3</v>
      </c>
    </row>
    <row r="2588" spans="1:3" x14ac:dyDescent="0.2">
      <c r="A2588" s="3">
        <v>42178</v>
      </c>
      <c r="B2588" s="2">
        <v>14.94</v>
      </c>
      <c r="C2588" s="2">
        <f t="shared" si="40"/>
        <v>1.9601844241594831E-2</v>
      </c>
    </row>
    <row r="2589" spans="1:3" x14ac:dyDescent="0.2">
      <c r="A2589" s="3">
        <v>42177</v>
      </c>
      <c r="B2589" s="2">
        <v>14.65</v>
      </c>
      <c r="C2589" s="2">
        <f t="shared" si="40"/>
        <v>1.651792545164564E-2</v>
      </c>
    </row>
    <row r="2590" spans="1:3" x14ac:dyDescent="0.2">
      <c r="A2590" s="3">
        <v>42174</v>
      </c>
      <c r="B2590" s="2">
        <v>14.41</v>
      </c>
      <c r="C2590" s="2">
        <f t="shared" si="40"/>
        <v>3.2442901744056216E-2</v>
      </c>
    </row>
    <row r="2591" spans="1:3" x14ac:dyDescent="0.2">
      <c r="A2591" s="3">
        <v>42173</v>
      </c>
      <c r="B2591" s="2">
        <v>13.95</v>
      </c>
      <c r="C2591" s="2">
        <f t="shared" si="40"/>
        <v>-5.7183858469949085E-3</v>
      </c>
    </row>
    <row r="2592" spans="1:3" x14ac:dyDescent="0.2">
      <c r="A2592" s="3">
        <v>42172</v>
      </c>
      <c r="B2592" s="2">
        <v>14.03</v>
      </c>
      <c r="C2592" s="2">
        <f t="shared" si="40"/>
        <v>-7.809766354057229E-3</v>
      </c>
    </row>
    <row r="2593" spans="1:3" x14ac:dyDescent="0.2">
      <c r="A2593" s="3">
        <v>42171</v>
      </c>
      <c r="B2593" s="2">
        <v>14.14</v>
      </c>
      <c r="C2593" s="2">
        <f t="shared" si="40"/>
        <v>9.2363001195110584E-3</v>
      </c>
    </row>
    <row r="2594" spans="1:3" x14ac:dyDescent="0.2">
      <c r="A2594" s="3">
        <v>42170</v>
      </c>
      <c r="B2594" s="2">
        <v>14.01</v>
      </c>
      <c r="C2594" s="2">
        <f t="shared" si="40"/>
        <v>-2.7456846233039317E-2</v>
      </c>
    </row>
    <row r="2595" spans="1:3" x14ac:dyDescent="0.2">
      <c r="A2595" s="3">
        <v>42167</v>
      </c>
      <c r="B2595" s="2">
        <v>14.4</v>
      </c>
      <c r="C2595" s="2">
        <f t="shared" si="40"/>
        <v>-1.9257816604414533E-2</v>
      </c>
    </row>
    <row r="2596" spans="1:3" x14ac:dyDescent="0.2">
      <c r="A2596" s="3">
        <v>42166</v>
      </c>
      <c r="B2596" s="2">
        <v>14.68</v>
      </c>
      <c r="C2596" s="2">
        <f t="shared" si="40"/>
        <v>2.0456877232931073E-3</v>
      </c>
    </row>
    <row r="2597" spans="1:3" x14ac:dyDescent="0.2">
      <c r="A2597" s="3">
        <v>42165</v>
      </c>
      <c r="B2597" s="2">
        <v>14.65</v>
      </c>
      <c r="C2597" s="2">
        <f t="shared" si="40"/>
        <v>-3.4071583216141975E-3</v>
      </c>
    </row>
    <row r="2598" spans="1:3" x14ac:dyDescent="0.2">
      <c r="A2598" s="3">
        <v>42163</v>
      </c>
      <c r="B2598" s="2">
        <v>14.7</v>
      </c>
      <c r="C2598" s="2">
        <f t="shared" si="40"/>
        <v>-6.7796869853788038E-3</v>
      </c>
    </row>
    <row r="2599" spans="1:3" x14ac:dyDescent="0.2">
      <c r="A2599" s="3">
        <v>42160</v>
      </c>
      <c r="B2599" s="2">
        <v>14.8</v>
      </c>
      <c r="C2599" s="2">
        <f t="shared" si="40"/>
        <v>-2.666824708216118E-2</v>
      </c>
    </row>
    <row r="2600" spans="1:3" x14ac:dyDescent="0.2">
      <c r="A2600" s="3">
        <v>42159</v>
      </c>
      <c r="B2600" s="2">
        <v>15.2</v>
      </c>
      <c r="C2600" s="2">
        <f t="shared" si="40"/>
        <v>-6.5574005461591636E-3</v>
      </c>
    </row>
    <row r="2601" spans="1:3" x14ac:dyDescent="0.2">
      <c r="A2601" s="3">
        <v>42156</v>
      </c>
      <c r="B2601" s="2">
        <v>15.3</v>
      </c>
      <c r="C2601" s="2">
        <f t="shared" si="40"/>
        <v>-1.6850690351855765E-2</v>
      </c>
    </row>
    <row r="2602" spans="1:3" x14ac:dyDescent="0.2">
      <c r="A2602" s="3">
        <v>42153</v>
      </c>
      <c r="B2602" s="2">
        <v>15.56</v>
      </c>
      <c r="C2602" s="2">
        <f t="shared" si="40"/>
        <v>-9.5939335172842231E-3</v>
      </c>
    </row>
    <row r="2603" spans="1:3" x14ac:dyDescent="0.2">
      <c r="A2603" s="3">
        <v>42152</v>
      </c>
      <c r="B2603" s="2">
        <v>15.71</v>
      </c>
      <c r="C2603" s="2">
        <f t="shared" si="40"/>
        <v>2.5493958996004274E-3</v>
      </c>
    </row>
    <row r="2604" spans="1:3" x14ac:dyDescent="0.2">
      <c r="A2604" s="3">
        <v>42151</v>
      </c>
      <c r="B2604" s="2">
        <v>15.67</v>
      </c>
      <c r="C2604" s="2">
        <f t="shared" si="40"/>
        <v>3.1959119563895692E-3</v>
      </c>
    </row>
    <row r="2605" spans="1:3" x14ac:dyDescent="0.2">
      <c r="A2605" s="3">
        <v>42150</v>
      </c>
      <c r="B2605" s="2">
        <v>15.62</v>
      </c>
      <c r="C2605" s="2">
        <f t="shared" si="40"/>
        <v>1.8740451527817201E-2</v>
      </c>
    </row>
    <row r="2606" spans="1:3" x14ac:dyDescent="0.2">
      <c r="A2606" s="3">
        <v>42149</v>
      </c>
      <c r="B2606" s="2">
        <v>15.33</v>
      </c>
      <c r="C2606" s="2">
        <f t="shared" si="40"/>
        <v>-7.1498517129072684E-3</v>
      </c>
    </row>
    <row r="2607" spans="1:3" x14ac:dyDescent="0.2">
      <c r="A2607" s="3">
        <v>42146</v>
      </c>
      <c r="B2607" s="2">
        <v>15.44</v>
      </c>
      <c r="C2607" s="2">
        <f t="shared" si="40"/>
        <v>2.5940351770465278E-3</v>
      </c>
    </row>
    <row r="2608" spans="1:3" x14ac:dyDescent="0.2">
      <c r="A2608" s="3">
        <v>42145</v>
      </c>
      <c r="B2608" s="2">
        <v>15.4</v>
      </c>
      <c r="C2608" s="2">
        <f t="shared" si="40"/>
        <v>1.2414403148381978E-2</v>
      </c>
    </row>
    <row r="2609" spans="1:3" x14ac:dyDescent="0.2">
      <c r="A2609" s="3">
        <v>42144</v>
      </c>
      <c r="B2609" s="2">
        <v>15.21</v>
      </c>
      <c r="C2609" s="2">
        <f t="shared" si="40"/>
        <v>3.9525743158233418E-3</v>
      </c>
    </row>
    <row r="2610" spans="1:3" x14ac:dyDescent="0.2">
      <c r="A2610" s="3">
        <v>42143</v>
      </c>
      <c r="B2610" s="2">
        <v>15.15</v>
      </c>
      <c r="C2610" s="2">
        <f t="shared" si="40"/>
        <v>9.950330853168092E-3</v>
      </c>
    </row>
    <row r="2611" spans="1:3" x14ac:dyDescent="0.2">
      <c r="A2611" s="3">
        <v>42142</v>
      </c>
      <c r="B2611" s="2">
        <v>15</v>
      </c>
      <c r="C2611" s="2">
        <f t="shared" si="40"/>
        <v>8.0321716972642527E-3</v>
      </c>
    </row>
    <row r="2612" spans="1:3" x14ac:dyDescent="0.2">
      <c r="A2612" s="3">
        <v>42138</v>
      </c>
      <c r="B2612" s="2">
        <v>14.88</v>
      </c>
      <c r="C2612" s="2">
        <f t="shared" si="40"/>
        <v>-6.6979486841275814E-3</v>
      </c>
    </row>
    <row r="2613" spans="1:3" x14ac:dyDescent="0.2">
      <c r="A2613" s="3">
        <v>42137</v>
      </c>
      <c r="B2613" s="2">
        <v>14.98</v>
      </c>
      <c r="C2613" s="2">
        <f t="shared" si="40"/>
        <v>2.7751357881959936E-2</v>
      </c>
    </row>
    <row r="2614" spans="1:3" x14ac:dyDescent="0.2">
      <c r="A2614" s="3">
        <v>42136</v>
      </c>
      <c r="B2614" s="2">
        <v>14.57</v>
      </c>
      <c r="C2614" s="2">
        <f t="shared" si="40"/>
        <v>-6.1580762513919118E-3</v>
      </c>
    </row>
    <row r="2615" spans="1:3" x14ac:dyDescent="0.2">
      <c r="A2615" s="3">
        <v>42135</v>
      </c>
      <c r="B2615" s="2">
        <v>14.66</v>
      </c>
      <c r="C2615" s="2">
        <f t="shared" si="40"/>
        <v>-2.0925501973031613E-2</v>
      </c>
    </row>
    <row r="2616" spans="1:3" x14ac:dyDescent="0.2">
      <c r="A2616" s="3">
        <v>42132</v>
      </c>
      <c r="B2616" s="2">
        <v>14.97</v>
      </c>
      <c r="C2616" s="2">
        <f t="shared" si="40"/>
        <v>1.4127379259210709E-2</v>
      </c>
    </row>
    <row r="2617" spans="1:3" x14ac:dyDescent="0.2">
      <c r="A2617" s="3">
        <v>42131</v>
      </c>
      <c r="B2617" s="2">
        <v>14.76</v>
      </c>
      <c r="C2617" s="2">
        <f t="shared" si="40"/>
        <v>1.4329825554824868E-2</v>
      </c>
    </row>
    <row r="2618" spans="1:3" x14ac:dyDescent="0.2">
      <c r="A2618" s="3">
        <v>42130</v>
      </c>
      <c r="B2618" s="2">
        <v>14.55</v>
      </c>
      <c r="C2618" s="2">
        <f t="shared" si="40"/>
        <v>-1.4329825554824855E-2</v>
      </c>
    </row>
    <row r="2619" spans="1:3" x14ac:dyDescent="0.2">
      <c r="A2619" s="3">
        <v>42129</v>
      </c>
      <c r="B2619" s="2">
        <v>14.76</v>
      </c>
      <c r="C2619" s="2">
        <f t="shared" si="40"/>
        <v>-2.1448543407483627E-2</v>
      </c>
    </row>
    <row r="2620" spans="1:3" x14ac:dyDescent="0.2">
      <c r="A2620" s="3">
        <v>42128</v>
      </c>
      <c r="B2620" s="2">
        <v>15.08</v>
      </c>
      <c r="C2620" s="2">
        <f t="shared" si="40"/>
        <v>3.9867162438213827E-3</v>
      </c>
    </row>
    <row r="2621" spans="1:3" x14ac:dyDescent="0.2">
      <c r="A2621" s="3">
        <v>42124</v>
      </c>
      <c r="B2621" s="2">
        <v>15.02</v>
      </c>
      <c r="C2621" s="2">
        <f t="shared" si="40"/>
        <v>3.3344479044516632E-3</v>
      </c>
    </row>
    <row r="2622" spans="1:3" x14ac:dyDescent="0.2">
      <c r="A2622" s="3">
        <v>42123</v>
      </c>
      <c r="B2622" s="2">
        <v>14.97</v>
      </c>
      <c r="C2622" s="2">
        <f t="shared" si="40"/>
        <v>-1.5247229420693679E-2</v>
      </c>
    </row>
    <row r="2623" spans="1:3" x14ac:dyDescent="0.2">
      <c r="A2623" s="3">
        <v>42122</v>
      </c>
      <c r="B2623" s="2">
        <v>15.2</v>
      </c>
      <c r="C2623" s="2">
        <f t="shared" si="40"/>
        <v>-2.2765210773012547E-2</v>
      </c>
    </row>
    <row r="2624" spans="1:3" x14ac:dyDescent="0.2">
      <c r="A2624" s="3">
        <v>42121</v>
      </c>
      <c r="B2624" s="2">
        <v>15.55</v>
      </c>
      <c r="C2624" s="2">
        <f t="shared" si="40"/>
        <v>3.3347320103549551E-2</v>
      </c>
    </row>
    <row r="2625" spans="1:3" x14ac:dyDescent="0.2">
      <c r="A2625" s="3">
        <v>42118</v>
      </c>
      <c r="B2625" s="2">
        <v>15.04</v>
      </c>
      <c r="C2625" s="2">
        <f t="shared" si="40"/>
        <v>-2.6560440581162963E-3</v>
      </c>
    </row>
    <row r="2626" spans="1:3" x14ac:dyDescent="0.2">
      <c r="A2626" s="3">
        <v>42117</v>
      </c>
      <c r="B2626" s="2">
        <v>15.08</v>
      </c>
      <c r="C2626" s="2">
        <f t="shared" si="40"/>
        <v>-1.5136847089782393E-2</v>
      </c>
    </row>
    <row r="2627" spans="1:3" x14ac:dyDescent="0.2">
      <c r="A2627" s="3">
        <v>42116</v>
      </c>
      <c r="B2627" s="2">
        <v>15.31</v>
      </c>
      <c r="C2627" s="2">
        <f t="shared" ref="C2627:C2690" si="41">+LN(B2627/B2628)</f>
        <v>1.5136847089782508E-2</v>
      </c>
    </row>
    <row r="2628" spans="1:3" x14ac:dyDescent="0.2">
      <c r="A2628" s="3">
        <v>42115</v>
      </c>
      <c r="B2628" s="2">
        <v>15.08</v>
      </c>
      <c r="C2628" s="2">
        <f t="shared" si="41"/>
        <v>5.3191614776000266E-3</v>
      </c>
    </row>
    <row r="2629" spans="1:3" x14ac:dyDescent="0.2">
      <c r="A2629" s="3">
        <v>42114</v>
      </c>
      <c r="B2629" s="2">
        <v>15</v>
      </c>
      <c r="C2629" s="2">
        <f t="shared" si="41"/>
        <v>1.8163970627671121E-2</v>
      </c>
    </row>
    <row r="2630" spans="1:3" x14ac:dyDescent="0.2">
      <c r="A2630" s="3">
        <v>42111</v>
      </c>
      <c r="B2630" s="2">
        <v>14.73</v>
      </c>
      <c r="C2630" s="2">
        <f t="shared" si="41"/>
        <v>-2.2819782163865213E-2</v>
      </c>
    </row>
    <row r="2631" spans="1:3" x14ac:dyDescent="0.2">
      <c r="A2631" s="3">
        <v>42110</v>
      </c>
      <c r="B2631" s="2">
        <v>15.07</v>
      </c>
      <c r="C2631" s="2">
        <f t="shared" si="41"/>
        <v>-1.252901321790686E-2</v>
      </c>
    </row>
    <row r="2632" spans="1:3" x14ac:dyDescent="0.2">
      <c r="A2632" s="3">
        <v>42109</v>
      </c>
      <c r="B2632" s="2">
        <v>15.26</v>
      </c>
      <c r="C2632" s="2">
        <f t="shared" si="41"/>
        <v>-3.271183813281473E-3</v>
      </c>
    </row>
    <row r="2633" spans="1:3" x14ac:dyDescent="0.2">
      <c r="A2633" s="3">
        <v>42108</v>
      </c>
      <c r="B2633" s="2">
        <v>15.31</v>
      </c>
      <c r="C2633" s="2">
        <f t="shared" si="41"/>
        <v>-1.8123473400092741E-2</v>
      </c>
    </row>
    <row r="2634" spans="1:3" x14ac:dyDescent="0.2">
      <c r="A2634" s="3">
        <v>42107</v>
      </c>
      <c r="B2634" s="2">
        <v>15.59</v>
      </c>
      <c r="C2634" s="2">
        <f t="shared" si="41"/>
        <v>1.0964314934501682E-2</v>
      </c>
    </row>
    <row r="2635" spans="1:3" x14ac:dyDescent="0.2">
      <c r="A2635" s="3">
        <v>42104</v>
      </c>
      <c r="B2635" s="2">
        <v>15.42</v>
      </c>
      <c r="C2635" s="2">
        <f t="shared" si="41"/>
        <v>1.4369940282952826E-2</v>
      </c>
    </row>
    <row r="2636" spans="1:3" x14ac:dyDescent="0.2">
      <c r="A2636" s="3">
        <v>42103</v>
      </c>
      <c r="B2636" s="2">
        <v>15.2</v>
      </c>
      <c r="C2636" s="2">
        <f t="shared" si="41"/>
        <v>-3.2840752011899961E-3</v>
      </c>
    </row>
    <row r="2637" spans="1:3" x14ac:dyDescent="0.2">
      <c r="A2637" s="3">
        <v>42102</v>
      </c>
      <c r="B2637" s="2">
        <v>15.25</v>
      </c>
      <c r="C2637" s="2">
        <f t="shared" si="41"/>
        <v>5.9191228391949763E-3</v>
      </c>
    </row>
    <row r="2638" spans="1:3" x14ac:dyDescent="0.2">
      <c r="A2638" s="3">
        <v>42101</v>
      </c>
      <c r="B2638" s="2">
        <v>15.16</v>
      </c>
      <c r="C2638" s="2">
        <f t="shared" si="41"/>
        <v>-5.9191228391949798E-3</v>
      </c>
    </row>
    <row r="2639" spans="1:3" x14ac:dyDescent="0.2">
      <c r="A2639" s="3">
        <v>42096</v>
      </c>
      <c r="B2639" s="2">
        <v>15.25</v>
      </c>
      <c r="C2639" s="2">
        <f t="shared" si="41"/>
        <v>9.2227267687723727E-3</v>
      </c>
    </row>
    <row r="2640" spans="1:3" x14ac:dyDescent="0.2">
      <c r="A2640" s="3">
        <v>42095</v>
      </c>
      <c r="B2640" s="2">
        <v>15.11</v>
      </c>
      <c r="C2640" s="2">
        <f t="shared" si="41"/>
        <v>-1.3227515156163984E-3</v>
      </c>
    </row>
    <row r="2641" spans="1:3" x14ac:dyDescent="0.2">
      <c r="A2641" s="3">
        <v>42094</v>
      </c>
      <c r="B2641" s="2">
        <v>15.13</v>
      </c>
      <c r="C2641" s="2">
        <f t="shared" si="41"/>
        <v>5.3015366053798946E-3</v>
      </c>
    </row>
    <row r="2642" spans="1:3" x14ac:dyDescent="0.2">
      <c r="A2642" s="3">
        <v>42093</v>
      </c>
      <c r="B2642" s="2">
        <v>15.05</v>
      </c>
      <c r="C2642" s="2">
        <f t="shared" si="41"/>
        <v>5.391957620873495E-2</v>
      </c>
    </row>
    <row r="2643" spans="1:3" x14ac:dyDescent="0.2">
      <c r="A2643" s="3">
        <v>42090</v>
      </c>
      <c r="B2643" s="2">
        <v>14.26</v>
      </c>
      <c r="C2643" s="2">
        <f t="shared" si="41"/>
        <v>-1.8757062596041641E-2</v>
      </c>
    </row>
    <row r="2644" spans="1:3" x14ac:dyDescent="0.2">
      <c r="A2644" s="3">
        <v>42089</v>
      </c>
      <c r="B2644" s="2">
        <v>14.53</v>
      </c>
      <c r="C2644" s="2">
        <f t="shared" si="41"/>
        <v>2.0668281556626669E-3</v>
      </c>
    </row>
    <row r="2645" spans="1:3" x14ac:dyDescent="0.2">
      <c r="A2645" s="3">
        <v>42088</v>
      </c>
      <c r="B2645" s="2">
        <v>14.5</v>
      </c>
      <c r="C2645" s="2">
        <f t="shared" si="41"/>
        <v>1.3802624689584903E-3</v>
      </c>
    </row>
    <row r="2646" spans="1:3" x14ac:dyDescent="0.2">
      <c r="A2646" s="3">
        <v>42087</v>
      </c>
      <c r="B2646" s="2">
        <v>14.48</v>
      </c>
      <c r="C2646" s="2">
        <f t="shared" si="41"/>
        <v>3.2997026608654771E-2</v>
      </c>
    </row>
    <row r="2647" spans="1:3" x14ac:dyDescent="0.2">
      <c r="A2647" s="3">
        <v>42081</v>
      </c>
      <c r="B2647" s="2">
        <v>14.01</v>
      </c>
      <c r="C2647" s="2">
        <f t="shared" si="41"/>
        <v>8.6022035826632884E-3</v>
      </c>
    </row>
    <row r="2648" spans="1:3" x14ac:dyDescent="0.2">
      <c r="A2648" s="3">
        <v>42080</v>
      </c>
      <c r="B2648" s="2">
        <v>13.89</v>
      </c>
      <c r="C2648" s="2">
        <f t="shared" si="41"/>
        <v>1.2314534468513206E-2</v>
      </c>
    </row>
    <row r="2649" spans="1:3" x14ac:dyDescent="0.2">
      <c r="A2649" s="3">
        <v>42076</v>
      </c>
      <c r="B2649" s="2">
        <v>13.72</v>
      </c>
      <c r="C2649" s="2">
        <f t="shared" si="41"/>
        <v>-5.8139698654198447E-3</v>
      </c>
    </row>
    <row r="2650" spans="1:3" x14ac:dyDescent="0.2">
      <c r="A2650" s="3">
        <v>42075</v>
      </c>
      <c r="B2650" s="2">
        <v>13.8</v>
      </c>
      <c r="C2650" s="2">
        <f t="shared" si="41"/>
        <v>2.17627942259567E-3</v>
      </c>
    </row>
    <row r="2651" spans="1:3" x14ac:dyDescent="0.2">
      <c r="A2651" s="3">
        <v>42074</v>
      </c>
      <c r="B2651" s="2">
        <v>13.77</v>
      </c>
      <c r="C2651" s="2">
        <f t="shared" si="41"/>
        <v>5.09647990648434E-3</v>
      </c>
    </row>
    <row r="2652" spans="1:3" x14ac:dyDescent="0.2">
      <c r="A2652" s="3">
        <v>42073</v>
      </c>
      <c r="B2652" s="2">
        <v>13.7</v>
      </c>
      <c r="C2652" s="2">
        <f t="shared" si="41"/>
        <v>6.5910161707045528E-3</v>
      </c>
    </row>
    <row r="2653" spans="1:3" x14ac:dyDescent="0.2">
      <c r="A2653" s="3">
        <v>42072</v>
      </c>
      <c r="B2653" s="2">
        <v>13.61</v>
      </c>
      <c r="C2653" s="2">
        <f t="shared" si="41"/>
        <v>-1.386377549978441E-2</v>
      </c>
    </row>
    <row r="2654" spans="1:3" x14ac:dyDescent="0.2">
      <c r="A2654" s="3">
        <v>42069</v>
      </c>
      <c r="B2654" s="2">
        <v>13.8</v>
      </c>
      <c r="C2654" s="2">
        <f t="shared" si="41"/>
        <v>1.8282044837449073E-2</v>
      </c>
    </row>
    <row r="2655" spans="1:3" x14ac:dyDescent="0.2">
      <c r="A2655" s="3">
        <v>42068</v>
      </c>
      <c r="B2655" s="2">
        <v>13.55</v>
      </c>
      <c r="C2655" s="2">
        <f t="shared" si="41"/>
        <v>5.1794418415488609E-3</v>
      </c>
    </row>
    <row r="2656" spans="1:3" x14ac:dyDescent="0.2">
      <c r="A2656" s="3">
        <v>42067</v>
      </c>
      <c r="B2656" s="2">
        <v>13.48</v>
      </c>
      <c r="C2656" s="2">
        <f t="shared" si="41"/>
        <v>-5.9171770280885072E-3</v>
      </c>
    </row>
    <row r="2657" spans="1:3" x14ac:dyDescent="0.2">
      <c r="A2657" s="3">
        <v>42066</v>
      </c>
      <c r="B2657" s="2">
        <v>13.56</v>
      </c>
      <c r="C2657" s="2">
        <f t="shared" si="41"/>
        <v>-1.1730339785489716E-2</v>
      </c>
    </row>
    <row r="2658" spans="1:3" x14ac:dyDescent="0.2">
      <c r="A2658" s="3">
        <v>42065</v>
      </c>
      <c r="B2658" s="2">
        <v>13.72</v>
      </c>
      <c r="C2658" s="2">
        <f t="shared" si="41"/>
        <v>1.4684551682921317E-2</v>
      </c>
    </row>
    <row r="2659" spans="1:3" x14ac:dyDescent="0.2">
      <c r="A2659" s="3">
        <v>42062</v>
      </c>
      <c r="B2659" s="2">
        <v>13.52</v>
      </c>
      <c r="C2659" s="2">
        <f t="shared" si="41"/>
        <v>1.4803851704342031E-3</v>
      </c>
    </row>
    <row r="2660" spans="1:3" x14ac:dyDescent="0.2">
      <c r="A2660" s="3">
        <v>42061</v>
      </c>
      <c r="B2660" s="2">
        <v>13.5</v>
      </c>
      <c r="C2660" s="2">
        <f t="shared" si="41"/>
        <v>8.9286307443013982E-3</v>
      </c>
    </row>
    <row r="2661" spans="1:3" x14ac:dyDescent="0.2">
      <c r="A2661" s="3">
        <v>42060</v>
      </c>
      <c r="B2661" s="2">
        <v>13.38</v>
      </c>
      <c r="C2661" s="2">
        <f t="shared" si="41"/>
        <v>-9.6690972720250516E-3</v>
      </c>
    </row>
    <row r="2662" spans="1:3" x14ac:dyDescent="0.2">
      <c r="A2662" s="3">
        <v>42059</v>
      </c>
      <c r="B2662" s="2">
        <v>13.51</v>
      </c>
      <c r="C2662" s="2">
        <f t="shared" si="41"/>
        <v>4.4510459242595229E-3</v>
      </c>
    </row>
    <row r="2663" spans="1:3" x14ac:dyDescent="0.2">
      <c r="A2663" s="3">
        <v>42058</v>
      </c>
      <c r="B2663" s="2">
        <v>13.45</v>
      </c>
      <c r="C2663" s="2">
        <f t="shared" si="41"/>
        <v>-2.2279994363129116E-3</v>
      </c>
    </row>
    <row r="2664" spans="1:3" x14ac:dyDescent="0.2">
      <c r="A2664" s="3">
        <v>42055</v>
      </c>
      <c r="B2664" s="2">
        <v>13.48</v>
      </c>
      <c r="C2664" s="2">
        <f t="shared" si="41"/>
        <v>4.4609739406252661E-3</v>
      </c>
    </row>
    <row r="2665" spans="1:3" x14ac:dyDescent="0.2">
      <c r="A2665" s="3">
        <v>42054</v>
      </c>
      <c r="B2665" s="2">
        <v>13.42</v>
      </c>
      <c r="C2665" s="2">
        <f t="shared" si="41"/>
        <v>2.032437291976211E-2</v>
      </c>
    </row>
    <row r="2666" spans="1:3" x14ac:dyDescent="0.2">
      <c r="A2666" s="3">
        <v>42053</v>
      </c>
      <c r="B2666" s="2">
        <v>13.15</v>
      </c>
      <c r="C2666" s="2">
        <f t="shared" si="41"/>
        <v>5.3374125947209753E-3</v>
      </c>
    </row>
    <row r="2667" spans="1:3" x14ac:dyDescent="0.2">
      <c r="A2667" s="3">
        <v>42052</v>
      </c>
      <c r="B2667" s="2">
        <v>13.08</v>
      </c>
      <c r="C2667" s="2">
        <f t="shared" si="41"/>
        <v>2.4769068112408948E-2</v>
      </c>
    </row>
    <row r="2668" spans="1:3" x14ac:dyDescent="0.2">
      <c r="A2668" s="3">
        <v>42051</v>
      </c>
      <c r="B2668" s="2">
        <v>12.76</v>
      </c>
      <c r="C2668" s="2">
        <f t="shared" si="41"/>
        <v>7.8678612006137377E-3</v>
      </c>
    </row>
    <row r="2669" spans="1:3" x14ac:dyDescent="0.2">
      <c r="A2669" s="3">
        <v>42048</v>
      </c>
      <c r="B2669" s="2">
        <v>12.66</v>
      </c>
      <c r="C2669" s="2">
        <f t="shared" si="41"/>
        <v>-2.8039220064393047E-2</v>
      </c>
    </row>
    <row r="2670" spans="1:3" x14ac:dyDescent="0.2">
      <c r="A2670" s="3">
        <v>42046</v>
      </c>
      <c r="B2670" s="2">
        <v>13.02</v>
      </c>
      <c r="C2670" s="2">
        <f t="shared" si="41"/>
        <v>1.5372793188863979E-3</v>
      </c>
    </row>
    <row r="2671" spans="1:3" x14ac:dyDescent="0.2">
      <c r="A2671" s="3">
        <v>42045</v>
      </c>
      <c r="B2671" s="2">
        <v>13</v>
      </c>
      <c r="C2671" s="2">
        <f t="shared" si="41"/>
        <v>2.8082968742825305E-2</v>
      </c>
    </row>
    <row r="2672" spans="1:3" x14ac:dyDescent="0.2">
      <c r="A2672" s="3">
        <v>42044</v>
      </c>
      <c r="B2672" s="2">
        <v>12.64</v>
      </c>
      <c r="C2672" s="2">
        <f t="shared" si="41"/>
        <v>-9.4488891979323964E-3</v>
      </c>
    </row>
    <row r="2673" spans="1:3" x14ac:dyDescent="0.2">
      <c r="A2673" s="3">
        <v>42041</v>
      </c>
      <c r="B2673" s="2">
        <v>12.76</v>
      </c>
      <c r="C2673" s="2">
        <f t="shared" si="41"/>
        <v>7.8400631220862209E-4</v>
      </c>
    </row>
    <row r="2674" spans="1:3" x14ac:dyDescent="0.2">
      <c r="A2674" s="3">
        <v>42040</v>
      </c>
      <c r="B2674" s="2">
        <v>12.75</v>
      </c>
      <c r="C2674" s="2">
        <f t="shared" si="41"/>
        <v>2.2205511912490126E-2</v>
      </c>
    </row>
    <row r="2675" spans="1:3" x14ac:dyDescent="0.2">
      <c r="A2675" s="3">
        <v>42039</v>
      </c>
      <c r="B2675" s="2">
        <v>12.47</v>
      </c>
      <c r="C2675" s="2">
        <f t="shared" si="41"/>
        <v>-6.3949058858477599E-3</v>
      </c>
    </row>
    <row r="2676" spans="1:3" x14ac:dyDescent="0.2">
      <c r="A2676" s="3">
        <v>42038</v>
      </c>
      <c r="B2676" s="2">
        <v>12.55</v>
      </c>
      <c r="C2676" s="2">
        <f t="shared" si="41"/>
        <v>4.7923414403067072E-3</v>
      </c>
    </row>
    <row r="2677" spans="1:3" x14ac:dyDescent="0.2">
      <c r="A2677" s="3">
        <v>42037</v>
      </c>
      <c r="B2677" s="2">
        <v>12.49</v>
      </c>
      <c r="C2677" s="2">
        <f t="shared" si="41"/>
        <v>-9.561825839341849E-3</v>
      </c>
    </row>
    <row r="2678" spans="1:3" x14ac:dyDescent="0.2">
      <c r="A2678" s="3">
        <v>42034</v>
      </c>
      <c r="B2678" s="2">
        <v>12.61</v>
      </c>
      <c r="C2678" s="2">
        <f t="shared" si="41"/>
        <v>7.9333601939587408E-4</v>
      </c>
    </row>
    <row r="2679" spans="1:3" x14ac:dyDescent="0.2">
      <c r="A2679" s="3">
        <v>42033</v>
      </c>
      <c r="B2679" s="2">
        <v>12.6</v>
      </c>
      <c r="C2679" s="2">
        <f t="shared" si="41"/>
        <v>-3.9604012160970167E-3</v>
      </c>
    </row>
    <row r="2680" spans="1:3" x14ac:dyDescent="0.2">
      <c r="A2680" s="3">
        <v>42032</v>
      </c>
      <c r="B2680" s="2">
        <v>12.65</v>
      </c>
      <c r="C2680" s="2">
        <f t="shared" si="41"/>
        <v>1.3529852232247697E-2</v>
      </c>
    </row>
    <row r="2681" spans="1:3" x14ac:dyDescent="0.2">
      <c r="A2681" s="3">
        <v>42031</v>
      </c>
      <c r="B2681" s="2">
        <v>12.48</v>
      </c>
      <c r="C2681" s="2">
        <f t="shared" si="41"/>
        <v>-9.5694510161506725E-3</v>
      </c>
    </row>
    <row r="2682" spans="1:3" x14ac:dyDescent="0.2">
      <c r="A2682" s="3">
        <v>42030</v>
      </c>
      <c r="B2682" s="2">
        <v>12.6</v>
      </c>
      <c r="C2682" s="2">
        <f t="shared" si="41"/>
        <v>2.0040750883446191E-2</v>
      </c>
    </row>
    <row r="2683" spans="1:3" x14ac:dyDescent="0.2">
      <c r="A2683" s="3">
        <v>42027</v>
      </c>
      <c r="B2683" s="2">
        <v>12.35</v>
      </c>
      <c r="C2683" s="2">
        <f t="shared" si="41"/>
        <v>3.2924784696466612E-2</v>
      </c>
    </row>
    <row r="2684" spans="1:3" x14ac:dyDescent="0.2">
      <c r="A2684" s="3">
        <v>42024</v>
      </c>
      <c r="B2684" s="2">
        <v>11.95</v>
      </c>
      <c r="C2684" s="2">
        <f t="shared" si="41"/>
        <v>1.7729463977569242E-2</v>
      </c>
    </row>
    <row r="2685" spans="1:3" x14ac:dyDescent="0.2">
      <c r="A2685" s="3">
        <v>42023</v>
      </c>
      <c r="B2685" s="2">
        <v>11.74</v>
      </c>
      <c r="C2685" s="2">
        <f t="shared" si="41"/>
        <v>-8.5142619021751282E-4</v>
      </c>
    </row>
    <row r="2686" spans="1:3" x14ac:dyDescent="0.2">
      <c r="A2686" s="3">
        <v>42019</v>
      </c>
      <c r="B2686" s="2">
        <v>11.75</v>
      </c>
      <c r="C2686" s="2">
        <f t="shared" si="41"/>
        <v>3.4100629805419642E-3</v>
      </c>
    </row>
    <row r="2687" spans="1:3" x14ac:dyDescent="0.2">
      <c r="A2687" s="3">
        <v>42018</v>
      </c>
      <c r="B2687" s="2">
        <v>11.71</v>
      </c>
      <c r="C2687" s="2">
        <f t="shared" si="41"/>
        <v>-2.0288100767893572E-2</v>
      </c>
    </row>
    <row r="2688" spans="1:3" x14ac:dyDescent="0.2">
      <c r="A2688" s="3">
        <v>42017</v>
      </c>
      <c r="B2688" s="2">
        <v>11.95</v>
      </c>
      <c r="C2688" s="2">
        <f t="shared" si="41"/>
        <v>5.0335676748291232E-3</v>
      </c>
    </row>
    <row r="2689" spans="1:3" x14ac:dyDescent="0.2">
      <c r="A2689" s="3">
        <v>42016</v>
      </c>
      <c r="B2689" s="2">
        <v>11.89</v>
      </c>
      <c r="C2689" s="2">
        <f t="shared" si="41"/>
        <v>1.0143789430505255E-2</v>
      </c>
    </row>
    <row r="2690" spans="1:3" x14ac:dyDescent="0.2">
      <c r="A2690" s="3">
        <v>42013</v>
      </c>
      <c r="B2690" s="2">
        <v>11.77</v>
      </c>
      <c r="C2690" s="2">
        <f t="shared" si="41"/>
        <v>1.7006806820172508E-3</v>
      </c>
    </row>
    <row r="2691" spans="1:3" x14ac:dyDescent="0.2">
      <c r="A2691" s="3">
        <v>42012</v>
      </c>
      <c r="B2691" s="2">
        <v>11.75</v>
      </c>
      <c r="C2691" s="2">
        <f t="shared" ref="C2691:C2754" si="42">+LN(B2691/B2692)</f>
        <v>2.4990529303574337E-2</v>
      </c>
    </row>
    <row r="2692" spans="1:3" x14ac:dyDescent="0.2">
      <c r="A2692" s="3">
        <v>42011</v>
      </c>
      <c r="B2692" s="2">
        <v>11.46</v>
      </c>
      <c r="C2692" s="2">
        <f t="shared" si="42"/>
        <v>-1.9015266113487399E-2</v>
      </c>
    </row>
    <row r="2693" spans="1:3" x14ac:dyDescent="0.2">
      <c r="A2693" s="3">
        <v>42010</v>
      </c>
      <c r="B2693" s="2">
        <v>11.68</v>
      </c>
      <c r="C2693" s="2">
        <f t="shared" si="42"/>
        <v>-1.4449890181059195E-2</v>
      </c>
    </row>
    <row r="2694" spans="1:3" x14ac:dyDescent="0.2">
      <c r="A2694" s="3">
        <v>42009</v>
      </c>
      <c r="B2694" s="2">
        <v>11.85</v>
      </c>
      <c r="C2694" s="2">
        <f t="shared" si="42"/>
        <v>1.7021687569430524E-2</v>
      </c>
    </row>
    <row r="2695" spans="1:3" x14ac:dyDescent="0.2">
      <c r="A2695" s="3">
        <v>42003</v>
      </c>
      <c r="B2695" s="2">
        <v>11.65</v>
      </c>
      <c r="C2695" s="2">
        <f t="shared" si="42"/>
        <v>-8.5470605784584083E-3</v>
      </c>
    </row>
    <row r="2696" spans="1:3" x14ac:dyDescent="0.2">
      <c r="A2696" s="3">
        <v>42002</v>
      </c>
      <c r="B2696" s="2">
        <v>11.75</v>
      </c>
      <c r="C2696" s="2">
        <f t="shared" si="42"/>
        <v>1.8900906309200365E-2</v>
      </c>
    </row>
    <row r="2697" spans="1:3" x14ac:dyDescent="0.2">
      <c r="A2697" s="3">
        <v>41996</v>
      </c>
      <c r="B2697" s="2">
        <v>11.53</v>
      </c>
      <c r="C2697" s="2">
        <f t="shared" si="42"/>
        <v>7.8363483293158696E-3</v>
      </c>
    </row>
    <row r="2698" spans="1:3" x14ac:dyDescent="0.2">
      <c r="A2698" s="3">
        <v>41995</v>
      </c>
      <c r="B2698" s="2">
        <v>11.44</v>
      </c>
      <c r="C2698" s="2">
        <f t="shared" si="42"/>
        <v>1.3198607790081125E-2</v>
      </c>
    </row>
    <row r="2699" spans="1:3" x14ac:dyDescent="0.2">
      <c r="A2699" s="3">
        <v>41992</v>
      </c>
      <c r="B2699" s="2">
        <v>11.29</v>
      </c>
      <c r="C2699" s="2">
        <f t="shared" si="42"/>
        <v>1.2477880255442832E-2</v>
      </c>
    </row>
    <row r="2700" spans="1:3" x14ac:dyDescent="0.2">
      <c r="A2700" s="3">
        <v>41991</v>
      </c>
      <c r="B2700" s="2">
        <v>11.15</v>
      </c>
      <c r="C2700" s="2">
        <f t="shared" si="42"/>
        <v>2.0843527589368926E-2</v>
      </c>
    </row>
    <row r="2701" spans="1:3" x14ac:dyDescent="0.2">
      <c r="A2701" s="3">
        <v>41990</v>
      </c>
      <c r="B2701" s="2">
        <v>10.92</v>
      </c>
      <c r="C2701" s="2">
        <f t="shared" si="42"/>
        <v>-8.2079804178296217E-3</v>
      </c>
    </row>
    <row r="2702" spans="1:3" x14ac:dyDescent="0.2">
      <c r="A2702" s="3">
        <v>41989</v>
      </c>
      <c r="B2702" s="2">
        <v>11.01</v>
      </c>
      <c r="C2702" s="2">
        <f t="shared" si="42"/>
        <v>5.5076914409367649E-2</v>
      </c>
    </row>
    <row r="2703" spans="1:3" x14ac:dyDescent="0.2">
      <c r="A2703" s="3">
        <v>41988</v>
      </c>
      <c r="B2703" s="2">
        <v>10.42</v>
      </c>
      <c r="C2703" s="2">
        <f t="shared" si="42"/>
        <v>-3.7669237093114628E-2</v>
      </c>
    </row>
    <row r="2704" spans="1:3" x14ac:dyDescent="0.2">
      <c r="A2704" s="3">
        <v>41985</v>
      </c>
      <c r="B2704" s="2">
        <v>10.82</v>
      </c>
      <c r="C2704" s="2">
        <f t="shared" si="42"/>
        <v>-3.6900410874537957E-3</v>
      </c>
    </row>
    <row r="2705" spans="1:3" x14ac:dyDescent="0.2">
      <c r="A2705" s="3">
        <v>41984</v>
      </c>
      <c r="B2705" s="2">
        <v>10.86</v>
      </c>
      <c r="C2705" s="2">
        <f t="shared" si="42"/>
        <v>-2.8145298575320037E-2</v>
      </c>
    </row>
    <row r="2706" spans="1:3" x14ac:dyDescent="0.2">
      <c r="A2706" s="3">
        <v>41983</v>
      </c>
      <c r="B2706" s="2">
        <v>11.17</v>
      </c>
      <c r="C2706" s="2">
        <f t="shared" si="42"/>
        <v>-6.2472313844357391E-3</v>
      </c>
    </row>
    <row r="2707" spans="1:3" x14ac:dyDescent="0.2">
      <c r="A2707" s="3">
        <v>41982</v>
      </c>
      <c r="B2707" s="2">
        <v>11.24</v>
      </c>
      <c r="C2707" s="2">
        <f t="shared" si="42"/>
        <v>-1.763714148610673E-2</v>
      </c>
    </row>
    <row r="2708" spans="1:3" x14ac:dyDescent="0.2">
      <c r="A2708" s="3">
        <v>41981</v>
      </c>
      <c r="B2708" s="2">
        <v>11.44</v>
      </c>
      <c r="C2708" s="2">
        <f t="shared" si="42"/>
        <v>1.7497817237875507E-3</v>
      </c>
    </row>
    <row r="2709" spans="1:3" x14ac:dyDescent="0.2">
      <c r="A2709" s="3">
        <v>41978</v>
      </c>
      <c r="B2709" s="2">
        <v>11.42</v>
      </c>
      <c r="C2709" s="2">
        <f t="shared" si="42"/>
        <v>1.1448826066293685E-2</v>
      </c>
    </row>
    <row r="2710" spans="1:3" x14ac:dyDescent="0.2">
      <c r="A2710" s="3">
        <v>41977</v>
      </c>
      <c r="B2710" s="2">
        <v>11.29</v>
      </c>
      <c r="C2710" s="2">
        <f t="shared" si="42"/>
        <v>4.4385336960256466E-3</v>
      </c>
    </row>
    <row r="2711" spans="1:3" x14ac:dyDescent="0.2">
      <c r="A2711" s="3">
        <v>41976</v>
      </c>
      <c r="B2711" s="2">
        <v>11.24</v>
      </c>
      <c r="C2711" s="2">
        <f t="shared" si="42"/>
        <v>2.0674893730956396E-2</v>
      </c>
    </row>
    <row r="2712" spans="1:3" x14ac:dyDescent="0.2">
      <c r="A2712" s="3">
        <v>41975</v>
      </c>
      <c r="B2712" s="2">
        <v>11.01</v>
      </c>
      <c r="C2712" s="2">
        <f t="shared" si="42"/>
        <v>2.2968396000950284E-2</v>
      </c>
    </row>
    <row r="2713" spans="1:3" x14ac:dyDescent="0.2">
      <c r="A2713" s="3">
        <v>41974</v>
      </c>
      <c r="B2713" s="2">
        <v>10.76</v>
      </c>
      <c r="C2713" s="2">
        <f t="shared" si="42"/>
        <v>-2.2968396000950242E-2</v>
      </c>
    </row>
    <row r="2714" spans="1:3" x14ac:dyDescent="0.2">
      <c r="A2714" s="3">
        <v>41971</v>
      </c>
      <c r="B2714" s="2">
        <v>11.01</v>
      </c>
      <c r="C2714" s="2">
        <f t="shared" si="42"/>
        <v>9.0867793621811225E-4</v>
      </c>
    </row>
    <row r="2715" spans="1:3" x14ac:dyDescent="0.2">
      <c r="A2715" s="3">
        <v>41970</v>
      </c>
      <c r="B2715" s="2">
        <v>11</v>
      </c>
      <c r="C2715" s="2">
        <f t="shared" si="42"/>
        <v>6.3839706099233133E-3</v>
      </c>
    </row>
    <row r="2716" spans="1:3" x14ac:dyDescent="0.2">
      <c r="A2716" s="3">
        <v>41969</v>
      </c>
      <c r="B2716" s="2">
        <v>10.93</v>
      </c>
      <c r="C2716" s="2">
        <f t="shared" si="42"/>
        <v>1.1965168058272996E-2</v>
      </c>
    </row>
    <row r="2717" spans="1:3" x14ac:dyDescent="0.2">
      <c r="A2717" s="3">
        <v>41968</v>
      </c>
      <c r="B2717" s="2">
        <v>10.8</v>
      </c>
      <c r="C2717" s="2">
        <f t="shared" si="42"/>
        <v>2.7816429618769921E-3</v>
      </c>
    </row>
    <row r="2718" spans="1:3" x14ac:dyDescent="0.2">
      <c r="A2718" s="3">
        <v>41967</v>
      </c>
      <c r="B2718" s="2">
        <v>10.77</v>
      </c>
      <c r="C2718" s="2">
        <f t="shared" si="42"/>
        <v>-2.781642961876914E-3</v>
      </c>
    </row>
    <row r="2719" spans="1:3" x14ac:dyDescent="0.2">
      <c r="A2719" s="3">
        <v>41964</v>
      </c>
      <c r="B2719" s="2">
        <v>10.8</v>
      </c>
      <c r="C2719" s="2">
        <f t="shared" si="42"/>
        <v>9.3023926623136306E-3</v>
      </c>
    </row>
    <row r="2720" spans="1:3" x14ac:dyDescent="0.2">
      <c r="A2720" s="3">
        <v>41963</v>
      </c>
      <c r="B2720" s="2">
        <v>10.7</v>
      </c>
      <c r="C2720" s="2">
        <f t="shared" si="42"/>
        <v>-6.5207497004367574E-3</v>
      </c>
    </row>
    <row r="2721" spans="1:3" x14ac:dyDescent="0.2">
      <c r="A2721" s="3">
        <v>41962</v>
      </c>
      <c r="B2721" s="2">
        <v>10.77</v>
      </c>
      <c r="C2721" s="2">
        <f t="shared" si="42"/>
        <v>1.2144007254798713E-2</v>
      </c>
    </row>
    <row r="2722" spans="1:3" x14ac:dyDescent="0.2">
      <c r="A2722" s="3">
        <v>41961</v>
      </c>
      <c r="B2722" s="2">
        <v>10.64</v>
      </c>
      <c r="C2722" s="2">
        <f t="shared" si="42"/>
        <v>1.4198061505292448E-2</v>
      </c>
    </row>
    <row r="2723" spans="1:3" x14ac:dyDescent="0.2">
      <c r="A2723" s="3">
        <v>41960</v>
      </c>
      <c r="B2723" s="2">
        <v>10.49</v>
      </c>
      <c r="C2723" s="2">
        <f t="shared" si="42"/>
        <v>-9.4877372051093024E-3</v>
      </c>
    </row>
    <row r="2724" spans="1:3" x14ac:dyDescent="0.2">
      <c r="A2724" s="3">
        <v>41957</v>
      </c>
      <c r="B2724" s="2">
        <v>10.59</v>
      </c>
      <c r="C2724" s="2">
        <f t="shared" si="42"/>
        <v>7.5829747244553205E-3</v>
      </c>
    </row>
    <row r="2725" spans="1:3" x14ac:dyDescent="0.2">
      <c r="A2725" s="3">
        <v>41956</v>
      </c>
      <c r="B2725" s="2">
        <v>10.51</v>
      </c>
      <c r="C2725" s="2">
        <f t="shared" si="42"/>
        <v>7.6409158761787943E-3</v>
      </c>
    </row>
    <row r="2726" spans="1:3" x14ac:dyDescent="0.2">
      <c r="A2726" s="3">
        <v>41955</v>
      </c>
      <c r="B2726" s="2">
        <v>10.43</v>
      </c>
      <c r="C2726" s="2">
        <f t="shared" si="42"/>
        <v>-3.8277558697645494E-3</v>
      </c>
    </row>
    <row r="2727" spans="1:3" x14ac:dyDescent="0.2">
      <c r="A2727" s="3">
        <v>41954</v>
      </c>
      <c r="B2727" s="2">
        <v>10.47</v>
      </c>
      <c r="C2727" s="2">
        <f t="shared" si="42"/>
        <v>-2.8612322810321234E-3</v>
      </c>
    </row>
    <row r="2728" spans="1:3" x14ac:dyDescent="0.2">
      <c r="A2728" s="3">
        <v>41950</v>
      </c>
      <c r="B2728" s="2">
        <v>10.5</v>
      </c>
      <c r="C2728" s="2">
        <f t="shared" si="42"/>
        <v>-7.5901692666755964E-3</v>
      </c>
    </row>
    <row r="2729" spans="1:3" x14ac:dyDescent="0.2">
      <c r="A2729" s="3">
        <v>41949</v>
      </c>
      <c r="B2729" s="2">
        <v>10.58</v>
      </c>
      <c r="C2729" s="2">
        <f t="shared" si="42"/>
        <v>1.236344801933331E-2</v>
      </c>
    </row>
    <row r="2730" spans="1:3" x14ac:dyDescent="0.2">
      <c r="A2730" s="3">
        <v>41948</v>
      </c>
      <c r="B2730" s="2">
        <v>10.45</v>
      </c>
      <c r="C2730" s="2">
        <f t="shared" si="42"/>
        <v>1.8349138668196398E-2</v>
      </c>
    </row>
    <row r="2731" spans="1:3" x14ac:dyDescent="0.2">
      <c r="A2731" s="3">
        <v>41947</v>
      </c>
      <c r="B2731" s="2">
        <v>10.26</v>
      </c>
      <c r="C2731" s="2">
        <f t="shared" si="42"/>
        <v>-9.6993970887135055E-3</v>
      </c>
    </row>
    <row r="2732" spans="1:3" x14ac:dyDescent="0.2">
      <c r="A2732" s="3">
        <v>41946</v>
      </c>
      <c r="B2732" s="2">
        <v>10.36</v>
      </c>
      <c r="C2732" s="2">
        <f t="shared" si="42"/>
        <v>-3.8535693159900777E-3</v>
      </c>
    </row>
    <row r="2733" spans="1:3" x14ac:dyDescent="0.2">
      <c r="A2733" s="3">
        <v>41943</v>
      </c>
      <c r="B2733" s="2">
        <v>10.4</v>
      </c>
      <c r="C2733" s="2">
        <f t="shared" si="42"/>
        <v>1.2578782206860185E-2</v>
      </c>
    </row>
    <row r="2734" spans="1:3" x14ac:dyDescent="0.2">
      <c r="A2734" s="3">
        <v>41942</v>
      </c>
      <c r="B2734" s="2">
        <v>10.27</v>
      </c>
      <c r="C2734" s="2">
        <f t="shared" si="42"/>
        <v>1.6691600093253111E-2</v>
      </c>
    </row>
    <row r="2735" spans="1:3" x14ac:dyDescent="0.2">
      <c r="A2735" s="3">
        <v>41941</v>
      </c>
      <c r="B2735" s="2">
        <v>10.1</v>
      </c>
      <c r="C2735" s="2">
        <f t="shared" si="42"/>
        <v>1.9495743696699621E-2</v>
      </c>
    </row>
    <row r="2736" spans="1:3" x14ac:dyDescent="0.2">
      <c r="A2736" s="3">
        <v>41940</v>
      </c>
      <c r="B2736" s="2">
        <v>9.9049999999999994</v>
      </c>
      <c r="C2736" s="2">
        <f t="shared" si="42"/>
        <v>7.0922283094916163E-3</v>
      </c>
    </row>
    <row r="2737" spans="1:3" x14ac:dyDescent="0.2">
      <c r="A2737" s="3">
        <v>41939</v>
      </c>
      <c r="B2737" s="2">
        <v>9.8350000000000009</v>
      </c>
      <c r="C2737" s="2">
        <f t="shared" si="42"/>
        <v>-1.5240033429750029E-3</v>
      </c>
    </row>
    <row r="2738" spans="1:3" x14ac:dyDescent="0.2">
      <c r="A2738" s="3">
        <v>41936</v>
      </c>
      <c r="B2738" s="2">
        <v>9.85</v>
      </c>
      <c r="C2738" s="2">
        <f t="shared" si="42"/>
        <v>1.3285836711649719E-2</v>
      </c>
    </row>
    <row r="2739" spans="1:3" x14ac:dyDescent="0.2">
      <c r="A2739" s="3">
        <v>41934</v>
      </c>
      <c r="B2739" s="2">
        <v>9.7200000000000006</v>
      </c>
      <c r="C2739" s="2">
        <f t="shared" si="42"/>
        <v>-1.328583671164971E-2</v>
      </c>
    </row>
    <row r="2740" spans="1:3" x14ac:dyDescent="0.2">
      <c r="A2740" s="3">
        <v>41933</v>
      </c>
      <c r="B2740" s="2">
        <v>9.85</v>
      </c>
      <c r="C2740" s="2">
        <f t="shared" si="42"/>
        <v>5.2095111883401872E-2</v>
      </c>
    </row>
    <row r="2741" spans="1:3" x14ac:dyDescent="0.2">
      <c r="A2741" s="3">
        <v>41929</v>
      </c>
      <c r="B2741" s="2">
        <v>9.35</v>
      </c>
      <c r="C2741" s="2">
        <f t="shared" si="42"/>
        <v>1.6172859245600968E-2</v>
      </c>
    </row>
    <row r="2742" spans="1:3" x14ac:dyDescent="0.2">
      <c r="A2742" s="3">
        <v>41928</v>
      </c>
      <c r="B2742" s="2">
        <v>9.1999999999999993</v>
      </c>
      <c r="C2742" s="2">
        <f t="shared" si="42"/>
        <v>1.0875476873989189E-3</v>
      </c>
    </row>
    <row r="2743" spans="1:3" x14ac:dyDescent="0.2">
      <c r="A2743" s="3">
        <v>41927</v>
      </c>
      <c r="B2743" s="2">
        <v>9.19</v>
      </c>
      <c r="C2743" s="2">
        <f t="shared" si="42"/>
        <v>-2.5780160277770414E-2</v>
      </c>
    </row>
    <row r="2744" spans="1:3" x14ac:dyDescent="0.2">
      <c r="A2744" s="3">
        <v>41926</v>
      </c>
      <c r="B2744" s="2">
        <v>9.43</v>
      </c>
      <c r="C2744" s="2">
        <f t="shared" si="42"/>
        <v>4.2790172601174216E-2</v>
      </c>
    </row>
    <row r="2745" spans="1:3" x14ac:dyDescent="0.2">
      <c r="A2745" s="3">
        <v>41925</v>
      </c>
      <c r="B2745" s="2">
        <v>9.0350000000000001</v>
      </c>
      <c r="C2745" s="2">
        <f t="shared" si="42"/>
        <v>-3.5339366445308738E-2</v>
      </c>
    </row>
    <row r="2746" spans="1:3" x14ac:dyDescent="0.2">
      <c r="A2746" s="3">
        <v>41922</v>
      </c>
      <c r="B2746" s="2">
        <v>9.36</v>
      </c>
      <c r="C2746" s="2">
        <f t="shared" si="42"/>
        <v>-1.6012813669738792E-3</v>
      </c>
    </row>
    <row r="2747" spans="1:3" x14ac:dyDescent="0.2">
      <c r="A2747" s="3">
        <v>41921</v>
      </c>
      <c r="B2747" s="2">
        <v>9.375</v>
      </c>
      <c r="C2747" s="2">
        <f t="shared" si="42"/>
        <v>-2.0586633608388433E-2</v>
      </c>
    </row>
    <row r="2748" spans="1:3" x14ac:dyDescent="0.2">
      <c r="A2748" s="3">
        <v>41920</v>
      </c>
      <c r="B2748" s="2">
        <v>9.57</v>
      </c>
      <c r="C2748" s="2">
        <f t="shared" si="42"/>
        <v>-1.0395104000340077E-2</v>
      </c>
    </row>
    <row r="2749" spans="1:3" x14ac:dyDescent="0.2">
      <c r="A2749" s="3">
        <v>41919</v>
      </c>
      <c r="B2749" s="2">
        <v>9.67</v>
      </c>
      <c r="C2749" s="2">
        <f t="shared" si="42"/>
        <v>-1.3354076211323326E-2</v>
      </c>
    </row>
    <row r="2750" spans="1:3" x14ac:dyDescent="0.2">
      <c r="A2750" s="3">
        <v>41918</v>
      </c>
      <c r="B2750" s="2">
        <v>9.8000000000000007</v>
      </c>
      <c r="C2750" s="2">
        <f t="shared" si="42"/>
        <v>-3.2131278182793065E-2</v>
      </c>
    </row>
    <row r="2751" spans="1:3" x14ac:dyDescent="0.2">
      <c r="A2751" s="3">
        <v>41915</v>
      </c>
      <c r="B2751" s="2">
        <v>10.119999999999999</v>
      </c>
      <c r="C2751" s="2">
        <f t="shared" si="42"/>
        <v>4.4968424943473792E-2</v>
      </c>
    </row>
    <row r="2752" spans="1:3" x14ac:dyDescent="0.2">
      <c r="A2752" s="3">
        <v>41914</v>
      </c>
      <c r="B2752" s="2">
        <v>9.6750000000000007</v>
      </c>
      <c r="C2752" s="2">
        <f t="shared" si="42"/>
        <v>-3.6035363057998496E-2</v>
      </c>
    </row>
    <row r="2753" spans="1:3" x14ac:dyDescent="0.2">
      <c r="A2753" s="3">
        <v>41913</v>
      </c>
      <c r="B2753" s="2">
        <v>10.029999999999999</v>
      </c>
      <c r="C2753" s="2">
        <f t="shared" si="42"/>
        <v>9.5167259700639131E-3</v>
      </c>
    </row>
    <row r="2754" spans="1:3" x14ac:dyDescent="0.2">
      <c r="A2754" s="3">
        <v>41912</v>
      </c>
      <c r="B2754" s="2">
        <v>9.9350000000000005</v>
      </c>
      <c r="C2754" s="2">
        <f t="shared" si="42"/>
        <v>1.1642753637405752E-2</v>
      </c>
    </row>
    <row r="2755" spans="1:3" x14ac:dyDescent="0.2">
      <c r="A2755" s="3">
        <v>41911</v>
      </c>
      <c r="B2755" s="2">
        <v>9.82</v>
      </c>
      <c r="C2755" s="2">
        <f t="shared" ref="C2755:C2818" si="43">+LN(B2755/B2756)</f>
        <v>2.0387366898483089E-3</v>
      </c>
    </row>
    <row r="2756" spans="1:3" x14ac:dyDescent="0.2">
      <c r="A2756" s="3">
        <v>41907</v>
      </c>
      <c r="B2756" s="2">
        <v>9.8000000000000007</v>
      </c>
      <c r="C2756" s="2">
        <f t="shared" si="43"/>
        <v>-3.9024461558107112E-2</v>
      </c>
    </row>
    <row r="2757" spans="1:3" x14ac:dyDescent="0.2">
      <c r="A2757" s="3">
        <v>41906</v>
      </c>
      <c r="B2757" s="2">
        <v>10.19</v>
      </c>
      <c r="C2757" s="2">
        <f t="shared" si="43"/>
        <v>1.9646371741648158E-3</v>
      </c>
    </row>
    <row r="2758" spans="1:3" x14ac:dyDescent="0.2">
      <c r="A2758" s="3">
        <v>41905</v>
      </c>
      <c r="B2758" s="2">
        <v>10.17</v>
      </c>
      <c r="C2758" s="2">
        <f t="shared" si="43"/>
        <v>1.0875045388875409E-2</v>
      </c>
    </row>
    <row r="2759" spans="1:3" x14ac:dyDescent="0.2">
      <c r="A2759" s="3">
        <v>41904</v>
      </c>
      <c r="B2759" s="2">
        <v>10.06</v>
      </c>
      <c r="C2759" s="2">
        <f t="shared" si="43"/>
        <v>-1.3820555618632087E-2</v>
      </c>
    </row>
    <row r="2760" spans="1:3" x14ac:dyDescent="0.2">
      <c r="A2760" s="3">
        <v>41900</v>
      </c>
      <c r="B2760" s="2">
        <v>10.199999999999999</v>
      </c>
      <c r="C2760" s="2">
        <f t="shared" si="43"/>
        <v>9.8087305559189236E-4</v>
      </c>
    </row>
    <row r="2761" spans="1:3" x14ac:dyDescent="0.2">
      <c r="A2761" s="3">
        <v>41899</v>
      </c>
      <c r="B2761" s="2">
        <v>10.19</v>
      </c>
      <c r="C2761" s="2">
        <f t="shared" si="43"/>
        <v>8.8714233874196864E-3</v>
      </c>
    </row>
    <row r="2762" spans="1:3" x14ac:dyDescent="0.2">
      <c r="A2762" s="3">
        <v>41898</v>
      </c>
      <c r="B2762" s="2">
        <v>10.1</v>
      </c>
      <c r="C2762" s="2">
        <f t="shared" si="43"/>
        <v>3.9682591756204488E-3</v>
      </c>
    </row>
    <row r="2763" spans="1:3" x14ac:dyDescent="0.2">
      <c r="A2763" s="3">
        <v>41897</v>
      </c>
      <c r="B2763" s="2">
        <v>10.06</v>
      </c>
      <c r="C2763" s="2">
        <f t="shared" si="43"/>
        <v>9.945301665083635E-4</v>
      </c>
    </row>
    <row r="2764" spans="1:3" x14ac:dyDescent="0.2">
      <c r="A2764" s="3">
        <v>41894</v>
      </c>
      <c r="B2764" s="2">
        <v>10.050000000000001</v>
      </c>
      <c r="C2764" s="2">
        <f t="shared" si="43"/>
        <v>1.4532954354570546E-2</v>
      </c>
    </row>
    <row r="2765" spans="1:3" x14ac:dyDescent="0.2">
      <c r="A2765" s="3">
        <v>41893</v>
      </c>
      <c r="B2765" s="2">
        <v>9.9049999999999994</v>
      </c>
      <c r="C2765" s="2">
        <f t="shared" si="43"/>
        <v>-1.3537434113068873E-2</v>
      </c>
    </row>
    <row r="2766" spans="1:3" x14ac:dyDescent="0.2">
      <c r="A2766" s="3">
        <v>41892</v>
      </c>
      <c r="B2766" s="2">
        <v>10.039999999999999</v>
      </c>
      <c r="C2766" s="2">
        <f t="shared" si="43"/>
        <v>-5.9583095836306353E-3</v>
      </c>
    </row>
    <row r="2767" spans="1:3" x14ac:dyDescent="0.2">
      <c r="A2767" s="3">
        <v>41891</v>
      </c>
      <c r="B2767" s="2">
        <v>10.1</v>
      </c>
      <c r="C2767" s="2">
        <f t="shared" si="43"/>
        <v>-1.7664836179805219E-2</v>
      </c>
    </row>
    <row r="2768" spans="1:3" x14ac:dyDescent="0.2">
      <c r="A2768" s="3">
        <v>41887</v>
      </c>
      <c r="B2768" s="2">
        <v>10.28</v>
      </c>
      <c r="C2768" s="2">
        <f t="shared" si="43"/>
        <v>5.8536752514605078E-3</v>
      </c>
    </row>
    <row r="2769" spans="1:3" x14ac:dyDescent="0.2">
      <c r="A2769" s="3">
        <v>41886</v>
      </c>
      <c r="B2769" s="2">
        <v>10.220000000000001</v>
      </c>
      <c r="C2769" s="2">
        <f t="shared" si="43"/>
        <v>1.9588644853331932E-3</v>
      </c>
    </row>
    <row r="2770" spans="1:3" x14ac:dyDescent="0.2">
      <c r="A2770" s="3">
        <v>41885</v>
      </c>
      <c r="B2770" s="2">
        <v>10.199999999999999</v>
      </c>
      <c r="C2770" s="2">
        <f t="shared" si="43"/>
        <v>2.9455102297567446E-3</v>
      </c>
    </row>
    <row r="2771" spans="1:3" x14ac:dyDescent="0.2">
      <c r="A2771" s="3">
        <v>41883</v>
      </c>
      <c r="B2771" s="2">
        <v>10.17</v>
      </c>
      <c r="C2771" s="2">
        <f t="shared" si="43"/>
        <v>9.8376791013274822E-4</v>
      </c>
    </row>
    <row r="2772" spans="1:3" x14ac:dyDescent="0.2">
      <c r="A2772" s="3">
        <v>41880</v>
      </c>
      <c r="B2772" s="2">
        <v>10.16</v>
      </c>
      <c r="C2772" s="2">
        <f t="shared" si="43"/>
        <v>-9.8376791013272697E-4</v>
      </c>
    </row>
    <row r="2773" spans="1:3" x14ac:dyDescent="0.2">
      <c r="A2773" s="3">
        <v>41879</v>
      </c>
      <c r="B2773" s="2">
        <v>10.17</v>
      </c>
      <c r="C2773" s="2">
        <f t="shared" si="43"/>
        <v>-9.8280106190808884E-4</v>
      </c>
    </row>
    <row r="2774" spans="1:3" x14ac:dyDescent="0.2">
      <c r="A2774" s="3">
        <v>41878</v>
      </c>
      <c r="B2774" s="2">
        <v>10.18</v>
      </c>
      <c r="C2774" s="2">
        <f t="shared" si="43"/>
        <v>1.9665689720408473E-3</v>
      </c>
    </row>
    <row r="2775" spans="1:3" x14ac:dyDescent="0.2">
      <c r="A2775" s="3">
        <v>41877</v>
      </c>
      <c r="B2775" s="2">
        <v>10.16</v>
      </c>
      <c r="C2775" s="2">
        <f t="shared" si="43"/>
        <v>9.8473666253955983E-4</v>
      </c>
    </row>
    <row r="2776" spans="1:3" x14ac:dyDescent="0.2">
      <c r="A2776" s="3">
        <v>41876</v>
      </c>
      <c r="B2776" s="2">
        <v>10.15</v>
      </c>
      <c r="C2776" s="2">
        <f t="shared" si="43"/>
        <v>1.2890609831077609E-2</v>
      </c>
    </row>
    <row r="2777" spans="1:3" x14ac:dyDescent="0.2">
      <c r="A2777" s="3">
        <v>41873</v>
      </c>
      <c r="B2777" s="2">
        <v>10.02</v>
      </c>
      <c r="C2777" s="2">
        <f t="shared" si="43"/>
        <v>-5.9701669865039079E-3</v>
      </c>
    </row>
    <row r="2778" spans="1:3" x14ac:dyDescent="0.2">
      <c r="A2778" s="3">
        <v>41872</v>
      </c>
      <c r="B2778" s="2">
        <v>10.08</v>
      </c>
      <c r="C2778" s="2">
        <f t="shared" si="43"/>
        <v>1.398624197473987E-2</v>
      </c>
    </row>
    <row r="2779" spans="1:3" x14ac:dyDescent="0.2">
      <c r="A2779" s="3">
        <v>41871</v>
      </c>
      <c r="B2779" s="2">
        <v>9.94</v>
      </c>
      <c r="C2779" s="2">
        <f t="shared" si="43"/>
        <v>7.0671672230925731E-3</v>
      </c>
    </row>
    <row r="2780" spans="1:3" x14ac:dyDescent="0.2">
      <c r="A2780" s="3">
        <v>41870</v>
      </c>
      <c r="B2780" s="2">
        <v>9.8699999999999992</v>
      </c>
      <c r="C2780" s="2">
        <f t="shared" si="43"/>
        <v>3.0441423812280518E-3</v>
      </c>
    </row>
    <row r="2781" spans="1:3" x14ac:dyDescent="0.2">
      <c r="A2781" s="3">
        <v>41869</v>
      </c>
      <c r="B2781" s="2">
        <v>9.84</v>
      </c>
      <c r="C2781" s="2">
        <f t="shared" si="43"/>
        <v>7.1392450094708128E-3</v>
      </c>
    </row>
    <row r="2782" spans="1:3" x14ac:dyDescent="0.2">
      <c r="A2782" s="3">
        <v>41865</v>
      </c>
      <c r="B2782" s="2">
        <v>9.77</v>
      </c>
      <c r="C2782" s="2">
        <f t="shared" si="43"/>
        <v>-1.4227882287205278E-2</v>
      </c>
    </row>
    <row r="2783" spans="1:3" x14ac:dyDescent="0.2">
      <c r="A2783" s="3">
        <v>41864</v>
      </c>
      <c r="B2783" s="2">
        <v>9.91</v>
      </c>
      <c r="C2783" s="2">
        <f t="shared" si="43"/>
        <v>-1.5124782313575135E-3</v>
      </c>
    </row>
    <row r="2784" spans="1:3" x14ac:dyDescent="0.2">
      <c r="A2784" s="3">
        <v>41863</v>
      </c>
      <c r="B2784" s="2">
        <v>9.9250000000000007</v>
      </c>
      <c r="C2784" s="2">
        <f t="shared" si="43"/>
        <v>-1.1520287690328904E-2</v>
      </c>
    </row>
    <row r="2785" spans="1:3" x14ac:dyDescent="0.2">
      <c r="A2785" s="3">
        <v>41862</v>
      </c>
      <c r="B2785" s="2">
        <v>10.039999999999999</v>
      </c>
      <c r="C2785" s="2">
        <f t="shared" si="43"/>
        <v>1.8598173658899556E-2</v>
      </c>
    </row>
    <row r="2786" spans="1:3" x14ac:dyDescent="0.2">
      <c r="A2786" s="3">
        <v>41859</v>
      </c>
      <c r="B2786" s="2">
        <v>9.8550000000000004</v>
      </c>
      <c r="C2786" s="2">
        <f t="shared" si="43"/>
        <v>1.0711655594927811E-2</v>
      </c>
    </row>
    <row r="2787" spans="1:3" x14ac:dyDescent="0.2">
      <c r="A2787" s="3">
        <v>41858</v>
      </c>
      <c r="B2787" s="2">
        <v>9.75</v>
      </c>
      <c r="C2787" s="2">
        <f t="shared" si="43"/>
        <v>1.5504186535965254E-2</v>
      </c>
    </row>
    <row r="2788" spans="1:3" x14ac:dyDescent="0.2">
      <c r="A2788" s="3">
        <v>41857</v>
      </c>
      <c r="B2788" s="2">
        <v>9.6</v>
      </c>
      <c r="C2788" s="2">
        <f t="shared" si="43"/>
        <v>4.6916919787751657E-2</v>
      </c>
    </row>
    <row r="2789" spans="1:3" x14ac:dyDescent="0.2">
      <c r="A2789" s="3">
        <v>41856</v>
      </c>
      <c r="B2789" s="2">
        <v>9.16</v>
      </c>
      <c r="C2789" s="2">
        <f t="shared" si="43"/>
        <v>3.8282792174837046E-3</v>
      </c>
    </row>
    <row r="2790" spans="1:3" x14ac:dyDescent="0.2">
      <c r="A2790" s="3">
        <v>41855</v>
      </c>
      <c r="B2790" s="2">
        <v>9.125</v>
      </c>
      <c r="C2790" s="2">
        <f t="shared" si="43"/>
        <v>-1.8996500690655147E-2</v>
      </c>
    </row>
    <row r="2791" spans="1:3" x14ac:dyDescent="0.2">
      <c r="A2791" s="3">
        <v>41852</v>
      </c>
      <c r="B2791" s="2">
        <v>9.3000000000000007</v>
      </c>
      <c r="C2791" s="2">
        <f t="shared" si="43"/>
        <v>-2.6003057018500562E-2</v>
      </c>
    </row>
    <row r="2792" spans="1:3" x14ac:dyDescent="0.2">
      <c r="A2792" s="3">
        <v>41851</v>
      </c>
      <c r="B2792" s="2">
        <v>9.5449999999999999</v>
      </c>
      <c r="C2792" s="2">
        <f t="shared" si="43"/>
        <v>-5.7456412960796253E-3</v>
      </c>
    </row>
    <row r="2793" spans="1:3" x14ac:dyDescent="0.2">
      <c r="A2793" s="3">
        <v>41850</v>
      </c>
      <c r="B2793" s="2">
        <v>9.6</v>
      </c>
      <c r="C2793" s="2">
        <f t="shared" si="43"/>
        <v>1.04220957844359E-3</v>
      </c>
    </row>
    <row r="2794" spans="1:3" x14ac:dyDescent="0.2">
      <c r="A2794" s="3">
        <v>41849</v>
      </c>
      <c r="B2794" s="2">
        <v>9.59</v>
      </c>
      <c r="C2794" s="2">
        <f t="shared" si="43"/>
        <v>-1.0422095784436427E-3</v>
      </c>
    </row>
    <row r="2795" spans="1:3" x14ac:dyDescent="0.2">
      <c r="A2795" s="3">
        <v>41848</v>
      </c>
      <c r="B2795" s="2">
        <v>9.6</v>
      </c>
      <c r="C2795" s="2">
        <f t="shared" si="43"/>
        <v>-9.3313274288843052E-3</v>
      </c>
    </row>
    <row r="2796" spans="1:3" x14ac:dyDescent="0.2">
      <c r="A2796" s="3">
        <v>41845</v>
      </c>
      <c r="B2796" s="2">
        <v>9.69</v>
      </c>
      <c r="C2796" s="2">
        <f t="shared" si="43"/>
        <v>1.032524614189184E-3</v>
      </c>
    </row>
    <row r="2797" spans="1:3" x14ac:dyDescent="0.2">
      <c r="A2797" s="3">
        <v>41843</v>
      </c>
      <c r="B2797" s="2">
        <v>9.68</v>
      </c>
      <c r="C2797" s="2">
        <f t="shared" si="43"/>
        <v>3.1039859375910123E-3</v>
      </c>
    </row>
    <row r="2798" spans="1:3" x14ac:dyDescent="0.2">
      <c r="A2798" s="3">
        <v>41842</v>
      </c>
      <c r="B2798" s="2">
        <v>9.65</v>
      </c>
      <c r="C2798" s="2">
        <f t="shared" si="43"/>
        <v>-7.2277031214531447E-3</v>
      </c>
    </row>
    <row r="2799" spans="1:3" x14ac:dyDescent="0.2">
      <c r="A2799" s="3">
        <v>41841</v>
      </c>
      <c r="B2799" s="2">
        <v>9.7200000000000006</v>
      </c>
      <c r="C2799" s="2">
        <f t="shared" si="43"/>
        <v>-1.733852716227308E-2</v>
      </c>
    </row>
    <row r="2800" spans="1:3" x14ac:dyDescent="0.2">
      <c r="A2800" s="3">
        <v>41838</v>
      </c>
      <c r="B2800" s="2">
        <v>9.89</v>
      </c>
      <c r="C2800" s="2">
        <f t="shared" si="43"/>
        <v>-8.0564383391261794E-3</v>
      </c>
    </row>
    <row r="2801" spans="1:3" x14ac:dyDescent="0.2">
      <c r="A2801" s="3">
        <v>41837</v>
      </c>
      <c r="B2801" s="2">
        <v>9.9700000000000006</v>
      </c>
      <c r="C2801" s="2">
        <f t="shared" si="43"/>
        <v>-3.0045090202986133E-3</v>
      </c>
    </row>
    <row r="2802" spans="1:3" x14ac:dyDescent="0.2">
      <c r="A2802" s="3">
        <v>41836</v>
      </c>
      <c r="B2802" s="2">
        <v>10</v>
      </c>
      <c r="C2802" s="2">
        <f t="shared" si="43"/>
        <v>1.4098924379501675E-2</v>
      </c>
    </row>
    <row r="2803" spans="1:3" x14ac:dyDescent="0.2">
      <c r="A2803" s="3">
        <v>41835</v>
      </c>
      <c r="B2803" s="2">
        <v>9.86</v>
      </c>
      <c r="C2803" s="2">
        <f t="shared" si="43"/>
        <v>-5.0697086003468348E-4</v>
      </c>
    </row>
    <row r="2804" spans="1:3" x14ac:dyDescent="0.2">
      <c r="A2804" s="3">
        <v>41834</v>
      </c>
      <c r="B2804" s="2">
        <v>9.8650000000000002</v>
      </c>
      <c r="C2804" s="2">
        <f t="shared" si="43"/>
        <v>1.0700739049577582E-2</v>
      </c>
    </row>
    <row r="2805" spans="1:3" x14ac:dyDescent="0.2">
      <c r="A2805" s="3">
        <v>41831</v>
      </c>
      <c r="B2805" s="2">
        <v>9.76</v>
      </c>
      <c r="C2805" s="2">
        <f t="shared" si="43"/>
        <v>-7.6550514160214252E-3</v>
      </c>
    </row>
    <row r="2806" spans="1:3" x14ac:dyDescent="0.2">
      <c r="A2806" s="3">
        <v>41830</v>
      </c>
      <c r="B2806" s="2">
        <v>9.8350000000000009</v>
      </c>
      <c r="C2806" s="2">
        <f t="shared" si="43"/>
        <v>-2.5597382524495112E-2</v>
      </c>
    </row>
    <row r="2807" spans="1:3" x14ac:dyDescent="0.2">
      <c r="A2807" s="3">
        <v>41829</v>
      </c>
      <c r="B2807" s="2">
        <v>10.09</v>
      </c>
      <c r="C2807" s="2">
        <f t="shared" si="43"/>
        <v>9.9602417050554341E-3</v>
      </c>
    </row>
    <row r="2808" spans="1:3" x14ac:dyDescent="0.2">
      <c r="A2808" s="3">
        <v>41828</v>
      </c>
      <c r="B2808" s="2">
        <v>9.99</v>
      </c>
      <c r="C2808" s="2">
        <f t="shared" si="43"/>
        <v>-2.8615667366556796E-2</v>
      </c>
    </row>
    <row r="2809" spans="1:3" x14ac:dyDescent="0.2">
      <c r="A2809" s="3">
        <v>41827</v>
      </c>
      <c r="B2809" s="2">
        <v>10.28</v>
      </c>
      <c r="C2809" s="2">
        <f t="shared" si="43"/>
        <v>-7.7519768043179359E-3</v>
      </c>
    </row>
    <row r="2810" spans="1:3" x14ac:dyDescent="0.2">
      <c r="A2810" s="3">
        <v>41823</v>
      </c>
      <c r="B2810" s="2">
        <v>10.36</v>
      </c>
      <c r="C2810" s="2">
        <f t="shared" si="43"/>
        <v>8.7252128908700318E-3</v>
      </c>
    </row>
    <row r="2811" spans="1:3" x14ac:dyDescent="0.2">
      <c r="A2811" s="3">
        <v>41822</v>
      </c>
      <c r="B2811" s="2">
        <v>10.27</v>
      </c>
      <c r="C2811" s="2">
        <f t="shared" si="43"/>
        <v>4.8804391649083486E-3</v>
      </c>
    </row>
    <row r="2812" spans="1:3" x14ac:dyDescent="0.2">
      <c r="A2812" s="3">
        <v>41821</v>
      </c>
      <c r="B2812" s="2">
        <v>10.220000000000001</v>
      </c>
      <c r="C2812" s="2">
        <f t="shared" si="43"/>
        <v>1.6773950270473608E-2</v>
      </c>
    </row>
    <row r="2813" spans="1:3" x14ac:dyDescent="0.2">
      <c r="A2813" s="3">
        <v>41820</v>
      </c>
      <c r="B2813" s="2">
        <v>10.050000000000001</v>
      </c>
      <c r="C2813" s="2">
        <f t="shared" si="43"/>
        <v>-5.9523985272951609E-3</v>
      </c>
    </row>
    <row r="2814" spans="1:3" x14ac:dyDescent="0.2">
      <c r="A2814" s="3">
        <v>41817</v>
      </c>
      <c r="B2814" s="2">
        <v>10.11</v>
      </c>
      <c r="C2814" s="2">
        <f t="shared" si="43"/>
        <v>-1.8618862203210212E-2</v>
      </c>
    </row>
    <row r="2815" spans="1:3" x14ac:dyDescent="0.2">
      <c r="A2815" s="3">
        <v>41816</v>
      </c>
      <c r="B2815" s="2">
        <v>10.3</v>
      </c>
      <c r="C2815" s="2">
        <f t="shared" si="43"/>
        <v>2.7560799578871416E-2</v>
      </c>
    </row>
    <row r="2816" spans="1:3" x14ac:dyDescent="0.2">
      <c r="A2816" s="3">
        <v>41815</v>
      </c>
      <c r="B2816" s="2">
        <v>10.02</v>
      </c>
      <c r="C2816" s="2">
        <f t="shared" si="43"/>
        <v>-1.4859114403749828E-2</v>
      </c>
    </row>
    <row r="2817" spans="1:3" x14ac:dyDescent="0.2">
      <c r="A2817" s="3">
        <v>41814</v>
      </c>
      <c r="B2817" s="2">
        <v>10.17</v>
      </c>
      <c r="C2817" s="2">
        <f t="shared" si="43"/>
        <v>-1.8510026770868323E-2</v>
      </c>
    </row>
    <row r="2818" spans="1:3" x14ac:dyDescent="0.2">
      <c r="A2818" s="3">
        <v>41813</v>
      </c>
      <c r="B2818" s="2">
        <v>10.36</v>
      </c>
      <c r="C2818" s="2">
        <f t="shared" si="43"/>
        <v>-1.722530628187928E-2</v>
      </c>
    </row>
    <row r="2819" spans="1:3" x14ac:dyDescent="0.2">
      <c r="A2819" s="3">
        <v>41810</v>
      </c>
      <c r="B2819" s="2">
        <v>10.54</v>
      </c>
      <c r="C2819" s="2">
        <f t="shared" ref="C2819:C2882" si="44">+LN(B2819/B2820)</f>
        <v>1.3371736965889241E-2</v>
      </c>
    </row>
    <row r="2820" spans="1:3" x14ac:dyDescent="0.2">
      <c r="A2820" s="3">
        <v>41809</v>
      </c>
      <c r="B2820" s="2">
        <v>10.4</v>
      </c>
      <c r="C2820" s="2">
        <f t="shared" si="44"/>
        <v>-9.6107647955047816E-4</v>
      </c>
    </row>
    <row r="2821" spans="1:3" x14ac:dyDescent="0.2">
      <c r="A2821" s="3">
        <v>41808</v>
      </c>
      <c r="B2821" s="2">
        <v>10.41</v>
      </c>
      <c r="C2821" s="2">
        <f t="shared" si="44"/>
        <v>8.6831225734608566E-3</v>
      </c>
    </row>
    <row r="2822" spans="1:3" x14ac:dyDescent="0.2">
      <c r="A2822" s="3">
        <v>41807</v>
      </c>
      <c r="B2822" s="2">
        <v>10.32</v>
      </c>
      <c r="C2822" s="2">
        <f t="shared" si="44"/>
        <v>-6.7600450577193251E-3</v>
      </c>
    </row>
    <row r="2823" spans="1:3" x14ac:dyDescent="0.2">
      <c r="A2823" s="3">
        <v>41806</v>
      </c>
      <c r="B2823" s="2">
        <v>10.39</v>
      </c>
      <c r="C2823" s="2">
        <f t="shared" si="44"/>
        <v>-1.3384521034747961E-2</v>
      </c>
    </row>
    <row r="2824" spans="1:3" x14ac:dyDescent="0.2">
      <c r="A2824" s="3">
        <v>41803</v>
      </c>
      <c r="B2824" s="2">
        <v>10.53</v>
      </c>
      <c r="C2824" s="2">
        <f t="shared" si="44"/>
        <v>-6.6256749721373799E-3</v>
      </c>
    </row>
    <row r="2825" spans="1:3" x14ac:dyDescent="0.2">
      <c r="A2825" s="3">
        <v>41802</v>
      </c>
      <c r="B2825" s="2">
        <v>10.6</v>
      </c>
      <c r="C2825" s="2">
        <f t="shared" si="44"/>
        <v>-4.7058910374127277E-3</v>
      </c>
    </row>
    <row r="2826" spans="1:3" x14ac:dyDescent="0.2">
      <c r="A2826" s="3">
        <v>41801</v>
      </c>
      <c r="B2826" s="2">
        <v>10.65</v>
      </c>
      <c r="C2826" s="2">
        <f t="shared" si="44"/>
        <v>-1.8761731582278519E-3</v>
      </c>
    </row>
    <row r="2827" spans="1:3" x14ac:dyDescent="0.2">
      <c r="A2827" s="3">
        <v>41800</v>
      </c>
      <c r="B2827" s="2">
        <v>10.67</v>
      </c>
      <c r="C2827" s="2">
        <f t="shared" si="44"/>
        <v>-7.4696892600098286E-3</v>
      </c>
    </row>
    <row r="2828" spans="1:3" x14ac:dyDescent="0.2">
      <c r="A2828" s="3">
        <v>41799</v>
      </c>
      <c r="B2828" s="2">
        <v>10.75</v>
      </c>
      <c r="C2828" s="2">
        <f t="shared" si="44"/>
        <v>1.2166738759879047E-2</v>
      </c>
    </row>
    <row r="2829" spans="1:3" x14ac:dyDescent="0.2">
      <c r="A2829" s="3">
        <v>41796</v>
      </c>
      <c r="B2829" s="2">
        <v>10.62</v>
      </c>
      <c r="C2829" s="2">
        <f t="shared" si="44"/>
        <v>1.0411830924932889E-2</v>
      </c>
    </row>
    <row r="2830" spans="1:3" x14ac:dyDescent="0.2">
      <c r="A2830" s="3">
        <v>41795</v>
      </c>
      <c r="B2830" s="2">
        <v>10.51</v>
      </c>
      <c r="C2830" s="2">
        <f t="shared" si="44"/>
        <v>9.519277253821558E-4</v>
      </c>
    </row>
    <row r="2831" spans="1:3" x14ac:dyDescent="0.2">
      <c r="A2831" s="3">
        <v>41794</v>
      </c>
      <c r="B2831" s="2">
        <v>10.5</v>
      </c>
      <c r="C2831" s="2">
        <f t="shared" si="44"/>
        <v>2.8612322810321949E-3</v>
      </c>
    </row>
    <row r="2832" spans="1:3" x14ac:dyDescent="0.2">
      <c r="A2832" s="3">
        <v>41793</v>
      </c>
      <c r="B2832" s="2">
        <v>10.47</v>
      </c>
      <c r="C2832" s="2">
        <f t="shared" si="44"/>
        <v>8.6331471447028754E-3</v>
      </c>
    </row>
    <row r="2833" spans="1:3" x14ac:dyDescent="0.2">
      <c r="A2833" s="3">
        <v>41792</v>
      </c>
      <c r="B2833" s="2">
        <v>10.38</v>
      </c>
      <c r="C2833" s="2">
        <f t="shared" si="44"/>
        <v>8.7083278917844138E-3</v>
      </c>
    </row>
    <row r="2834" spans="1:3" x14ac:dyDescent="0.2">
      <c r="A2834" s="3">
        <v>41789</v>
      </c>
      <c r="B2834" s="2">
        <v>10.29</v>
      </c>
      <c r="C2834" s="2">
        <f t="shared" si="44"/>
        <v>-7.744472395477711E-3</v>
      </c>
    </row>
    <row r="2835" spans="1:3" x14ac:dyDescent="0.2">
      <c r="A2835" s="3">
        <v>41788</v>
      </c>
      <c r="B2835" s="2">
        <v>10.37</v>
      </c>
      <c r="C2835" s="2">
        <f t="shared" si="44"/>
        <v>-9.6385549630673866E-4</v>
      </c>
    </row>
    <row r="2836" spans="1:3" x14ac:dyDescent="0.2">
      <c r="A2836" s="3">
        <v>41787</v>
      </c>
      <c r="B2836" s="2">
        <v>10.38</v>
      </c>
      <c r="C2836" s="2">
        <f t="shared" si="44"/>
        <v>1.5534292962184204E-2</v>
      </c>
    </row>
    <row r="2837" spans="1:3" x14ac:dyDescent="0.2">
      <c r="A2837" s="3">
        <v>41786</v>
      </c>
      <c r="B2837" s="2">
        <v>10.220000000000001</v>
      </c>
      <c r="C2837" s="2">
        <f t="shared" si="44"/>
        <v>2.9793663478776978E-2</v>
      </c>
    </row>
    <row r="2838" spans="1:3" x14ac:dyDescent="0.2">
      <c r="A2838" s="3">
        <v>41781</v>
      </c>
      <c r="B2838" s="2">
        <v>9.92</v>
      </c>
      <c r="C2838" s="2">
        <f t="shared" si="44"/>
        <v>1.0085729548847497E-3</v>
      </c>
    </row>
    <row r="2839" spans="1:3" x14ac:dyDescent="0.2">
      <c r="A2839" s="3">
        <v>41780</v>
      </c>
      <c r="B2839" s="2">
        <v>9.91</v>
      </c>
      <c r="C2839" s="2">
        <f t="shared" si="44"/>
        <v>1.1161962665370409E-2</v>
      </c>
    </row>
    <row r="2840" spans="1:3" x14ac:dyDescent="0.2">
      <c r="A2840" s="3">
        <v>41779</v>
      </c>
      <c r="B2840" s="2">
        <v>9.8000000000000007</v>
      </c>
      <c r="C2840" s="2">
        <f t="shared" si="44"/>
        <v>5.1033428002234774E-4</v>
      </c>
    </row>
    <row r="2841" spans="1:3" x14ac:dyDescent="0.2">
      <c r="A2841" s="3">
        <v>41778</v>
      </c>
      <c r="B2841" s="2">
        <v>9.7949999999999999</v>
      </c>
      <c r="C2841" s="2">
        <f t="shared" si="44"/>
        <v>-1.1167628754010081E-2</v>
      </c>
    </row>
    <row r="2842" spans="1:3" x14ac:dyDescent="0.2">
      <c r="A2842" s="3">
        <v>41775</v>
      </c>
      <c r="B2842" s="2">
        <v>9.9049999999999994</v>
      </c>
      <c r="C2842" s="2">
        <f t="shared" si="44"/>
        <v>1.0147220502204589E-2</v>
      </c>
    </row>
    <row r="2843" spans="1:3" x14ac:dyDescent="0.2">
      <c r="A2843" s="3">
        <v>41774</v>
      </c>
      <c r="B2843" s="2">
        <v>9.8049999999999997</v>
      </c>
      <c r="C2843" s="2">
        <f t="shared" si="44"/>
        <v>2.6351305155670624E-2</v>
      </c>
    </row>
    <row r="2844" spans="1:3" x14ac:dyDescent="0.2">
      <c r="A2844" s="3">
        <v>41773</v>
      </c>
      <c r="B2844" s="2">
        <v>9.5500000000000007</v>
      </c>
      <c r="C2844" s="2">
        <f t="shared" si="44"/>
        <v>-3.136437490130272E-3</v>
      </c>
    </row>
    <row r="2845" spans="1:3" x14ac:dyDescent="0.2">
      <c r="A2845" s="3">
        <v>41772</v>
      </c>
      <c r="B2845" s="2">
        <v>9.58</v>
      </c>
      <c r="C2845" s="2">
        <f t="shared" si="44"/>
        <v>-1.7589693026986659E-2</v>
      </c>
    </row>
    <row r="2846" spans="1:3" x14ac:dyDescent="0.2">
      <c r="A2846" s="3">
        <v>41771</v>
      </c>
      <c r="B2846" s="2">
        <v>9.75</v>
      </c>
      <c r="C2846" s="2">
        <f t="shared" si="44"/>
        <v>-1.1218883604788177E-2</v>
      </c>
    </row>
    <row r="2847" spans="1:3" x14ac:dyDescent="0.2">
      <c r="A2847" s="3">
        <v>41768</v>
      </c>
      <c r="B2847" s="2">
        <v>9.86</v>
      </c>
      <c r="C2847" s="2">
        <f t="shared" si="44"/>
        <v>1.0147134305466051E-3</v>
      </c>
    </row>
    <row r="2848" spans="1:3" x14ac:dyDescent="0.2">
      <c r="A2848" s="3">
        <v>41766</v>
      </c>
      <c r="B2848" s="2">
        <v>9.85</v>
      </c>
      <c r="C2848" s="2">
        <f t="shared" si="44"/>
        <v>-5.063301956546762E-3</v>
      </c>
    </row>
    <row r="2849" spans="1:3" x14ac:dyDescent="0.2">
      <c r="A2849" s="3">
        <v>41765</v>
      </c>
      <c r="B2849" s="2">
        <v>9.9</v>
      </c>
      <c r="C2849" s="2">
        <f t="shared" si="44"/>
        <v>-2.1978906718775115E-2</v>
      </c>
    </row>
    <row r="2850" spans="1:3" x14ac:dyDescent="0.2">
      <c r="A2850" s="3">
        <v>41764</v>
      </c>
      <c r="B2850" s="2">
        <v>10.119999999999999</v>
      </c>
      <c r="C2850" s="2">
        <f t="shared" si="44"/>
        <v>-1.2764041725097824E-2</v>
      </c>
    </row>
    <row r="2851" spans="1:3" x14ac:dyDescent="0.2">
      <c r="A2851" s="3">
        <v>41761</v>
      </c>
      <c r="B2851" s="2">
        <v>10.25</v>
      </c>
      <c r="C2851" s="2">
        <f t="shared" si="44"/>
        <v>3.9100734078428186E-3</v>
      </c>
    </row>
    <row r="2852" spans="1:3" x14ac:dyDescent="0.2">
      <c r="A2852" s="3">
        <v>41759</v>
      </c>
      <c r="B2852" s="2">
        <v>10.210000000000001</v>
      </c>
      <c r="C2852" s="2">
        <f t="shared" si="44"/>
        <v>-5.8593917638926031E-3</v>
      </c>
    </row>
    <row r="2853" spans="1:3" x14ac:dyDescent="0.2">
      <c r="A2853" s="3">
        <v>41758</v>
      </c>
      <c r="B2853" s="2">
        <v>10.27</v>
      </c>
      <c r="C2853" s="2">
        <f t="shared" si="44"/>
        <v>1.9493183560496789E-3</v>
      </c>
    </row>
    <row r="2854" spans="1:3" x14ac:dyDescent="0.2">
      <c r="A2854" s="3">
        <v>41757</v>
      </c>
      <c r="B2854" s="2">
        <v>10.25</v>
      </c>
      <c r="C2854" s="2">
        <f t="shared" si="44"/>
        <v>-4.8661896511730113E-3</v>
      </c>
    </row>
    <row r="2855" spans="1:3" x14ac:dyDescent="0.2">
      <c r="A2855" s="3">
        <v>41754</v>
      </c>
      <c r="B2855" s="2">
        <v>10.3</v>
      </c>
      <c r="C2855" s="2">
        <f t="shared" si="44"/>
        <v>-2.0183289653269636E-2</v>
      </c>
    </row>
    <row r="2856" spans="1:3" x14ac:dyDescent="0.2">
      <c r="A2856" s="3">
        <v>41753</v>
      </c>
      <c r="B2856" s="2">
        <v>10.51</v>
      </c>
      <c r="C2856" s="2">
        <f t="shared" si="44"/>
        <v>1.5340665177481614E-2</v>
      </c>
    </row>
    <row r="2857" spans="1:3" x14ac:dyDescent="0.2">
      <c r="A2857" s="3">
        <v>41746</v>
      </c>
      <c r="B2857" s="2">
        <v>10.35</v>
      </c>
      <c r="C2857" s="2">
        <f t="shared" si="44"/>
        <v>3.7405935737630978E-2</v>
      </c>
    </row>
    <row r="2858" spans="1:3" x14ac:dyDescent="0.2">
      <c r="A2858" s="3">
        <v>41745</v>
      </c>
      <c r="B2858" s="2">
        <v>9.9700000000000006</v>
      </c>
      <c r="C2858" s="2">
        <f t="shared" si="44"/>
        <v>9.0680722139705183E-3</v>
      </c>
    </row>
    <row r="2859" spans="1:3" x14ac:dyDescent="0.2">
      <c r="A2859" s="3">
        <v>41744</v>
      </c>
      <c r="B2859" s="2">
        <v>9.8800000000000008</v>
      </c>
      <c r="C2859" s="2">
        <f t="shared" si="44"/>
        <v>-3.7740327982846968E-2</v>
      </c>
    </row>
    <row r="2860" spans="1:3" x14ac:dyDescent="0.2">
      <c r="A2860" s="3">
        <v>41743</v>
      </c>
      <c r="B2860" s="2">
        <v>10.26</v>
      </c>
      <c r="C2860" s="2">
        <f t="shared" si="44"/>
        <v>-7.7670293376596589E-3</v>
      </c>
    </row>
    <row r="2861" spans="1:3" x14ac:dyDescent="0.2">
      <c r="A2861" s="3">
        <v>41740</v>
      </c>
      <c r="B2861" s="2">
        <v>10.34</v>
      </c>
      <c r="C2861" s="2">
        <f t="shared" si="44"/>
        <v>-2.3890290533032068E-2</v>
      </c>
    </row>
    <row r="2862" spans="1:3" x14ac:dyDescent="0.2">
      <c r="A2862" s="3">
        <v>41739</v>
      </c>
      <c r="B2862" s="2">
        <v>10.59</v>
      </c>
      <c r="C2862" s="2">
        <f t="shared" si="44"/>
        <v>9.4877372051091636E-3</v>
      </c>
    </row>
    <row r="2863" spans="1:3" x14ac:dyDescent="0.2">
      <c r="A2863" s="3">
        <v>41738</v>
      </c>
      <c r="B2863" s="2">
        <v>10.49</v>
      </c>
      <c r="C2863" s="2">
        <f t="shared" si="44"/>
        <v>1.908397525760169E-3</v>
      </c>
    </row>
    <row r="2864" spans="1:3" x14ac:dyDescent="0.2">
      <c r="A2864" s="3">
        <v>41737</v>
      </c>
      <c r="B2864" s="2">
        <v>10.47</v>
      </c>
      <c r="C2864" s="2">
        <f t="shared" si="44"/>
        <v>-2.6391729691226284E-2</v>
      </c>
    </row>
    <row r="2865" spans="1:3" x14ac:dyDescent="0.2">
      <c r="A2865" s="3">
        <v>41736</v>
      </c>
      <c r="B2865" s="2">
        <v>10.75</v>
      </c>
      <c r="C2865" s="2">
        <f t="shared" si="44"/>
        <v>-7.4143064392274798E-3</v>
      </c>
    </row>
    <row r="2866" spans="1:3" x14ac:dyDescent="0.2">
      <c r="A2866" s="3">
        <v>41733</v>
      </c>
      <c r="B2866" s="2">
        <v>10.83</v>
      </c>
      <c r="C2866" s="2">
        <f t="shared" si="44"/>
        <v>1.1142176553241803E-2</v>
      </c>
    </row>
    <row r="2867" spans="1:3" x14ac:dyDescent="0.2">
      <c r="A2867" s="3">
        <v>41732</v>
      </c>
      <c r="B2867" s="2">
        <v>10.71</v>
      </c>
      <c r="C2867" s="2">
        <f t="shared" si="44"/>
        <v>-7.441894810385769E-3</v>
      </c>
    </row>
    <row r="2868" spans="1:3" x14ac:dyDescent="0.2">
      <c r="A2868" s="3">
        <v>41731</v>
      </c>
      <c r="B2868" s="2">
        <v>10.79</v>
      </c>
      <c r="C2868" s="2">
        <f t="shared" si="44"/>
        <v>-3.9968989480308671E-2</v>
      </c>
    </row>
    <row r="2869" spans="1:3" x14ac:dyDescent="0.2">
      <c r="A2869" s="3">
        <v>41730</v>
      </c>
      <c r="B2869" s="2">
        <v>11.23</v>
      </c>
      <c r="C2869" s="2">
        <f t="shared" si="44"/>
        <v>4.4623010233986859E-3</v>
      </c>
    </row>
    <row r="2870" spans="1:3" x14ac:dyDescent="0.2">
      <c r="A2870" s="3">
        <v>41729</v>
      </c>
      <c r="B2870" s="2">
        <v>11.18</v>
      </c>
      <c r="C2870" s="2">
        <f t="shared" si="44"/>
        <v>2.7200226299156329E-2</v>
      </c>
    </row>
    <row r="2871" spans="1:3" x14ac:dyDescent="0.2">
      <c r="A2871" s="3">
        <v>41726</v>
      </c>
      <c r="B2871" s="2">
        <v>10.88</v>
      </c>
      <c r="C2871" s="2">
        <f t="shared" si="44"/>
        <v>3.6832454162965891E-3</v>
      </c>
    </row>
    <row r="2872" spans="1:3" x14ac:dyDescent="0.2">
      <c r="A2872" s="3">
        <v>41725</v>
      </c>
      <c r="B2872" s="2">
        <v>10.84</v>
      </c>
      <c r="C2872" s="2">
        <f t="shared" si="44"/>
        <v>-9.2208397496842498E-4</v>
      </c>
    </row>
    <row r="2873" spans="1:3" x14ac:dyDescent="0.2">
      <c r="A2873" s="3">
        <v>41724</v>
      </c>
      <c r="B2873" s="2">
        <v>10.85</v>
      </c>
      <c r="C2873" s="2">
        <f t="shared" si="44"/>
        <v>6.4725145056175196E-3</v>
      </c>
    </row>
    <row r="2874" spans="1:3" x14ac:dyDescent="0.2">
      <c r="A2874" s="3">
        <v>41723</v>
      </c>
      <c r="B2874" s="2">
        <v>10.78</v>
      </c>
      <c r="C2874" s="2">
        <f t="shared" si="44"/>
        <v>2.9178540598405481E-2</v>
      </c>
    </row>
    <row r="2875" spans="1:3" x14ac:dyDescent="0.2">
      <c r="A2875" s="3">
        <v>41722</v>
      </c>
      <c r="B2875" s="2">
        <v>10.47</v>
      </c>
      <c r="C2875" s="2">
        <f t="shared" si="44"/>
        <v>-3.1957606768671459E-2</v>
      </c>
    </row>
    <row r="2876" spans="1:3" x14ac:dyDescent="0.2">
      <c r="A2876" s="3">
        <v>41719</v>
      </c>
      <c r="B2876" s="2">
        <v>10.81</v>
      </c>
      <c r="C2876" s="2">
        <f t="shared" si="44"/>
        <v>2.7790661702660284E-3</v>
      </c>
    </row>
    <row r="2877" spans="1:3" x14ac:dyDescent="0.2">
      <c r="A2877" s="3">
        <v>41718</v>
      </c>
      <c r="B2877" s="2">
        <v>10.78</v>
      </c>
      <c r="C2877" s="2">
        <f t="shared" si="44"/>
        <v>-2.7790661702658762E-3</v>
      </c>
    </row>
    <row r="2878" spans="1:3" x14ac:dyDescent="0.2">
      <c r="A2878" s="3">
        <v>41717</v>
      </c>
      <c r="B2878" s="2">
        <v>10.81</v>
      </c>
      <c r="C2878" s="2">
        <f t="shared" si="44"/>
        <v>5.5658770774451765E-3</v>
      </c>
    </row>
    <row r="2879" spans="1:3" x14ac:dyDescent="0.2">
      <c r="A2879" s="3">
        <v>41716</v>
      </c>
      <c r="B2879" s="2">
        <v>10.75</v>
      </c>
      <c r="C2879" s="2">
        <f t="shared" si="44"/>
        <v>6.0392090714352295E-2</v>
      </c>
    </row>
    <row r="2880" spans="1:3" x14ac:dyDescent="0.2">
      <c r="A2880" s="3">
        <v>41715</v>
      </c>
      <c r="B2880" s="2">
        <v>10.119999999999999</v>
      </c>
      <c r="C2880" s="2">
        <f t="shared" si="44"/>
        <v>6.9410293542345423E-3</v>
      </c>
    </row>
    <row r="2881" spans="1:3" x14ac:dyDescent="0.2">
      <c r="A2881" s="3">
        <v>41712</v>
      </c>
      <c r="B2881" s="2">
        <v>10.050000000000001</v>
      </c>
      <c r="C2881" s="2">
        <f t="shared" si="44"/>
        <v>-2.0680205237538631E-2</v>
      </c>
    </row>
    <row r="2882" spans="1:3" x14ac:dyDescent="0.2">
      <c r="A2882" s="3">
        <v>41711</v>
      </c>
      <c r="B2882" s="2">
        <v>10.26</v>
      </c>
      <c r="C2882" s="2">
        <f t="shared" si="44"/>
        <v>6.8459925079900593E-3</v>
      </c>
    </row>
    <row r="2883" spans="1:3" x14ac:dyDescent="0.2">
      <c r="A2883" s="3">
        <v>41710</v>
      </c>
      <c r="B2883" s="2">
        <v>10.19</v>
      </c>
      <c r="C2883" s="2">
        <f t="shared" ref="C2883:C2946" si="45">+LN(B2883/B2884)</f>
        <v>-9.7657026113247888E-3</v>
      </c>
    </row>
    <row r="2884" spans="1:3" x14ac:dyDescent="0.2">
      <c r="A2884" s="3">
        <v>41709</v>
      </c>
      <c r="B2884" s="2">
        <v>10.29</v>
      </c>
      <c r="C2884" s="2">
        <f t="shared" si="45"/>
        <v>2.9197101033346246E-3</v>
      </c>
    </row>
    <row r="2885" spans="1:3" x14ac:dyDescent="0.2">
      <c r="A2885" s="3">
        <v>41708</v>
      </c>
      <c r="B2885" s="2">
        <v>10.26</v>
      </c>
      <c r="C2885" s="2">
        <f t="shared" si="45"/>
        <v>-2.9197101033347503E-3</v>
      </c>
    </row>
    <row r="2886" spans="1:3" x14ac:dyDescent="0.2">
      <c r="A2886" s="3">
        <v>41705</v>
      </c>
      <c r="B2886" s="2">
        <v>10.29</v>
      </c>
      <c r="C2886" s="2">
        <f t="shared" si="45"/>
        <v>-9.7134538963200318E-4</v>
      </c>
    </row>
    <row r="2887" spans="1:3" x14ac:dyDescent="0.2">
      <c r="A2887" s="3">
        <v>41704</v>
      </c>
      <c r="B2887" s="2">
        <v>10.3</v>
      </c>
      <c r="C2887" s="2">
        <f t="shared" si="45"/>
        <v>9.7561749453648743E-3</v>
      </c>
    </row>
    <row r="2888" spans="1:3" x14ac:dyDescent="0.2">
      <c r="A2888" s="3">
        <v>41703</v>
      </c>
      <c r="B2888" s="2">
        <v>10.199999999999999</v>
      </c>
      <c r="C2888" s="2">
        <f t="shared" si="45"/>
        <v>1.980262729617973E-2</v>
      </c>
    </row>
    <row r="2889" spans="1:3" x14ac:dyDescent="0.2">
      <c r="A2889" s="3">
        <v>41701</v>
      </c>
      <c r="B2889" s="2">
        <v>10</v>
      </c>
      <c r="C2889" s="2">
        <f t="shared" si="45"/>
        <v>-1.2916225266546401E-2</v>
      </c>
    </row>
    <row r="2890" spans="1:3" x14ac:dyDescent="0.2">
      <c r="A2890" s="3">
        <v>41698</v>
      </c>
      <c r="B2890" s="2">
        <v>10.130000000000001</v>
      </c>
      <c r="C2890" s="2">
        <f t="shared" si="45"/>
        <v>4.9480556173694375E-3</v>
      </c>
    </row>
    <row r="2891" spans="1:3" x14ac:dyDescent="0.2">
      <c r="A2891" s="3">
        <v>41697</v>
      </c>
      <c r="B2891" s="2">
        <v>10.08</v>
      </c>
      <c r="C2891" s="2">
        <f t="shared" si="45"/>
        <v>1.600034134644112E-2</v>
      </c>
    </row>
    <row r="2892" spans="1:3" x14ac:dyDescent="0.2">
      <c r="A2892" s="3">
        <v>41696</v>
      </c>
      <c r="B2892" s="2">
        <v>9.92</v>
      </c>
      <c r="C2892" s="2">
        <f t="shared" si="45"/>
        <v>-2.1935076866255794E-2</v>
      </c>
    </row>
    <row r="2893" spans="1:3" x14ac:dyDescent="0.2">
      <c r="A2893" s="3">
        <v>41695</v>
      </c>
      <c r="B2893" s="2">
        <v>10.14</v>
      </c>
      <c r="C2893" s="2">
        <f t="shared" si="45"/>
        <v>9.9108838994541783E-3</v>
      </c>
    </row>
    <row r="2894" spans="1:3" x14ac:dyDescent="0.2">
      <c r="A2894" s="3">
        <v>41691</v>
      </c>
      <c r="B2894" s="2">
        <v>10.039999999999999</v>
      </c>
      <c r="C2894" s="2">
        <f t="shared" si="45"/>
        <v>-2.9835924668879348E-3</v>
      </c>
    </row>
    <row r="2895" spans="1:3" x14ac:dyDescent="0.2">
      <c r="A2895" s="3">
        <v>41690</v>
      </c>
      <c r="B2895" s="2">
        <v>10.07</v>
      </c>
      <c r="C2895" s="2">
        <f t="shared" si="45"/>
        <v>1.198815555996962E-2</v>
      </c>
    </row>
    <row r="2896" spans="1:3" x14ac:dyDescent="0.2">
      <c r="A2896" s="3">
        <v>41689</v>
      </c>
      <c r="B2896" s="2">
        <v>9.9499999999999993</v>
      </c>
      <c r="C2896" s="2">
        <f t="shared" si="45"/>
        <v>9.086382555957442E-3</v>
      </c>
    </row>
    <row r="2897" spans="1:3" x14ac:dyDescent="0.2">
      <c r="A2897" s="3">
        <v>41688</v>
      </c>
      <c r="B2897" s="2">
        <v>9.86</v>
      </c>
      <c r="C2897" s="2">
        <f t="shared" si="45"/>
        <v>2.5161789573800875E-2</v>
      </c>
    </row>
    <row r="2898" spans="1:3" x14ac:dyDescent="0.2">
      <c r="A2898" s="3">
        <v>41687</v>
      </c>
      <c r="B2898" s="2">
        <v>9.6150000000000002</v>
      </c>
      <c r="C2898" s="2">
        <f t="shared" si="45"/>
        <v>-7.2539178182161263E-3</v>
      </c>
    </row>
    <row r="2899" spans="1:3" x14ac:dyDescent="0.2">
      <c r="A2899" s="3">
        <v>41684</v>
      </c>
      <c r="B2899" s="2">
        <v>9.6850000000000005</v>
      </c>
      <c r="C2899" s="2">
        <f t="shared" si="45"/>
        <v>-4.6895408628837072E-2</v>
      </c>
    </row>
    <row r="2900" spans="1:3" x14ac:dyDescent="0.2">
      <c r="A2900" s="3">
        <v>41683</v>
      </c>
      <c r="B2900" s="2">
        <v>10.15</v>
      </c>
      <c r="C2900" s="2">
        <f t="shared" si="45"/>
        <v>-8.827914123565388E-3</v>
      </c>
    </row>
    <row r="2901" spans="1:3" x14ac:dyDescent="0.2">
      <c r="A2901" s="3">
        <v>41682</v>
      </c>
      <c r="B2901" s="2">
        <v>10.24</v>
      </c>
      <c r="C2901" s="2">
        <f t="shared" si="45"/>
        <v>2.07210176375177E-2</v>
      </c>
    </row>
    <row r="2902" spans="1:3" x14ac:dyDescent="0.2">
      <c r="A2902" s="3">
        <v>41681</v>
      </c>
      <c r="B2902" s="2">
        <v>10.029999999999999</v>
      </c>
      <c r="C2902" s="2">
        <f t="shared" si="45"/>
        <v>3.3454716464507123E-2</v>
      </c>
    </row>
    <row r="2903" spans="1:3" x14ac:dyDescent="0.2">
      <c r="A2903" s="3">
        <v>41680</v>
      </c>
      <c r="B2903" s="2">
        <v>9.6999999999999993</v>
      </c>
      <c r="C2903" s="2">
        <f t="shared" si="45"/>
        <v>1.5584731016698111E-2</v>
      </c>
    </row>
    <row r="2904" spans="1:3" x14ac:dyDescent="0.2">
      <c r="A2904" s="3">
        <v>41677</v>
      </c>
      <c r="B2904" s="2">
        <v>9.5500000000000007</v>
      </c>
      <c r="C2904" s="2">
        <f t="shared" si="45"/>
        <v>1.9561818596587028E-2</v>
      </c>
    </row>
    <row r="2905" spans="1:3" x14ac:dyDescent="0.2">
      <c r="A2905" s="3">
        <v>41676</v>
      </c>
      <c r="B2905" s="2">
        <v>9.3650000000000002</v>
      </c>
      <c r="C2905" s="2">
        <f t="shared" si="45"/>
        <v>5.3404540655115496E-4</v>
      </c>
    </row>
    <row r="2906" spans="1:3" x14ac:dyDescent="0.2">
      <c r="A2906" s="3">
        <v>41675</v>
      </c>
      <c r="B2906" s="2">
        <v>9.36</v>
      </c>
      <c r="C2906" s="2">
        <f t="shared" si="45"/>
        <v>-3.2000027306710141E-3</v>
      </c>
    </row>
    <row r="2907" spans="1:3" x14ac:dyDescent="0.2">
      <c r="A2907" s="3">
        <v>41674</v>
      </c>
      <c r="B2907" s="2">
        <v>9.39</v>
      </c>
      <c r="C2907" s="2">
        <f t="shared" si="45"/>
        <v>-1.8465309672044555E-2</v>
      </c>
    </row>
    <row r="2908" spans="1:3" x14ac:dyDescent="0.2">
      <c r="A2908" s="3">
        <v>41673</v>
      </c>
      <c r="B2908" s="2">
        <v>9.5649999999999995</v>
      </c>
      <c r="C2908" s="2">
        <f t="shared" si="45"/>
        <v>-2.6102860031307069E-3</v>
      </c>
    </row>
    <row r="2909" spans="1:3" x14ac:dyDescent="0.2">
      <c r="A2909" s="3">
        <v>41669</v>
      </c>
      <c r="B2909" s="2">
        <v>9.59</v>
      </c>
      <c r="C2909" s="2">
        <f t="shared" si="45"/>
        <v>-1.1404996613990245E-2</v>
      </c>
    </row>
    <row r="2910" spans="1:3" x14ac:dyDescent="0.2">
      <c r="A2910" s="3">
        <v>41668</v>
      </c>
      <c r="B2910" s="2">
        <v>9.6999999999999993</v>
      </c>
      <c r="C2910" s="2">
        <f t="shared" si="45"/>
        <v>1.3492680044474058E-2</v>
      </c>
    </row>
    <row r="2911" spans="1:3" x14ac:dyDescent="0.2">
      <c r="A2911" s="3">
        <v>41667</v>
      </c>
      <c r="B2911" s="2">
        <v>9.57</v>
      </c>
      <c r="C2911" s="2">
        <f t="shared" si="45"/>
        <v>3.9429721409868418E-2</v>
      </c>
    </row>
    <row r="2912" spans="1:3" x14ac:dyDescent="0.2">
      <c r="A2912" s="3">
        <v>41666</v>
      </c>
      <c r="B2912" s="2">
        <v>9.1999999999999993</v>
      </c>
      <c r="C2912" s="2">
        <f t="shared" si="45"/>
        <v>-9.7350687707524666E-3</v>
      </c>
    </row>
    <row r="2913" spans="1:3" x14ac:dyDescent="0.2">
      <c r="A2913" s="3">
        <v>41663</v>
      </c>
      <c r="B2913" s="2">
        <v>9.2899999999999991</v>
      </c>
      <c r="C2913" s="2">
        <f t="shared" si="45"/>
        <v>-2.0773050561230466E-2</v>
      </c>
    </row>
    <row r="2914" spans="1:3" x14ac:dyDescent="0.2">
      <c r="A2914" s="3">
        <v>41662</v>
      </c>
      <c r="B2914" s="2">
        <v>9.4849999999999994</v>
      </c>
      <c r="C2914" s="2">
        <f t="shared" si="45"/>
        <v>1.1131840368843978E-2</v>
      </c>
    </row>
    <row r="2915" spans="1:3" x14ac:dyDescent="0.2">
      <c r="A2915" s="3">
        <v>41661</v>
      </c>
      <c r="B2915" s="2">
        <v>9.3800000000000008</v>
      </c>
      <c r="C2915" s="2">
        <f t="shared" si="45"/>
        <v>-5.8464158023802445E-3</v>
      </c>
    </row>
    <row r="2916" spans="1:3" x14ac:dyDescent="0.2">
      <c r="A2916" s="3">
        <v>41660</v>
      </c>
      <c r="B2916" s="2">
        <v>9.4350000000000005</v>
      </c>
      <c r="C2916" s="2">
        <f t="shared" si="45"/>
        <v>-5.812433801322887E-3</v>
      </c>
    </row>
    <row r="2917" spans="1:3" x14ac:dyDescent="0.2">
      <c r="A2917" s="3">
        <v>41659</v>
      </c>
      <c r="B2917" s="2">
        <v>9.49</v>
      </c>
      <c r="C2917" s="2">
        <f t="shared" si="45"/>
        <v>-6.3025418708024111E-3</v>
      </c>
    </row>
    <row r="2918" spans="1:3" x14ac:dyDescent="0.2">
      <c r="A2918" s="3">
        <v>41656</v>
      </c>
      <c r="B2918" s="2">
        <v>9.5500000000000007</v>
      </c>
      <c r="C2918" s="2">
        <f t="shared" si="45"/>
        <v>5.3776396780804203E-2</v>
      </c>
    </row>
    <row r="2919" spans="1:3" x14ac:dyDescent="0.2">
      <c r="A2919" s="3">
        <v>41655</v>
      </c>
      <c r="B2919" s="2">
        <v>9.0500000000000007</v>
      </c>
      <c r="C2919" s="2">
        <f t="shared" si="45"/>
        <v>-2.7787132382379173E-2</v>
      </c>
    </row>
    <row r="2920" spans="1:3" x14ac:dyDescent="0.2">
      <c r="A2920" s="3">
        <v>41654</v>
      </c>
      <c r="B2920" s="2">
        <v>9.3049999999999997</v>
      </c>
      <c r="C2920" s="2">
        <f t="shared" si="45"/>
        <v>6.4690252551259471E-3</v>
      </c>
    </row>
    <row r="2921" spans="1:3" x14ac:dyDescent="0.2">
      <c r="A2921" s="3">
        <v>41653</v>
      </c>
      <c r="B2921" s="2">
        <v>9.2449999999999992</v>
      </c>
      <c r="C2921" s="2">
        <f t="shared" si="45"/>
        <v>-1.1293478461507462E-2</v>
      </c>
    </row>
    <row r="2922" spans="1:3" x14ac:dyDescent="0.2">
      <c r="A2922" s="3">
        <v>41649</v>
      </c>
      <c r="B2922" s="2">
        <v>9.35</v>
      </c>
      <c r="C2922" s="2">
        <f t="shared" si="45"/>
        <v>1.129347846150747E-2</v>
      </c>
    </row>
    <row r="2923" spans="1:3" x14ac:dyDescent="0.2">
      <c r="A2923" s="3">
        <v>41648</v>
      </c>
      <c r="B2923" s="2">
        <v>9.2449999999999992</v>
      </c>
      <c r="C2923" s="2">
        <f t="shared" si="45"/>
        <v>4.8793807840934881E-3</v>
      </c>
    </row>
    <row r="2924" spans="1:3" x14ac:dyDescent="0.2">
      <c r="A2924" s="3">
        <v>41647</v>
      </c>
      <c r="B2924" s="2">
        <v>9.1999999999999993</v>
      </c>
      <c r="C2924" s="2">
        <f t="shared" si="45"/>
        <v>-1.081091610421573E-2</v>
      </c>
    </row>
    <row r="2925" spans="1:3" x14ac:dyDescent="0.2">
      <c r="A2925" s="3">
        <v>41646</v>
      </c>
      <c r="B2925" s="2">
        <v>9.3000000000000007</v>
      </c>
      <c r="C2925" s="2">
        <f t="shared" si="45"/>
        <v>1.8448705552333064E-2</v>
      </c>
    </row>
    <row r="2926" spans="1:3" x14ac:dyDescent="0.2">
      <c r="A2926" s="3">
        <v>41645</v>
      </c>
      <c r="B2926" s="2">
        <v>9.1300000000000008</v>
      </c>
      <c r="C2926" s="2">
        <f t="shared" si="45"/>
        <v>2.0470977646194682E-2</v>
      </c>
    </row>
    <row r="2927" spans="1:3" x14ac:dyDescent="0.2">
      <c r="A2927" s="3">
        <v>41642</v>
      </c>
      <c r="B2927" s="2">
        <v>8.9450000000000003</v>
      </c>
      <c r="C2927" s="2">
        <f t="shared" si="45"/>
        <v>2.5475479039794219E-2</v>
      </c>
    </row>
    <row r="2928" spans="1:3" x14ac:dyDescent="0.2">
      <c r="A2928" s="3">
        <v>41638</v>
      </c>
      <c r="B2928" s="2">
        <v>8.7200000000000006</v>
      </c>
      <c r="C2928" s="2">
        <f t="shared" si="45"/>
        <v>-1.3667638728663757E-2</v>
      </c>
    </row>
    <row r="2929" spans="1:3" x14ac:dyDescent="0.2">
      <c r="A2929" s="3">
        <v>41635</v>
      </c>
      <c r="B2929" s="2">
        <v>8.84</v>
      </c>
      <c r="C2929" s="2">
        <f t="shared" si="45"/>
        <v>9.6619109117368901E-3</v>
      </c>
    </row>
    <row r="2930" spans="1:3" x14ac:dyDescent="0.2">
      <c r="A2930" s="3">
        <v>41631</v>
      </c>
      <c r="B2930" s="2">
        <v>8.7550000000000008</v>
      </c>
      <c r="C2930" s="2">
        <f t="shared" si="45"/>
        <v>1.1428572672500231E-3</v>
      </c>
    </row>
    <row r="2931" spans="1:3" x14ac:dyDescent="0.2">
      <c r="A2931" s="3">
        <v>41628</v>
      </c>
      <c r="B2931" s="2">
        <v>8.7449999999999992</v>
      </c>
      <c r="C2931" s="2">
        <f t="shared" si="45"/>
        <v>5.1590828100274233E-3</v>
      </c>
    </row>
    <row r="2932" spans="1:3" x14ac:dyDescent="0.2">
      <c r="A2932" s="3">
        <v>41627</v>
      </c>
      <c r="B2932" s="2">
        <v>8.6999999999999993</v>
      </c>
      <c r="C2932" s="2">
        <f t="shared" si="45"/>
        <v>-9.1533819864872482E-3</v>
      </c>
    </row>
    <row r="2933" spans="1:3" x14ac:dyDescent="0.2">
      <c r="A2933" s="3">
        <v>41626</v>
      </c>
      <c r="B2933" s="2">
        <v>8.7799999999999994</v>
      </c>
      <c r="C2933" s="2">
        <f t="shared" si="45"/>
        <v>2.0714204387563235E-2</v>
      </c>
    </row>
    <row r="2934" spans="1:3" x14ac:dyDescent="0.2">
      <c r="A2934" s="3">
        <v>41625</v>
      </c>
      <c r="B2934" s="2">
        <v>8.6</v>
      </c>
      <c r="C2934" s="2">
        <f t="shared" si="45"/>
        <v>1.1696039763191236E-2</v>
      </c>
    </row>
    <row r="2935" spans="1:3" x14ac:dyDescent="0.2">
      <c r="A2935" s="3">
        <v>41624</v>
      </c>
      <c r="B2935" s="2">
        <v>8.5</v>
      </c>
      <c r="C2935" s="2">
        <f t="shared" si="45"/>
        <v>2.2606554628913905E-2</v>
      </c>
    </row>
    <row r="2936" spans="1:3" x14ac:dyDescent="0.2">
      <c r="A2936" s="3">
        <v>41621</v>
      </c>
      <c r="B2936" s="2">
        <v>8.31</v>
      </c>
      <c r="C2936" s="2">
        <f t="shared" si="45"/>
        <v>1.8066852249490513E-3</v>
      </c>
    </row>
    <row r="2937" spans="1:3" x14ac:dyDescent="0.2">
      <c r="A2937" s="3">
        <v>41620</v>
      </c>
      <c r="B2937" s="2">
        <v>8.2949999999999999</v>
      </c>
      <c r="C2937" s="2">
        <f t="shared" si="45"/>
        <v>6.029544952043459E-4</v>
      </c>
    </row>
    <row r="2938" spans="1:3" x14ac:dyDescent="0.2">
      <c r="A2938" s="3">
        <v>41619</v>
      </c>
      <c r="B2938" s="2">
        <v>8.2899999999999991</v>
      </c>
      <c r="C2938" s="2">
        <f t="shared" si="45"/>
        <v>7.8716724957680131E-3</v>
      </c>
    </row>
    <row r="2939" spans="1:3" x14ac:dyDescent="0.2">
      <c r="A2939" s="3">
        <v>41618</v>
      </c>
      <c r="B2939" s="2">
        <v>8.2249999999999996</v>
      </c>
      <c r="C2939" s="2">
        <f t="shared" si="45"/>
        <v>6.0808758334684608E-4</v>
      </c>
    </row>
    <row r="2940" spans="1:3" x14ac:dyDescent="0.2">
      <c r="A2940" s="3">
        <v>41617</v>
      </c>
      <c r="B2940" s="2">
        <v>8.2200000000000006</v>
      </c>
      <c r="C2940" s="2">
        <f t="shared" si="45"/>
        <v>1.6559716039018339E-2</v>
      </c>
    </row>
    <row r="2941" spans="1:3" x14ac:dyDescent="0.2">
      <c r="A2941" s="3">
        <v>41614</v>
      </c>
      <c r="B2941" s="2">
        <v>8.0850000000000009</v>
      </c>
      <c r="C2941" s="2">
        <f t="shared" si="45"/>
        <v>1.5581493172778684E-2</v>
      </c>
    </row>
    <row r="2942" spans="1:3" x14ac:dyDescent="0.2">
      <c r="A2942" s="3">
        <v>41613</v>
      </c>
      <c r="B2942" s="2">
        <v>7.96</v>
      </c>
      <c r="C2942" s="2">
        <f t="shared" si="45"/>
        <v>-1.0000083334583311E-2</v>
      </c>
    </row>
    <row r="2943" spans="1:3" x14ac:dyDescent="0.2">
      <c r="A2943" s="3">
        <v>41612</v>
      </c>
      <c r="B2943" s="2">
        <v>8.0399999999999991</v>
      </c>
      <c r="C2943" s="2">
        <f t="shared" si="45"/>
        <v>-3.7243990909825511E-3</v>
      </c>
    </row>
    <row r="2944" spans="1:3" x14ac:dyDescent="0.2">
      <c r="A2944" s="3">
        <v>41611</v>
      </c>
      <c r="B2944" s="2">
        <v>8.07</v>
      </c>
      <c r="C2944" s="2">
        <f t="shared" si="45"/>
        <v>-1.59806719883499E-2</v>
      </c>
    </row>
    <row r="2945" spans="1:3" x14ac:dyDescent="0.2">
      <c r="A2945" s="3">
        <v>41610</v>
      </c>
      <c r="B2945" s="2">
        <v>8.1999999999999993</v>
      </c>
      <c r="C2945" s="2">
        <f t="shared" si="45"/>
        <v>-2.3502136259296775E-2</v>
      </c>
    </row>
    <row r="2946" spans="1:3" x14ac:dyDescent="0.2">
      <c r="A2946" s="3">
        <v>41607</v>
      </c>
      <c r="B2946" s="2">
        <v>8.3949999999999996</v>
      </c>
      <c r="C2946" s="2">
        <f t="shared" si="45"/>
        <v>-1.2429872966766719E-2</v>
      </c>
    </row>
    <row r="2947" spans="1:3" x14ac:dyDescent="0.2">
      <c r="A2947" s="3">
        <v>41606</v>
      </c>
      <c r="B2947" s="2">
        <v>8.5</v>
      </c>
      <c r="C2947" s="2">
        <f t="shared" ref="C2947:C3010" si="46">+LN(B2947/B2948)</f>
        <v>1.9602647293513423E-2</v>
      </c>
    </row>
    <row r="2948" spans="1:3" x14ac:dyDescent="0.2">
      <c r="A2948" s="3">
        <v>41605</v>
      </c>
      <c r="B2948" s="2">
        <v>8.3350000000000009</v>
      </c>
      <c r="C2948" s="2">
        <f t="shared" si="46"/>
        <v>-5.9808790724147397E-3</v>
      </c>
    </row>
    <row r="2949" spans="1:3" x14ac:dyDescent="0.2">
      <c r="A2949" s="3">
        <v>41604</v>
      </c>
      <c r="B2949" s="2">
        <v>8.3849999999999998</v>
      </c>
      <c r="C2949" s="2">
        <f t="shared" si="46"/>
        <v>4.1828564124080595E-3</v>
      </c>
    </row>
    <row r="2950" spans="1:3" x14ac:dyDescent="0.2">
      <c r="A2950" s="3">
        <v>41603</v>
      </c>
      <c r="B2950" s="2">
        <v>8.35</v>
      </c>
      <c r="C2950" s="2">
        <f t="shared" si="46"/>
        <v>-2.9895388483660483E-3</v>
      </c>
    </row>
    <row r="2951" spans="1:3" x14ac:dyDescent="0.2">
      <c r="A2951" s="3">
        <v>41600</v>
      </c>
      <c r="B2951" s="2">
        <v>8.375</v>
      </c>
      <c r="C2951" s="2">
        <f t="shared" si="46"/>
        <v>-5.9523985272953847E-3</v>
      </c>
    </row>
    <row r="2952" spans="1:3" x14ac:dyDescent="0.2">
      <c r="A2952" s="3">
        <v>41599</v>
      </c>
      <c r="B2952" s="2">
        <v>8.4250000000000007</v>
      </c>
      <c r="C2952" s="2">
        <f t="shared" si="46"/>
        <v>1.4947961435873148E-2</v>
      </c>
    </row>
    <row r="2953" spans="1:3" x14ac:dyDescent="0.2">
      <c r="A2953" s="3">
        <v>41596</v>
      </c>
      <c r="B2953" s="2">
        <v>8.3000000000000007</v>
      </c>
      <c r="C2953" s="2">
        <f t="shared" si="46"/>
        <v>8.4695001135737837E-3</v>
      </c>
    </row>
    <row r="2954" spans="1:3" x14ac:dyDescent="0.2">
      <c r="A2954" s="3">
        <v>41593</v>
      </c>
      <c r="B2954" s="2">
        <v>8.23</v>
      </c>
      <c r="C2954" s="2">
        <f t="shared" si="46"/>
        <v>6.0938640743228127E-3</v>
      </c>
    </row>
    <row r="2955" spans="1:3" x14ac:dyDescent="0.2">
      <c r="A2955" s="3">
        <v>41592</v>
      </c>
      <c r="B2955" s="2">
        <v>8.18</v>
      </c>
      <c r="C2955" s="2">
        <f t="shared" si="46"/>
        <v>-1.2217472503223644E-3</v>
      </c>
    </row>
    <row r="2956" spans="1:3" x14ac:dyDescent="0.2">
      <c r="A2956" s="3">
        <v>41591</v>
      </c>
      <c r="B2956" s="2">
        <v>8.19</v>
      </c>
      <c r="C2956" s="2">
        <f t="shared" si="46"/>
        <v>-3.6563112031106548E-3</v>
      </c>
    </row>
    <row r="2957" spans="1:3" x14ac:dyDescent="0.2">
      <c r="A2957" s="3">
        <v>41589</v>
      </c>
      <c r="B2957" s="2">
        <v>8.2200000000000006</v>
      </c>
      <c r="C2957" s="2">
        <f t="shared" si="46"/>
        <v>1.4706147389695487E-2</v>
      </c>
    </row>
    <row r="2958" spans="1:3" x14ac:dyDescent="0.2">
      <c r="A2958" s="3">
        <v>41586</v>
      </c>
      <c r="B2958" s="2">
        <v>8.1</v>
      </c>
      <c r="C2958" s="2">
        <f t="shared" si="46"/>
        <v>-6.1538655743783354E-3</v>
      </c>
    </row>
    <row r="2959" spans="1:3" x14ac:dyDescent="0.2">
      <c r="A2959" s="3">
        <v>41585</v>
      </c>
      <c r="B2959" s="2">
        <v>8.15</v>
      </c>
      <c r="C2959" s="2">
        <f t="shared" si="46"/>
        <v>-6.1162270174359825E-3</v>
      </c>
    </row>
    <row r="2960" spans="1:3" x14ac:dyDescent="0.2">
      <c r="A2960" s="3">
        <v>41584</v>
      </c>
      <c r="B2960" s="2">
        <v>8.1999999999999993</v>
      </c>
      <c r="C2960" s="2">
        <f t="shared" si="46"/>
        <v>2.4420036555515873E-3</v>
      </c>
    </row>
    <row r="2961" spans="1:3" x14ac:dyDescent="0.2">
      <c r="A2961" s="3">
        <v>41583</v>
      </c>
      <c r="B2961" s="2">
        <v>8.18</v>
      </c>
      <c r="C2961" s="2">
        <f t="shared" si="46"/>
        <v>1.2300278081651687E-2</v>
      </c>
    </row>
    <row r="2962" spans="1:3" x14ac:dyDescent="0.2">
      <c r="A2962" s="3">
        <v>41582</v>
      </c>
      <c r="B2962" s="2">
        <v>8.08</v>
      </c>
      <c r="C2962" s="2">
        <f t="shared" si="46"/>
        <v>-1.4742281737203319E-2</v>
      </c>
    </row>
    <row r="2963" spans="1:3" x14ac:dyDescent="0.2">
      <c r="A2963" s="3">
        <v>41578</v>
      </c>
      <c r="B2963" s="2">
        <v>8.1999999999999993</v>
      </c>
      <c r="C2963" s="2">
        <f t="shared" si="46"/>
        <v>9.1884260544061701E-3</v>
      </c>
    </row>
    <row r="2964" spans="1:3" x14ac:dyDescent="0.2">
      <c r="A2964" s="3">
        <v>41577</v>
      </c>
      <c r="B2964" s="2">
        <v>8.125</v>
      </c>
      <c r="C2964" s="2">
        <f t="shared" si="46"/>
        <v>-3.0721990369702518E-3</v>
      </c>
    </row>
    <row r="2965" spans="1:3" x14ac:dyDescent="0.2">
      <c r="A2965" s="3">
        <v>41576</v>
      </c>
      <c r="B2965" s="2">
        <v>8.15</v>
      </c>
      <c r="C2965" s="2">
        <f t="shared" si="46"/>
        <v>1.4833399294101095E-2</v>
      </c>
    </row>
    <row r="2966" spans="1:3" x14ac:dyDescent="0.2">
      <c r="A2966" s="3">
        <v>41575</v>
      </c>
      <c r="B2966" s="2">
        <v>8.0299999999999994</v>
      </c>
      <c r="C2966" s="2">
        <f t="shared" si="46"/>
        <v>-8.6795337197227707E-3</v>
      </c>
    </row>
    <row r="2967" spans="1:3" x14ac:dyDescent="0.2">
      <c r="A2967" s="3">
        <v>41572</v>
      </c>
      <c r="B2967" s="2">
        <v>8.1</v>
      </c>
      <c r="C2967" s="2">
        <f t="shared" si="46"/>
        <v>-9.8280889362626512E-3</v>
      </c>
    </row>
    <row r="2968" spans="1:3" x14ac:dyDescent="0.2">
      <c r="A2968" s="3">
        <v>41571</v>
      </c>
      <c r="B2968" s="2">
        <v>8.18</v>
      </c>
      <c r="C2968" s="2">
        <f t="shared" si="46"/>
        <v>-2.4420036555517443E-3</v>
      </c>
    </row>
    <row r="2969" spans="1:3" x14ac:dyDescent="0.2">
      <c r="A2969" s="3">
        <v>41570</v>
      </c>
      <c r="B2969" s="2">
        <v>8.1999999999999993</v>
      </c>
      <c r="C2969" s="2">
        <f t="shared" si="46"/>
        <v>-8.5003547653926051E-3</v>
      </c>
    </row>
    <row r="2970" spans="1:3" x14ac:dyDescent="0.2">
      <c r="A2970" s="3">
        <v>41569</v>
      </c>
      <c r="B2970" s="2">
        <v>8.27</v>
      </c>
      <c r="C2970" s="2">
        <f t="shared" si="46"/>
        <v>-9.6270298271641987E-3</v>
      </c>
    </row>
    <row r="2971" spans="1:3" x14ac:dyDescent="0.2">
      <c r="A2971" s="3">
        <v>41568</v>
      </c>
      <c r="B2971" s="2">
        <v>8.35</v>
      </c>
      <c r="C2971" s="2">
        <f t="shared" si="46"/>
        <v>-2.7172374637106835E-2</v>
      </c>
    </row>
    <row r="2972" spans="1:3" x14ac:dyDescent="0.2">
      <c r="A2972" s="3">
        <v>41565</v>
      </c>
      <c r="B2972" s="2">
        <v>8.58</v>
      </c>
      <c r="C2972" s="2">
        <f t="shared" si="46"/>
        <v>3.8009325966984177E-2</v>
      </c>
    </row>
    <row r="2973" spans="1:3" x14ac:dyDescent="0.2">
      <c r="A2973" s="3">
        <v>41564</v>
      </c>
      <c r="B2973" s="2">
        <v>8.26</v>
      </c>
      <c r="C2973" s="2">
        <f t="shared" si="46"/>
        <v>2.6995504342011735E-2</v>
      </c>
    </row>
    <row r="2974" spans="1:3" x14ac:dyDescent="0.2">
      <c r="A2974" s="3">
        <v>41563</v>
      </c>
      <c r="B2974" s="2">
        <v>8.0399999999999991</v>
      </c>
      <c r="C2974" s="2">
        <f t="shared" si="46"/>
        <v>-7.4349784875180902E-3</v>
      </c>
    </row>
    <row r="2975" spans="1:3" x14ac:dyDescent="0.2">
      <c r="A2975" s="3">
        <v>41562</v>
      </c>
      <c r="B2975" s="2">
        <v>8.1</v>
      </c>
      <c r="C2975" s="2">
        <f t="shared" si="46"/>
        <v>8.6795337197228106E-3</v>
      </c>
    </row>
    <row r="2976" spans="1:3" x14ac:dyDescent="0.2">
      <c r="A2976" s="3">
        <v>41561</v>
      </c>
      <c r="B2976" s="2">
        <v>8.0299999999999994</v>
      </c>
      <c r="C2976" s="2">
        <f t="shared" si="46"/>
        <v>-8.6795337197227707E-3</v>
      </c>
    </row>
    <row r="2977" spans="1:3" x14ac:dyDescent="0.2">
      <c r="A2977" s="3">
        <v>41556</v>
      </c>
      <c r="B2977" s="2">
        <v>8.1</v>
      </c>
      <c r="C2977" s="2">
        <f t="shared" si="46"/>
        <v>-8.6048471935184136E-3</v>
      </c>
    </row>
    <row r="2978" spans="1:3" x14ac:dyDescent="0.2">
      <c r="A2978" s="3">
        <v>41555</v>
      </c>
      <c r="B2978" s="2">
        <v>8.17</v>
      </c>
      <c r="C2978" s="2">
        <f t="shared" si="46"/>
        <v>-3.6652453982958058E-3</v>
      </c>
    </row>
    <row r="2979" spans="1:3" x14ac:dyDescent="0.2">
      <c r="A2979" s="3">
        <v>41554</v>
      </c>
      <c r="B2979" s="2">
        <v>8.1999999999999993</v>
      </c>
      <c r="C2979" s="2">
        <f t="shared" si="46"/>
        <v>-2.4360547978813383E-3</v>
      </c>
    </row>
    <row r="2980" spans="1:3" x14ac:dyDescent="0.2">
      <c r="A2980" s="3">
        <v>41551</v>
      </c>
      <c r="B2980" s="2">
        <v>8.2200000000000006</v>
      </c>
      <c r="C2980" s="2">
        <f t="shared" si="46"/>
        <v>4.2669982449902635E-3</v>
      </c>
    </row>
    <row r="2981" spans="1:3" x14ac:dyDescent="0.2">
      <c r="A2981" s="3">
        <v>41550</v>
      </c>
      <c r="B2981" s="2">
        <v>8.1850000000000005</v>
      </c>
      <c r="C2981" s="2">
        <f t="shared" si="46"/>
        <v>4.8989687690899819E-3</v>
      </c>
    </row>
    <row r="2982" spans="1:3" x14ac:dyDescent="0.2">
      <c r="A2982" s="3">
        <v>41549</v>
      </c>
      <c r="B2982" s="2">
        <v>8.1449999999999996</v>
      </c>
      <c r="C2982" s="2">
        <f t="shared" si="46"/>
        <v>1.843318494289093E-3</v>
      </c>
    </row>
    <row r="2983" spans="1:3" x14ac:dyDescent="0.2">
      <c r="A2983" s="3">
        <v>41548</v>
      </c>
      <c r="B2983" s="2">
        <v>8.1300000000000008</v>
      </c>
      <c r="C2983" s="2">
        <f t="shared" si="46"/>
        <v>1.175392437024333E-2</v>
      </c>
    </row>
    <row r="2984" spans="1:3" x14ac:dyDescent="0.2">
      <c r="A2984" s="3">
        <v>41547</v>
      </c>
      <c r="B2984" s="2">
        <v>8.0350000000000001</v>
      </c>
      <c r="C2984" s="2">
        <f t="shared" si="46"/>
        <v>-4.3464830923815529E-3</v>
      </c>
    </row>
    <row r="2985" spans="1:3" x14ac:dyDescent="0.2">
      <c r="A2985" s="3">
        <v>41544</v>
      </c>
      <c r="B2985" s="2">
        <v>8.07</v>
      </c>
      <c r="C2985" s="2">
        <f t="shared" si="46"/>
        <v>1.2399257633205734E-3</v>
      </c>
    </row>
    <row r="2986" spans="1:3" x14ac:dyDescent="0.2">
      <c r="A2986" s="3">
        <v>41543</v>
      </c>
      <c r="B2986" s="2">
        <v>8.06</v>
      </c>
      <c r="C2986" s="2">
        <f t="shared" si="46"/>
        <v>-4.3330306110615944E-3</v>
      </c>
    </row>
    <row r="2987" spans="1:3" x14ac:dyDescent="0.2">
      <c r="A2987" s="3">
        <v>41542</v>
      </c>
      <c r="B2987" s="2">
        <v>8.0950000000000006</v>
      </c>
      <c r="C2987" s="2">
        <f t="shared" si="46"/>
        <v>-1.2345680580409795E-3</v>
      </c>
    </row>
    <row r="2988" spans="1:3" x14ac:dyDescent="0.2">
      <c r="A2988" s="3">
        <v>41541</v>
      </c>
      <c r="B2988" s="2">
        <v>8.1050000000000004</v>
      </c>
      <c r="C2988" s="2">
        <f t="shared" si="46"/>
        <v>4.3276729057820278E-3</v>
      </c>
    </row>
    <row r="2989" spans="1:3" x14ac:dyDescent="0.2">
      <c r="A2989" s="3">
        <v>41540</v>
      </c>
      <c r="B2989" s="2">
        <v>8.07</v>
      </c>
      <c r="C2989" s="2">
        <f t="shared" si="46"/>
        <v>3.7243990909824939E-3</v>
      </c>
    </row>
    <row r="2990" spans="1:3" x14ac:dyDescent="0.2">
      <c r="A2990" s="3">
        <v>41537</v>
      </c>
      <c r="B2990" s="2">
        <v>8.0399999999999991</v>
      </c>
      <c r="C2990" s="2">
        <f t="shared" si="46"/>
        <v>-1.4815085785140812E-2</v>
      </c>
    </row>
    <row r="2991" spans="1:3" x14ac:dyDescent="0.2">
      <c r="A2991" s="3">
        <v>41536</v>
      </c>
      <c r="B2991" s="2">
        <v>8.16</v>
      </c>
      <c r="C2991" s="2">
        <f t="shared" si="46"/>
        <v>7.3801072976226803E-3</v>
      </c>
    </row>
    <row r="2992" spans="1:3" x14ac:dyDescent="0.2">
      <c r="A2992" s="3">
        <v>41534</v>
      </c>
      <c r="B2992" s="2">
        <v>8.1</v>
      </c>
      <c r="C2992" s="2">
        <f t="shared" si="46"/>
        <v>1.8692133012152546E-2</v>
      </c>
    </row>
    <row r="2993" spans="1:3" x14ac:dyDescent="0.2">
      <c r="A2993" s="3">
        <v>41533</v>
      </c>
      <c r="B2993" s="2">
        <v>7.95</v>
      </c>
      <c r="C2993" s="2">
        <f t="shared" si="46"/>
        <v>1.648737410902083E-2</v>
      </c>
    </row>
    <row r="2994" spans="1:3" x14ac:dyDescent="0.2">
      <c r="A2994" s="3">
        <v>41530</v>
      </c>
      <c r="B2994" s="2">
        <v>7.82</v>
      </c>
      <c r="C2994" s="2">
        <f t="shared" si="46"/>
        <v>-6.3735078720921177E-3</v>
      </c>
    </row>
    <row r="2995" spans="1:3" x14ac:dyDescent="0.2">
      <c r="A2995" s="3">
        <v>41529</v>
      </c>
      <c r="B2995" s="2">
        <v>7.87</v>
      </c>
      <c r="C2995" s="2">
        <f t="shared" si="46"/>
        <v>-2.5380724284710002E-3</v>
      </c>
    </row>
    <row r="2996" spans="1:3" x14ac:dyDescent="0.2">
      <c r="A2996" s="3">
        <v>41528</v>
      </c>
      <c r="B2996" s="2">
        <v>7.89</v>
      </c>
      <c r="C2996" s="2">
        <f t="shared" si="46"/>
        <v>1.0191171006188283E-2</v>
      </c>
    </row>
    <row r="2997" spans="1:3" x14ac:dyDescent="0.2">
      <c r="A2997" s="3">
        <v>41527</v>
      </c>
      <c r="B2997" s="2">
        <v>7.81</v>
      </c>
      <c r="C2997" s="2">
        <f t="shared" si="46"/>
        <v>7.7121204863388132E-3</v>
      </c>
    </row>
    <row r="2998" spans="1:3" x14ac:dyDescent="0.2">
      <c r="A2998" s="3">
        <v>41526</v>
      </c>
      <c r="B2998" s="2">
        <v>7.75</v>
      </c>
      <c r="C2998" s="2">
        <f t="shared" si="46"/>
        <v>-5.1480165174012443E-3</v>
      </c>
    </row>
    <row r="2999" spans="1:3" x14ac:dyDescent="0.2">
      <c r="A2999" s="3">
        <v>41521</v>
      </c>
      <c r="B2999" s="2">
        <v>7.79</v>
      </c>
      <c r="C2999" s="2">
        <f t="shared" si="46"/>
        <v>-5.7600159253272543E-3</v>
      </c>
    </row>
    <row r="3000" spans="1:3" x14ac:dyDescent="0.2">
      <c r="A3000" s="3">
        <v>41520</v>
      </c>
      <c r="B3000" s="2">
        <v>7.835</v>
      </c>
      <c r="C3000" s="2">
        <f t="shared" si="46"/>
        <v>-1.912655986332913E-3</v>
      </c>
    </row>
    <row r="3001" spans="1:3" x14ac:dyDescent="0.2">
      <c r="A3001" s="3">
        <v>41519</v>
      </c>
      <c r="B3001" s="2">
        <v>7.85</v>
      </c>
      <c r="C3001" s="2">
        <f t="shared" si="46"/>
        <v>7.6726719116601864E-3</v>
      </c>
    </row>
    <row r="3002" spans="1:3" x14ac:dyDescent="0.2">
      <c r="A3002" s="3">
        <v>41516</v>
      </c>
      <c r="B3002" s="2">
        <v>7.79</v>
      </c>
      <c r="C3002" s="2">
        <f t="shared" si="46"/>
        <v>1.162053102301879E-2</v>
      </c>
    </row>
    <row r="3003" spans="1:3" x14ac:dyDescent="0.2">
      <c r="A3003" s="3">
        <v>41514</v>
      </c>
      <c r="B3003" s="2">
        <v>7.7</v>
      </c>
      <c r="C3003" s="2">
        <f t="shared" si="46"/>
        <v>-4.1341340156441399E-2</v>
      </c>
    </row>
    <row r="3004" spans="1:3" x14ac:dyDescent="0.2">
      <c r="A3004" s="3">
        <v>41512</v>
      </c>
      <c r="B3004" s="2">
        <v>8.0250000000000004</v>
      </c>
      <c r="C3004" s="2">
        <f t="shared" si="46"/>
        <v>-1.1768485157506937E-2</v>
      </c>
    </row>
    <row r="3005" spans="1:3" x14ac:dyDescent="0.2">
      <c r="A3005" s="3">
        <v>41509</v>
      </c>
      <c r="B3005" s="2">
        <v>8.1199999999999992</v>
      </c>
      <c r="C3005" s="2">
        <f t="shared" si="46"/>
        <v>1.2322860462651017E-3</v>
      </c>
    </row>
    <row r="3006" spans="1:3" x14ac:dyDescent="0.2">
      <c r="A3006" s="3">
        <v>41508</v>
      </c>
      <c r="B3006" s="2">
        <v>8.11</v>
      </c>
      <c r="C3006" s="2">
        <f t="shared" si="46"/>
        <v>-4.3063739266868883E-3</v>
      </c>
    </row>
    <row r="3007" spans="1:3" x14ac:dyDescent="0.2">
      <c r="A3007" s="3">
        <v>41507</v>
      </c>
      <c r="B3007" s="2">
        <v>8.1449999999999996</v>
      </c>
      <c r="C3007" s="2">
        <f t="shared" si="46"/>
        <v>1.1732150623536351E-2</v>
      </c>
    </row>
    <row r="3008" spans="1:3" x14ac:dyDescent="0.2">
      <c r="A3008" s="3">
        <v>41506</v>
      </c>
      <c r="B3008" s="2">
        <v>8.0500000000000007</v>
      </c>
      <c r="C3008" s="2">
        <f t="shared" si="46"/>
        <v>-2.3328252490908263E-2</v>
      </c>
    </row>
    <row r="3009" spans="1:3" x14ac:dyDescent="0.2">
      <c r="A3009" s="3">
        <v>41505</v>
      </c>
      <c r="B3009" s="2">
        <v>8.24</v>
      </c>
      <c r="C3009" s="2">
        <f t="shared" si="46"/>
        <v>-2.42424361150628E-3</v>
      </c>
    </row>
    <row r="3010" spans="1:3" x14ac:dyDescent="0.2">
      <c r="A3010" s="3">
        <v>41502</v>
      </c>
      <c r="B3010" s="2">
        <v>8.26</v>
      </c>
      <c r="C3010" s="2">
        <f t="shared" si="46"/>
        <v>1.2113871862970882E-3</v>
      </c>
    </row>
    <row r="3011" spans="1:3" x14ac:dyDescent="0.2">
      <c r="A3011" s="3">
        <v>41500</v>
      </c>
      <c r="B3011" s="2">
        <v>8.25</v>
      </c>
      <c r="C3011" s="2">
        <f t="shared" ref="C3011:C3074" si="47">+LN(B3011/B3012)</f>
        <v>1.8349138668196617E-2</v>
      </c>
    </row>
    <row r="3012" spans="1:3" x14ac:dyDescent="0.2">
      <c r="A3012" s="3">
        <v>41499</v>
      </c>
      <c r="B3012" s="2">
        <v>8.1</v>
      </c>
      <c r="C3012" s="2">
        <f t="shared" si="47"/>
        <v>1.4299280011417346E-2</v>
      </c>
    </row>
    <row r="3013" spans="1:3" x14ac:dyDescent="0.2">
      <c r="A3013" s="3">
        <v>41498</v>
      </c>
      <c r="B3013" s="2">
        <v>7.9850000000000003</v>
      </c>
      <c r="C3013" s="2">
        <f t="shared" si="47"/>
        <v>2.6008443476675424E-2</v>
      </c>
    </row>
    <row r="3014" spans="1:3" x14ac:dyDescent="0.2">
      <c r="A3014" s="3">
        <v>41495</v>
      </c>
      <c r="B3014" s="2">
        <v>7.78</v>
      </c>
      <c r="C3014" s="2">
        <f t="shared" si="47"/>
        <v>7.7419741536154593E-3</v>
      </c>
    </row>
    <row r="3015" spans="1:3" x14ac:dyDescent="0.2">
      <c r="A3015" s="3">
        <v>41494</v>
      </c>
      <c r="B3015" s="2">
        <v>7.72</v>
      </c>
      <c r="C3015" s="2">
        <f t="shared" si="47"/>
        <v>3.8935805191320197E-3</v>
      </c>
    </row>
    <row r="3016" spans="1:3" x14ac:dyDescent="0.2">
      <c r="A3016" s="3">
        <v>41493</v>
      </c>
      <c r="B3016" s="2">
        <v>7.69</v>
      </c>
      <c r="C3016" s="2">
        <f t="shared" si="47"/>
        <v>-7.7720598477029734E-3</v>
      </c>
    </row>
    <row r="3017" spans="1:3" x14ac:dyDescent="0.2">
      <c r="A3017" s="3">
        <v>41491</v>
      </c>
      <c r="B3017" s="2">
        <v>7.75</v>
      </c>
      <c r="C3017" s="2">
        <f t="shared" si="47"/>
        <v>2.6807751145443419E-2</v>
      </c>
    </row>
    <row r="3018" spans="1:3" x14ac:dyDescent="0.2">
      <c r="A3018" s="3">
        <v>41488</v>
      </c>
      <c r="B3018" s="2">
        <v>7.5449999999999999</v>
      </c>
      <c r="C3018" s="2">
        <f t="shared" si="47"/>
        <v>9.320972943062179E-3</v>
      </c>
    </row>
    <row r="3019" spans="1:3" x14ac:dyDescent="0.2">
      <c r="A3019" s="3">
        <v>41487</v>
      </c>
      <c r="B3019" s="2">
        <v>7.4749999999999996</v>
      </c>
      <c r="C3019" s="2">
        <f t="shared" si="47"/>
        <v>3.3500868852818057E-3</v>
      </c>
    </row>
    <row r="3020" spans="1:3" x14ac:dyDescent="0.2">
      <c r="A3020" s="3">
        <v>41486</v>
      </c>
      <c r="B3020" s="2">
        <v>7.45</v>
      </c>
      <c r="C3020" s="2">
        <f t="shared" si="47"/>
        <v>1.3431835464675379E-3</v>
      </c>
    </row>
    <row r="3021" spans="1:3" x14ac:dyDescent="0.2">
      <c r="A3021" s="3">
        <v>41484</v>
      </c>
      <c r="B3021" s="2">
        <v>7.44</v>
      </c>
      <c r="C3021" s="2">
        <f t="shared" si="47"/>
        <v>-1.9960742562537943E-2</v>
      </c>
    </row>
    <row r="3022" spans="1:3" x14ac:dyDescent="0.2">
      <c r="A3022" s="3">
        <v>41481</v>
      </c>
      <c r="B3022" s="2">
        <v>7.59</v>
      </c>
      <c r="C3022" s="2">
        <f t="shared" si="47"/>
        <v>-1.3166558847467851E-3</v>
      </c>
    </row>
    <row r="3023" spans="1:3" x14ac:dyDescent="0.2">
      <c r="A3023" s="3">
        <v>41480</v>
      </c>
      <c r="B3023" s="2">
        <v>7.6</v>
      </c>
      <c r="C3023" s="2">
        <f t="shared" si="47"/>
        <v>1.391211573772441E-2</v>
      </c>
    </row>
    <row r="3024" spans="1:3" x14ac:dyDescent="0.2">
      <c r="A3024" s="3">
        <v>41479</v>
      </c>
      <c r="B3024" s="2">
        <v>7.4950000000000001</v>
      </c>
      <c r="C3024" s="2">
        <f t="shared" si="47"/>
        <v>-6.6688898770376765E-4</v>
      </c>
    </row>
    <row r="3025" spans="1:3" x14ac:dyDescent="0.2">
      <c r="A3025" s="3">
        <v>41478</v>
      </c>
      <c r="B3025" s="2">
        <v>7.5</v>
      </c>
      <c r="C3025" s="2">
        <f t="shared" si="47"/>
        <v>4.221184880930938E-2</v>
      </c>
    </row>
    <row r="3026" spans="1:3" x14ac:dyDescent="0.2">
      <c r="A3026" s="3">
        <v>41477</v>
      </c>
      <c r="B3026" s="2">
        <v>7.19</v>
      </c>
      <c r="C3026" s="2">
        <f t="shared" si="47"/>
        <v>2.0884100872706744E-3</v>
      </c>
    </row>
    <row r="3027" spans="1:3" x14ac:dyDescent="0.2">
      <c r="A3027" s="3">
        <v>41474</v>
      </c>
      <c r="B3027" s="2">
        <v>7.1749999999999998</v>
      </c>
      <c r="C3027" s="2">
        <f t="shared" si="47"/>
        <v>-3.47826437632492E-3</v>
      </c>
    </row>
    <row r="3028" spans="1:3" x14ac:dyDescent="0.2">
      <c r="A3028" s="3">
        <v>41473</v>
      </c>
      <c r="B3028" s="2">
        <v>7.2</v>
      </c>
      <c r="C3028" s="2">
        <f t="shared" si="47"/>
        <v>7.6682146401790925E-3</v>
      </c>
    </row>
    <row r="3029" spans="1:3" x14ac:dyDescent="0.2">
      <c r="A3029" s="3">
        <v>41472</v>
      </c>
      <c r="B3029" s="2">
        <v>7.1449999999999996</v>
      </c>
      <c r="C3029" s="2">
        <f t="shared" si="47"/>
        <v>1.055233147334932E-2</v>
      </c>
    </row>
    <row r="3030" spans="1:3" x14ac:dyDescent="0.2">
      <c r="A3030" s="3">
        <v>41471</v>
      </c>
      <c r="B3030" s="2">
        <v>7.07</v>
      </c>
      <c r="C3030" s="2">
        <f t="shared" si="47"/>
        <v>-4.2343041387882321E-3</v>
      </c>
    </row>
    <row r="3031" spans="1:3" x14ac:dyDescent="0.2">
      <c r="A3031" s="3">
        <v>41470</v>
      </c>
      <c r="B3031" s="2">
        <v>7.1</v>
      </c>
      <c r="C3031" s="2">
        <f t="shared" si="47"/>
        <v>3.2203140494634734E-2</v>
      </c>
    </row>
    <row r="3032" spans="1:3" x14ac:dyDescent="0.2">
      <c r="A3032" s="3">
        <v>41467</v>
      </c>
      <c r="B3032" s="2">
        <v>6.875</v>
      </c>
      <c r="C3032" s="2">
        <f t="shared" si="47"/>
        <v>-2.1794414729321599E-3</v>
      </c>
    </row>
    <row r="3033" spans="1:3" x14ac:dyDescent="0.2">
      <c r="A3033" s="3">
        <v>41466</v>
      </c>
      <c r="B3033" s="2">
        <v>6.89</v>
      </c>
      <c r="C3033" s="2">
        <f t="shared" si="47"/>
        <v>7.2833533911080941E-3</v>
      </c>
    </row>
    <row r="3034" spans="1:3" x14ac:dyDescent="0.2">
      <c r="A3034" s="3">
        <v>41465</v>
      </c>
      <c r="B3034" s="2">
        <v>6.84</v>
      </c>
      <c r="C3034" s="2">
        <f t="shared" si="47"/>
        <v>-1.0905233482262468E-2</v>
      </c>
    </row>
    <row r="3035" spans="1:3" x14ac:dyDescent="0.2">
      <c r="A3035" s="3">
        <v>41464</v>
      </c>
      <c r="B3035" s="2">
        <v>6.915</v>
      </c>
      <c r="C3035" s="2">
        <f t="shared" si="47"/>
        <v>1.0905233482262527E-2</v>
      </c>
    </row>
    <row r="3036" spans="1:3" x14ac:dyDescent="0.2">
      <c r="A3036" s="3">
        <v>41463</v>
      </c>
      <c r="B3036" s="2">
        <v>6.84</v>
      </c>
      <c r="C3036" s="2">
        <f t="shared" si="47"/>
        <v>1.1025470011707861E-2</v>
      </c>
    </row>
    <row r="3037" spans="1:3" x14ac:dyDescent="0.2">
      <c r="A3037" s="3">
        <v>41460</v>
      </c>
      <c r="B3037" s="2">
        <v>6.7649999999999997</v>
      </c>
      <c r="C3037" s="2">
        <f t="shared" si="47"/>
        <v>1.4792902105891243E-3</v>
      </c>
    </row>
    <row r="3038" spans="1:3" x14ac:dyDescent="0.2">
      <c r="A3038" s="3">
        <v>41459</v>
      </c>
      <c r="B3038" s="2">
        <v>6.7549999999999999</v>
      </c>
      <c r="C3038" s="2">
        <f t="shared" si="47"/>
        <v>1.1164983863607923E-2</v>
      </c>
    </row>
    <row r="3039" spans="1:3" x14ac:dyDescent="0.2">
      <c r="A3039" s="3">
        <v>41458</v>
      </c>
      <c r="B3039" s="2">
        <v>6.68</v>
      </c>
      <c r="C3039" s="2">
        <f t="shared" si="47"/>
        <v>-1.2644274074197012E-2</v>
      </c>
    </row>
    <row r="3040" spans="1:3" x14ac:dyDescent="0.2">
      <c r="A3040" s="3">
        <v>41457</v>
      </c>
      <c r="B3040" s="2">
        <v>6.7649999999999997</v>
      </c>
      <c r="C3040" s="2">
        <f t="shared" si="47"/>
        <v>-1.2486390651382533E-2</v>
      </c>
    </row>
    <row r="3041" spans="1:3" x14ac:dyDescent="0.2">
      <c r="A3041" s="3">
        <v>41453</v>
      </c>
      <c r="B3041" s="2">
        <v>6.85</v>
      </c>
      <c r="C3041" s="2">
        <f t="shared" si="47"/>
        <v>-5.0964799064843148E-3</v>
      </c>
    </row>
    <row r="3042" spans="1:3" x14ac:dyDescent="0.2">
      <c r="A3042" s="3">
        <v>41452</v>
      </c>
      <c r="B3042" s="2">
        <v>6.8849999999999998</v>
      </c>
      <c r="C3042" s="2">
        <f t="shared" si="47"/>
        <v>3.6233168692275809E-2</v>
      </c>
    </row>
    <row r="3043" spans="1:3" x14ac:dyDescent="0.2">
      <c r="A3043" s="3">
        <v>41451</v>
      </c>
      <c r="B3043" s="2">
        <v>6.64</v>
      </c>
      <c r="C3043" s="2">
        <f t="shared" si="47"/>
        <v>3.2137425238814424E-2</v>
      </c>
    </row>
    <row r="3044" spans="1:3" x14ac:dyDescent="0.2">
      <c r="A3044" s="3">
        <v>41450</v>
      </c>
      <c r="B3044" s="2">
        <v>6.43</v>
      </c>
      <c r="C3044" s="2">
        <f t="shared" si="47"/>
        <v>6.2402698600846733E-3</v>
      </c>
    </row>
    <row r="3045" spans="1:3" x14ac:dyDescent="0.2">
      <c r="A3045" s="3">
        <v>41449</v>
      </c>
      <c r="B3045" s="2">
        <v>6.39</v>
      </c>
      <c r="C3045" s="2">
        <f t="shared" si="47"/>
        <v>-1.3986241974739952E-2</v>
      </c>
    </row>
    <row r="3046" spans="1:3" x14ac:dyDescent="0.2">
      <c r="A3046" s="3">
        <v>41446</v>
      </c>
      <c r="B3046" s="2">
        <v>6.48</v>
      </c>
      <c r="C3046" s="2">
        <f t="shared" si="47"/>
        <v>-1.3031997390576169E-2</v>
      </c>
    </row>
    <row r="3047" spans="1:3" x14ac:dyDescent="0.2">
      <c r="A3047" s="3">
        <v>41445</v>
      </c>
      <c r="B3047" s="2">
        <v>6.5650000000000004</v>
      </c>
      <c r="C3047" s="2">
        <f t="shared" si="47"/>
        <v>-2.0355018642160824E-2</v>
      </c>
    </row>
    <row r="3048" spans="1:3" x14ac:dyDescent="0.2">
      <c r="A3048" s="3">
        <v>41444</v>
      </c>
      <c r="B3048" s="2">
        <v>6.7</v>
      </c>
      <c r="C3048" s="2">
        <f t="shared" si="47"/>
        <v>-1.4914245866700204E-3</v>
      </c>
    </row>
    <row r="3049" spans="1:3" x14ac:dyDescent="0.2">
      <c r="A3049" s="3">
        <v>41443</v>
      </c>
      <c r="B3049" s="2">
        <v>6.71</v>
      </c>
      <c r="C3049" s="2">
        <f t="shared" si="47"/>
        <v>-1.3323661198470543E-2</v>
      </c>
    </row>
    <row r="3050" spans="1:3" x14ac:dyDescent="0.2">
      <c r="A3050" s="3">
        <v>41442</v>
      </c>
      <c r="B3050" s="2">
        <v>6.8</v>
      </c>
      <c r="C3050" s="2">
        <f t="shared" si="47"/>
        <v>-7.3260400920728977E-3</v>
      </c>
    </row>
    <row r="3051" spans="1:3" x14ac:dyDescent="0.2">
      <c r="A3051" s="3">
        <v>41439</v>
      </c>
      <c r="B3051" s="2">
        <v>6.85</v>
      </c>
      <c r="C3051" s="2">
        <f t="shared" si="47"/>
        <v>-1.6648954957635125E-2</v>
      </c>
    </row>
    <row r="3052" spans="1:3" x14ac:dyDescent="0.2">
      <c r="A3052" s="3">
        <v>41435</v>
      </c>
      <c r="B3052" s="2">
        <v>6.9649999999999999</v>
      </c>
      <c r="C3052" s="2">
        <f t="shared" si="47"/>
        <v>3.8790080834848639E-2</v>
      </c>
    </row>
    <row r="3053" spans="1:3" x14ac:dyDescent="0.2">
      <c r="A3053" s="3">
        <v>41430</v>
      </c>
      <c r="B3053" s="2">
        <v>6.7</v>
      </c>
      <c r="C3053" s="2">
        <f t="shared" si="47"/>
        <v>-2.8688984848344649E-2</v>
      </c>
    </row>
    <row r="3054" spans="1:3" x14ac:dyDescent="0.2">
      <c r="A3054" s="3">
        <v>41429</v>
      </c>
      <c r="B3054" s="2">
        <v>6.8949999999999996</v>
      </c>
      <c r="C3054" s="2">
        <f t="shared" si="47"/>
        <v>-7.2490035794863363E-4</v>
      </c>
    </row>
    <row r="3055" spans="1:3" x14ac:dyDescent="0.2">
      <c r="A3055" s="3">
        <v>41425</v>
      </c>
      <c r="B3055" s="2">
        <v>6.9</v>
      </c>
      <c r="C3055" s="2">
        <f t="shared" si="47"/>
        <v>1.4503265776466834E-3</v>
      </c>
    </row>
    <row r="3056" spans="1:3" x14ac:dyDescent="0.2">
      <c r="A3056" s="3">
        <v>41424</v>
      </c>
      <c r="B3056" s="2">
        <v>6.89</v>
      </c>
      <c r="C3056" s="2">
        <f t="shared" si="47"/>
        <v>2.2753275163239856E-2</v>
      </c>
    </row>
    <row r="3057" spans="1:3" x14ac:dyDescent="0.2">
      <c r="A3057" s="3">
        <v>41423</v>
      </c>
      <c r="B3057" s="2">
        <v>6.7350000000000003</v>
      </c>
      <c r="C3057" s="2">
        <f t="shared" si="47"/>
        <v>-9.6048023197336744E-3</v>
      </c>
    </row>
    <row r="3058" spans="1:3" x14ac:dyDescent="0.2">
      <c r="A3058" s="3">
        <v>41422</v>
      </c>
      <c r="B3058" s="2">
        <v>6.8</v>
      </c>
      <c r="C3058" s="2">
        <f t="shared" si="47"/>
        <v>1.3323661198470664E-2</v>
      </c>
    </row>
    <row r="3059" spans="1:3" x14ac:dyDescent="0.2">
      <c r="A3059" s="3">
        <v>41421</v>
      </c>
      <c r="B3059" s="2">
        <v>6.71</v>
      </c>
      <c r="C3059" s="2">
        <f t="shared" si="47"/>
        <v>-4.4609739406252279E-3</v>
      </c>
    </row>
    <row r="3060" spans="1:3" x14ac:dyDescent="0.2">
      <c r="A3060" s="3">
        <v>41417</v>
      </c>
      <c r="B3060" s="2">
        <v>6.74</v>
      </c>
      <c r="C3060" s="2">
        <f t="shared" si="47"/>
        <v>-1.0332195237205188E-2</v>
      </c>
    </row>
    <row r="3061" spans="1:3" x14ac:dyDescent="0.2">
      <c r="A3061" s="3">
        <v>41416</v>
      </c>
      <c r="B3061" s="2">
        <v>6.81</v>
      </c>
      <c r="C3061" s="2">
        <f t="shared" si="47"/>
        <v>1.469507979359978E-3</v>
      </c>
    </row>
    <row r="3062" spans="1:3" x14ac:dyDescent="0.2">
      <c r="A3062" s="3">
        <v>41415</v>
      </c>
      <c r="B3062" s="2">
        <v>6.8</v>
      </c>
      <c r="C3062" s="2">
        <f t="shared" si="47"/>
        <v>-5.1338579938519334E-3</v>
      </c>
    </row>
    <row r="3063" spans="1:3" x14ac:dyDescent="0.2">
      <c r="A3063" s="3">
        <v>41414</v>
      </c>
      <c r="B3063" s="2">
        <v>6.835</v>
      </c>
      <c r="C3063" s="2">
        <f t="shared" si="47"/>
        <v>2.5936985623615107E-2</v>
      </c>
    </row>
    <row r="3064" spans="1:3" x14ac:dyDescent="0.2">
      <c r="A3064" s="3">
        <v>41411</v>
      </c>
      <c r="B3064" s="2">
        <v>6.66</v>
      </c>
      <c r="C3064" s="2">
        <f t="shared" si="47"/>
        <v>-1.5003753752345652E-3</v>
      </c>
    </row>
    <row r="3065" spans="1:3" x14ac:dyDescent="0.2">
      <c r="A3065" s="3">
        <v>41410</v>
      </c>
      <c r="B3065" s="2">
        <v>6.67</v>
      </c>
      <c r="C3065" s="2">
        <f t="shared" si="47"/>
        <v>2.8128042159125153E-2</v>
      </c>
    </row>
    <row r="3066" spans="1:3" x14ac:dyDescent="0.2">
      <c r="A3066" s="3">
        <v>41409</v>
      </c>
      <c r="B3066" s="2">
        <v>6.4850000000000003</v>
      </c>
      <c r="C3066" s="2">
        <f t="shared" si="47"/>
        <v>1.5432101828059322E-3</v>
      </c>
    </row>
    <row r="3067" spans="1:3" x14ac:dyDescent="0.2">
      <c r="A3067" s="3">
        <v>41408</v>
      </c>
      <c r="B3067" s="2">
        <v>6.4749999999999996</v>
      </c>
      <c r="C3067" s="2">
        <f t="shared" si="47"/>
        <v>-1.0752791776261849E-2</v>
      </c>
    </row>
    <row r="3068" spans="1:3" x14ac:dyDescent="0.2">
      <c r="A3068" s="3">
        <v>41407</v>
      </c>
      <c r="B3068" s="2">
        <v>6.5449999999999999</v>
      </c>
      <c r="C3068" s="2">
        <f t="shared" si="47"/>
        <v>-2.7873744294773312E-2</v>
      </c>
    </row>
    <row r="3069" spans="1:3" x14ac:dyDescent="0.2">
      <c r="A3069" s="3">
        <v>41404</v>
      </c>
      <c r="B3069" s="2">
        <v>6.73</v>
      </c>
      <c r="C3069" s="2">
        <f t="shared" si="47"/>
        <v>-8.8757979139682912E-3</v>
      </c>
    </row>
    <row r="3070" spans="1:3" x14ac:dyDescent="0.2">
      <c r="A3070" s="3">
        <v>41403</v>
      </c>
      <c r="B3070" s="2">
        <v>6.79</v>
      </c>
      <c r="C3070" s="2">
        <f t="shared" si="47"/>
        <v>2.9498546464211185E-3</v>
      </c>
    </row>
    <row r="3071" spans="1:3" x14ac:dyDescent="0.2">
      <c r="A3071" s="3">
        <v>41402</v>
      </c>
      <c r="B3071" s="2">
        <v>6.77</v>
      </c>
      <c r="C3071" s="2">
        <f t="shared" si="47"/>
        <v>2.9585820397450414E-3</v>
      </c>
    </row>
    <row r="3072" spans="1:3" x14ac:dyDescent="0.2">
      <c r="A3072" s="3">
        <v>41401</v>
      </c>
      <c r="B3072" s="2">
        <v>6.75</v>
      </c>
      <c r="C3072" s="2">
        <f t="shared" si="47"/>
        <v>1.1922644956906196E-2</v>
      </c>
    </row>
    <row r="3073" spans="1:3" x14ac:dyDescent="0.2">
      <c r="A3073" s="3">
        <v>41400</v>
      </c>
      <c r="B3073" s="2">
        <v>6.67</v>
      </c>
      <c r="C3073" s="2">
        <f t="shared" si="47"/>
        <v>3.7551677623236424E-3</v>
      </c>
    </row>
    <row r="3074" spans="1:3" x14ac:dyDescent="0.2">
      <c r="A3074" s="3">
        <v>41397</v>
      </c>
      <c r="B3074" s="2">
        <v>6.6449999999999996</v>
      </c>
      <c r="C3074" s="2">
        <f t="shared" si="47"/>
        <v>6.7950431328288076E-3</v>
      </c>
    </row>
    <row r="3075" spans="1:3" x14ac:dyDescent="0.2">
      <c r="A3075" s="3">
        <v>41396</v>
      </c>
      <c r="B3075" s="2">
        <v>6.6</v>
      </c>
      <c r="C3075" s="2">
        <f t="shared" ref="C3075:C3138" si="48">+LN(B3075/B3076)</f>
        <v>-1.204833851617448E-2</v>
      </c>
    </row>
    <row r="3076" spans="1:3" x14ac:dyDescent="0.2">
      <c r="A3076" s="3">
        <v>41394</v>
      </c>
      <c r="B3076" s="2">
        <v>6.68</v>
      </c>
      <c r="C3076" s="2">
        <f t="shared" si="48"/>
        <v>6.0060240602119487E-3</v>
      </c>
    </row>
    <row r="3077" spans="1:3" x14ac:dyDescent="0.2">
      <c r="A3077" s="3">
        <v>41393</v>
      </c>
      <c r="B3077" s="2">
        <v>6.64</v>
      </c>
      <c r="C3077" s="2">
        <f t="shared" si="48"/>
        <v>1.212136053234482E-2</v>
      </c>
    </row>
    <row r="3078" spans="1:3" x14ac:dyDescent="0.2">
      <c r="A3078" s="3">
        <v>41390</v>
      </c>
      <c r="B3078" s="2">
        <v>6.56</v>
      </c>
      <c r="C3078" s="2">
        <f t="shared" si="48"/>
        <v>1.5361285161487149E-2</v>
      </c>
    </row>
    <row r="3079" spans="1:3" x14ac:dyDescent="0.2">
      <c r="A3079" s="3">
        <v>41389</v>
      </c>
      <c r="B3079" s="2">
        <v>6.46</v>
      </c>
      <c r="C3079" s="2">
        <f t="shared" si="48"/>
        <v>-7.7101384259673222E-3</v>
      </c>
    </row>
    <row r="3080" spans="1:3" x14ac:dyDescent="0.2">
      <c r="A3080" s="3">
        <v>41388</v>
      </c>
      <c r="B3080" s="2">
        <v>6.51</v>
      </c>
      <c r="C3080" s="2">
        <f t="shared" si="48"/>
        <v>-4.5977092486295425E-3</v>
      </c>
    </row>
    <row r="3081" spans="1:3" x14ac:dyDescent="0.2">
      <c r="A3081" s="3">
        <v>41386</v>
      </c>
      <c r="B3081" s="2">
        <v>6.54</v>
      </c>
      <c r="C3081" s="2">
        <f t="shared" si="48"/>
        <v>1.6962627219579449E-2</v>
      </c>
    </row>
    <row r="3082" spans="1:3" x14ac:dyDescent="0.2">
      <c r="A3082" s="3">
        <v>41383</v>
      </c>
      <c r="B3082" s="2">
        <v>6.43</v>
      </c>
      <c r="C3082" s="2">
        <f t="shared" si="48"/>
        <v>5.4581032187219517E-3</v>
      </c>
    </row>
    <row r="3083" spans="1:3" x14ac:dyDescent="0.2">
      <c r="A3083" s="3">
        <v>41382</v>
      </c>
      <c r="B3083" s="2">
        <v>6.3949999999999996</v>
      </c>
      <c r="C3083" s="2">
        <f t="shared" si="48"/>
        <v>-2.3948614616354613E-2</v>
      </c>
    </row>
    <row r="3084" spans="1:3" x14ac:dyDescent="0.2">
      <c r="A3084" s="3">
        <v>41381</v>
      </c>
      <c r="B3084" s="2">
        <v>6.55</v>
      </c>
      <c r="C3084" s="2">
        <f t="shared" si="48"/>
        <v>1.5384918839479456E-2</v>
      </c>
    </row>
    <row r="3085" spans="1:3" x14ac:dyDescent="0.2">
      <c r="A3085" s="3">
        <v>41379</v>
      </c>
      <c r="B3085" s="2">
        <v>6.45</v>
      </c>
      <c r="C3085" s="2">
        <f t="shared" si="48"/>
        <v>-6.1823999083175391E-3</v>
      </c>
    </row>
    <row r="3086" spans="1:3" x14ac:dyDescent="0.2">
      <c r="A3086" s="3">
        <v>41376</v>
      </c>
      <c r="B3086" s="2">
        <v>6.49</v>
      </c>
      <c r="C3086" s="2">
        <f t="shared" si="48"/>
        <v>-9.2025189311618939E-3</v>
      </c>
    </row>
    <row r="3087" spans="1:3" x14ac:dyDescent="0.2">
      <c r="A3087" s="3">
        <v>41375</v>
      </c>
      <c r="B3087" s="2">
        <v>6.55</v>
      </c>
      <c r="C3087" s="2">
        <f t="shared" si="48"/>
        <v>7.6365028529717504E-4</v>
      </c>
    </row>
    <row r="3088" spans="1:3" x14ac:dyDescent="0.2">
      <c r="A3088" s="3">
        <v>41374</v>
      </c>
      <c r="B3088" s="2">
        <v>6.5449999999999999</v>
      </c>
      <c r="C3088" s="2">
        <f t="shared" si="48"/>
        <v>-2.2892035941343403E-3</v>
      </c>
    </row>
    <row r="3089" spans="1:3" x14ac:dyDescent="0.2">
      <c r="A3089" s="3">
        <v>41373</v>
      </c>
      <c r="B3089" s="2">
        <v>6.56</v>
      </c>
      <c r="C3089" s="2">
        <f t="shared" si="48"/>
        <v>2.3131332023418927E-2</v>
      </c>
    </row>
    <row r="3090" spans="1:3" x14ac:dyDescent="0.2">
      <c r="A3090" s="3">
        <v>41372</v>
      </c>
      <c r="B3090" s="2">
        <v>6.41</v>
      </c>
      <c r="C3090" s="2">
        <f t="shared" si="48"/>
        <v>-3.1152673169493115E-3</v>
      </c>
    </row>
    <row r="3091" spans="1:3" x14ac:dyDescent="0.2">
      <c r="A3091" s="3">
        <v>41369</v>
      </c>
      <c r="B3091" s="2">
        <v>6.43</v>
      </c>
      <c r="C3091" s="2">
        <f t="shared" si="48"/>
        <v>-6.9740693360734358E-3</v>
      </c>
    </row>
    <row r="3092" spans="1:3" x14ac:dyDescent="0.2">
      <c r="A3092" s="3">
        <v>41368</v>
      </c>
      <c r="B3092" s="2">
        <v>6.4749999999999996</v>
      </c>
      <c r="C3092" s="2">
        <f t="shared" si="48"/>
        <v>1.6349138001529411E-2</v>
      </c>
    </row>
    <row r="3093" spans="1:3" x14ac:dyDescent="0.2">
      <c r="A3093" s="3">
        <v>41367</v>
      </c>
      <c r="B3093" s="2">
        <v>6.37</v>
      </c>
      <c r="C3093" s="2">
        <f t="shared" si="48"/>
        <v>4.3310698404806523E-2</v>
      </c>
    </row>
    <row r="3094" spans="1:3" x14ac:dyDescent="0.2">
      <c r="A3094" s="3">
        <v>41361</v>
      </c>
      <c r="B3094" s="2">
        <v>6.1</v>
      </c>
      <c r="C3094" s="2">
        <f t="shared" si="48"/>
        <v>-1.7066647477305037E-2</v>
      </c>
    </row>
    <row r="3095" spans="1:3" x14ac:dyDescent="0.2">
      <c r="A3095" s="3">
        <v>41360</v>
      </c>
      <c r="B3095" s="2">
        <v>6.2050000000000001</v>
      </c>
      <c r="C3095" s="2">
        <f t="shared" si="48"/>
        <v>-2.414488094517464E-3</v>
      </c>
    </row>
    <row r="3096" spans="1:3" x14ac:dyDescent="0.2">
      <c r="A3096" s="3">
        <v>41359</v>
      </c>
      <c r="B3096" s="2">
        <v>6.22</v>
      </c>
      <c r="C3096" s="2">
        <f t="shared" si="48"/>
        <v>2.1121825029282504E-2</v>
      </c>
    </row>
    <row r="3097" spans="1:3" x14ac:dyDescent="0.2">
      <c r="A3097" s="3">
        <v>41355</v>
      </c>
      <c r="B3097" s="2">
        <v>6.09</v>
      </c>
      <c r="C3097" s="2">
        <f t="shared" si="48"/>
        <v>-1.7901210329240289E-2</v>
      </c>
    </row>
    <row r="3098" spans="1:3" x14ac:dyDescent="0.2">
      <c r="A3098" s="3">
        <v>41354</v>
      </c>
      <c r="B3098" s="2">
        <v>6.2</v>
      </c>
      <c r="C3098" s="2">
        <f t="shared" si="48"/>
        <v>-1.6116038943415328E-3</v>
      </c>
    </row>
    <row r="3099" spans="1:3" x14ac:dyDescent="0.2">
      <c r="A3099" s="3">
        <v>41353</v>
      </c>
      <c r="B3099" s="2">
        <v>6.21</v>
      </c>
      <c r="C3099" s="2">
        <f t="shared" si="48"/>
        <v>-3.2154368539744657E-3</v>
      </c>
    </row>
    <row r="3100" spans="1:3" x14ac:dyDescent="0.2">
      <c r="A3100" s="3">
        <v>41352</v>
      </c>
      <c r="B3100" s="2">
        <v>6.23</v>
      </c>
      <c r="C3100" s="2">
        <f t="shared" si="48"/>
        <v>2.1087561620096385E-2</v>
      </c>
    </row>
    <row r="3101" spans="1:3" x14ac:dyDescent="0.2">
      <c r="A3101" s="3">
        <v>41348</v>
      </c>
      <c r="B3101" s="2">
        <v>6.1</v>
      </c>
      <c r="C3101" s="2">
        <f t="shared" si="48"/>
        <v>3.2840752011897975E-3</v>
      </c>
    </row>
    <row r="3102" spans="1:3" x14ac:dyDescent="0.2">
      <c r="A3102" s="3">
        <v>41347</v>
      </c>
      <c r="B3102" s="2">
        <v>6.08</v>
      </c>
      <c r="C3102" s="2">
        <f t="shared" si="48"/>
        <v>1.4078907498598088E-2</v>
      </c>
    </row>
    <row r="3103" spans="1:3" x14ac:dyDescent="0.2">
      <c r="A3103" s="3">
        <v>41346</v>
      </c>
      <c r="B3103" s="2">
        <v>5.9950000000000001</v>
      </c>
      <c r="C3103" s="2">
        <f t="shared" si="48"/>
        <v>-9.1324835632724741E-3</v>
      </c>
    </row>
    <row r="3104" spans="1:3" x14ac:dyDescent="0.2">
      <c r="A3104" s="3">
        <v>41345</v>
      </c>
      <c r="B3104" s="2">
        <v>6.05</v>
      </c>
      <c r="C3104" s="2">
        <f t="shared" si="48"/>
        <v>-8.23049913651548E-3</v>
      </c>
    </row>
    <row r="3105" spans="1:3" x14ac:dyDescent="0.2">
      <c r="A3105" s="3">
        <v>41344</v>
      </c>
      <c r="B3105" s="2">
        <v>6.1</v>
      </c>
      <c r="C3105" s="2">
        <f t="shared" si="48"/>
        <v>2.4620447397751249E-3</v>
      </c>
    </row>
    <row r="3106" spans="1:3" x14ac:dyDescent="0.2">
      <c r="A3106" s="3">
        <v>41341</v>
      </c>
      <c r="B3106" s="2">
        <v>6.085</v>
      </c>
      <c r="C3106" s="2">
        <f t="shared" si="48"/>
        <v>1.0739467118760813E-2</v>
      </c>
    </row>
    <row r="3107" spans="1:3" x14ac:dyDescent="0.2">
      <c r="A3107" s="3">
        <v>41340</v>
      </c>
      <c r="B3107" s="2">
        <v>6.02</v>
      </c>
      <c r="C3107" s="2">
        <f t="shared" si="48"/>
        <v>-2.4885952287652426E-3</v>
      </c>
    </row>
    <row r="3108" spans="1:3" x14ac:dyDescent="0.2">
      <c r="A3108" s="3">
        <v>41339</v>
      </c>
      <c r="B3108" s="2">
        <v>6.0350000000000001</v>
      </c>
      <c r="C3108" s="2">
        <f t="shared" si="48"/>
        <v>1.082892714498428E-2</v>
      </c>
    </row>
    <row r="3109" spans="1:3" x14ac:dyDescent="0.2">
      <c r="A3109" s="3">
        <v>41338</v>
      </c>
      <c r="B3109" s="2">
        <v>5.97</v>
      </c>
      <c r="C3109" s="2">
        <f t="shared" si="48"/>
        <v>-4.1788610749669448E-3</v>
      </c>
    </row>
    <row r="3110" spans="1:3" x14ac:dyDescent="0.2">
      <c r="A3110" s="3">
        <v>41337</v>
      </c>
      <c r="B3110" s="2">
        <v>5.9950000000000001</v>
      </c>
      <c r="C3110" s="2">
        <f t="shared" si="48"/>
        <v>8.343763521195829E-4</v>
      </c>
    </row>
    <row r="3111" spans="1:3" x14ac:dyDescent="0.2">
      <c r="A3111" s="3">
        <v>41334</v>
      </c>
      <c r="B3111" s="2">
        <v>5.99</v>
      </c>
      <c r="C3111" s="2">
        <f t="shared" si="48"/>
        <v>-1.6680571006969474E-3</v>
      </c>
    </row>
    <row r="3112" spans="1:3" x14ac:dyDescent="0.2">
      <c r="A3112" s="3">
        <v>41333</v>
      </c>
      <c r="B3112" s="2">
        <v>6</v>
      </c>
      <c r="C3112" s="2">
        <f t="shared" si="48"/>
        <v>8.3682496705165792E-3</v>
      </c>
    </row>
    <row r="3113" spans="1:3" x14ac:dyDescent="0.2">
      <c r="A3113" s="3">
        <v>41332</v>
      </c>
      <c r="B3113" s="2">
        <v>5.95</v>
      </c>
      <c r="C3113" s="2">
        <f t="shared" si="48"/>
        <v>9.2866855682041706E-3</v>
      </c>
    </row>
    <row r="3114" spans="1:3" x14ac:dyDescent="0.2">
      <c r="A3114" s="3">
        <v>41331</v>
      </c>
      <c r="B3114" s="2">
        <v>5.8949999999999996</v>
      </c>
      <c r="C3114" s="2">
        <f t="shared" si="48"/>
        <v>-1.4316033973206278E-2</v>
      </c>
    </row>
    <row r="3115" spans="1:3" x14ac:dyDescent="0.2">
      <c r="A3115" s="3">
        <v>41330</v>
      </c>
      <c r="B3115" s="2">
        <v>5.98</v>
      </c>
      <c r="C3115" s="2">
        <f t="shared" si="48"/>
        <v>7.5535399009091213E-3</v>
      </c>
    </row>
    <row r="3116" spans="1:3" x14ac:dyDescent="0.2">
      <c r="A3116" s="3">
        <v>41326</v>
      </c>
      <c r="B3116" s="2">
        <v>5.9349999999999996</v>
      </c>
      <c r="C3116" s="2">
        <f t="shared" si="48"/>
        <v>-3.3641747456320988E-3</v>
      </c>
    </row>
    <row r="3117" spans="1:3" x14ac:dyDescent="0.2">
      <c r="A3117" s="3">
        <v>41325</v>
      </c>
      <c r="B3117" s="2">
        <v>5.9550000000000001</v>
      </c>
      <c r="C3117" s="2">
        <f t="shared" si="48"/>
        <v>-5.8602093200945306E-3</v>
      </c>
    </row>
    <row r="3118" spans="1:3" x14ac:dyDescent="0.2">
      <c r="A3118" s="3">
        <v>41324</v>
      </c>
      <c r="B3118" s="2">
        <v>5.99</v>
      </c>
      <c r="C3118" s="2">
        <f t="shared" si="48"/>
        <v>6.7001925698195654E-3</v>
      </c>
    </row>
    <row r="3119" spans="1:3" x14ac:dyDescent="0.2">
      <c r="A3119" s="3">
        <v>41323</v>
      </c>
      <c r="B3119" s="2">
        <v>5.95</v>
      </c>
      <c r="C3119" s="2">
        <f t="shared" si="48"/>
        <v>-8.3682496705165792E-3</v>
      </c>
    </row>
    <row r="3120" spans="1:3" x14ac:dyDescent="0.2">
      <c r="A3120" s="3">
        <v>41320</v>
      </c>
      <c r="B3120" s="2">
        <v>6</v>
      </c>
      <c r="C3120" s="2">
        <f t="shared" si="48"/>
        <v>1.0050335853501286E-2</v>
      </c>
    </row>
    <row r="3121" spans="1:3" x14ac:dyDescent="0.2">
      <c r="A3121" s="3">
        <v>41319</v>
      </c>
      <c r="B3121" s="2">
        <v>5.94</v>
      </c>
      <c r="C3121" s="2">
        <f t="shared" si="48"/>
        <v>1.6122538450521903E-2</v>
      </c>
    </row>
    <row r="3122" spans="1:3" x14ac:dyDescent="0.2">
      <c r="A3122" s="3">
        <v>41318</v>
      </c>
      <c r="B3122" s="2">
        <v>5.8449999999999998</v>
      </c>
      <c r="C3122" s="2">
        <f t="shared" si="48"/>
        <v>8.5911181323166438E-3</v>
      </c>
    </row>
    <row r="3123" spans="1:3" x14ac:dyDescent="0.2">
      <c r="A3123" s="3">
        <v>41317</v>
      </c>
      <c r="B3123" s="2">
        <v>5.7949999999999999</v>
      </c>
      <c r="C3123" s="2">
        <f t="shared" si="48"/>
        <v>-8.6244076065859526E-4</v>
      </c>
    </row>
    <row r="3124" spans="1:3" x14ac:dyDescent="0.2">
      <c r="A3124" s="3">
        <v>41316</v>
      </c>
      <c r="B3124" s="2">
        <v>5.8</v>
      </c>
      <c r="C3124" s="2">
        <f t="shared" si="48"/>
        <v>-6.0163481861456392E-3</v>
      </c>
    </row>
    <row r="3125" spans="1:3" x14ac:dyDescent="0.2">
      <c r="A3125" s="3">
        <v>41313</v>
      </c>
      <c r="B3125" s="2">
        <v>5.835</v>
      </c>
      <c r="C3125" s="2">
        <f t="shared" si="48"/>
        <v>1.715266286754946E-3</v>
      </c>
    </row>
    <row r="3126" spans="1:3" x14ac:dyDescent="0.2">
      <c r="A3126" s="3">
        <v>41311</v>
      </c>
      <c r="B3126" s="2">
        <v>5.8250000000000002</v>
      </c>
      <c r="C3126" s="2">
        <f t="shared" si="48"/>
        <v>1.9064702204990347E-2</v>
      </c>
    </row>
    <row r="3127" spans="1:3" x14ac:dyDescent="0.2">
      <c r="A3127" s="3">
        <v>41310</v>
      </c>
      <c r="B3127" s="2">
        <v>5.7149999999999999</v>
      </c>
      <c r="C3127" s="2">
        <f t="shared" si="48"/>
        <v>2.9296369488430757E-2</v>
      </c>
    </row>
    <row r="3128" spans="1:3" x14ac:dyDescent="0.2">
      <c r="A3128" s="3">
        <v>41309</v>
      </c>
      <c r="B3128" s="2">
        <v>5.55</v>
      </c>
      <c r="C3128" s="2">
        <f t="shared" si="48"/>
        <v>-2.5790669140802389E-2</v>
      </c>
    </row>
    <row r="3129" spans="1:3" x14ac:dyDescent="0.2">
      <c r="A3129" s="3">
        <v>41306</v>
      </c>
      <c r="B3129" s="2">
        <v>5.6950000000000003</v>
      </c>
      <c r="C3129" s="2">
        <f t="shared" si="48"/>
        <v>7.0484873310615922E-3</v>
      </c>
    </row>
    <row r="3130" spans="1:3" x14ac:dyDescent="0.2">
      <c r="A3130" s="3">
        <v>41305</v>
      </c>
      <c r="B3130" s="2">
        <v>5.6550000000000002</v>
      </c>
      <c r="C3130" s="2">
        <f t="shared" si="48"/>
        <v>-2.6490081715768417E-3</v>
      </c>
    </row>
    <row r="3131" spans="1:3" x14ac:dyDescent="0.2">
      <c r="A3131" s="3">
        <v>41304</v>
      </c>
      <c r="B3131" s="2">
        <v>5.67</v>
      </c>
      <c r="C3131" s="2">
        <f t="shared" si="48"/>
        <v>-1.7482962780347455E-2</v>
      </c>
    </row>
    <row r="3132" spans="1:3" x14ac:dyDescent="0.2">
      <c r="A3132" s="3">
        <v>41303</v>
      </c>
      <c r="B3132" s="2">
        <v>5.77</v>
      </c>
      <c r="C3132" s="2">
        <f t="shared" si="48"/>
        <v>-1.7182553319997015E-2</v>
      </c>
    </row>
    <row r="3133" spans="1:3" x14ac:dyDescent="0.2">
      <c r="A3133" s="3">
        <v>41302</v>
      </c>
      <c r="B3133" s="2">
        <v>5.87</v>
      </c>
      <c r="C3133" s="2">
        <f t="shared" si="48"/>
        <v>1.1135018690150305E-2</v>
      </c>
    </row>
    <row r="3134" spans="1:3" x14ac:dyDescent="0.2">
      <c r="A3134" s="3">
        <v>41299</v>
      </c>
      <c r="B3134" s="2">
        <v>5.8049999999999997</v>
      </c>
      <c r="C3134" s="2">
        <f t="shared" si="48"/>
        <v>-1.5384918839479456E-2</v>
      </c>
    </row>
    <row r="3135" spans="1:3" x14ac:dyDescent="0.2">
      <c r="A3135" s="3">
        <v>41298</v>
      </c>
      <c r="B3135" s="2">
        <v>5.8949999999999996</v>
      </c>
      <c r="C3135" s="2">
        <f t="shared" si="48"/>
        <v>-8.4781692233967039E-4</v>
      </c>
    </row>
    <row r="3136" spans="1:3" x14ac:dyDescent="0.2">
      <c r="A3136" s="3">
        <v>41297</v>
      </c>
      <c r="B3136" s="2">
        <v>5.9</v>
      </c>
      <c r="C3136" s="2">
        <f t="shared" si="48"/>
        <v>-8.4709873765188664E-4</v>
      </c>
    </row>
    <row r="3137" spans="1:3" x14ac:dyDescent="0.2">
      <c r="A3137" s="3">
        <v>41296</v>
      </c>
      <c r="B3137" s="2">
        <v>5.9050000000000002</v>
      </c>
      <c r="C3137" s="2">
        <f t="shared" si="48"/>
        <v>-8.4638176868118652E-4</v>
      </c>
    </row>
    <row r="3138" spans="1:3" x14ac:dyDescent="0.2">
      <c r="A3138" s="3">
        <v>41292</v>
      </c>
      <c r="B3138" s="2">
        <v>5.91</v>
      </c>
      <c r="C3138" s="2">
        <f t="shared" si="48"/>
        <v>2.5412974286727692E-3</v>
      </c>
    </row>
    <row r="3139" spans="1:3" x14ac:dyDescent="0.2">
      <c r="A3139" s="3">
        <v>41291</v>
      </c>
      <c r="B3139" s="2">
        <v>5.8949999999999996</v>
      </c>
      <c r="C3139" s="2">
        <f t="shared" ref="C3139:C3202" si="49">+LN(B3139/B3140)</f>
        <v>2.2299380268311929E-2</v>
      </c>
    </row>
    <row r="3140" spans="1:3" x14ac:dyDescent="0.2">
      <c r="A3140" s="3">
        <v>41290</v>
      </c>
      <c r="B3140" s="2">
        <v>5.7649999999999997</v>
      </c>
      <c r="C3140" s="2">
        <f t="shared" si="49"/>
        <v>5.2174031396881402E-3</v>
      </c>
    </row>
    <row r="3141" spans="1:3" x14ac:dyDescent="0.2">
      <c r="A3141" s="3">
        <v>41289</v>
      </c>
      <c r="B3141" s="2">
        <v>5.7350000000000003</v>
      </c>
      <c r="C3141" s="2">
        <f t="shared" si="49"/>
        <v>-6.9505058265231902E-3</v>
      </c>
    </row>
    <row r="3142" spans="1:3" x14ac:dyDescent="0.2">
      <c r="A3142" s="3">
        <v>41288</v>
      </c>
      <c r="B3142" s="2">
        <v>5.7750000000000004</v>
      </c>
      <c r="C3142" s="2">
        <f t="shared" si="49"/>
        <v>-1.7301042377825693E-3</v>
      </c>
    </row>
    <row r="3143" spans="1:3" x14ac:dyDescent="0.2">
      <c r="A3143" s="3">
        <v>41285</v>
      </c>
      <c r="B3143" s="2">
        <v>5.7850000000000001</v>
      </c>
      <c r="C3143" s="2">
        <f t="shared" si="49"/>
        <v>-3.4512545042148426E-3</v>
      </c>
    </row>
    <row r="3144" spans="1:3" x14ac:dyDescent="0.2">
      <c r="A3144" s="3">
        <v>41284</v>
      </c>
      <c r="B3144" s="2">
        <v>5.8049999999999997</v>
      </c>
      <c r="C3144" s="2">
        <f t="shared" si="49"/>
        <v>3.4512545042147446E-3</v>
      </c>
    </row>
    <row r="3145" spans="1:3" x14ac:dyDescent="0.2">
      <c r="A3145" s="3">
        <v>41283</v>
      </c>
      <c r="B3145" s="2">
        <v>5.7850000000000001</v>
      </c>
      <c r="C3145" s="2">
        <f t="shared" si="49"/>
        <v>6.0685058363808787E-3</v>
      </c>
    </row>
    <row r="3146" spans="1:3" x14ac:dyDescent="0.2">
      <c r="A3146" s="3">
        <v>41282</v>
      </c>
      <c r="B3146" s="2">
        <v>5.75</v>
      </c>
      <c r="C3146" s="2">
        <f t="shared" si="49"/>
        <v>-2.3206885902980898E-2</v>
      </c>
    </row>
    <row r="3147" spans="1:3" x14ac:dyDescent="0.2">
      <c r="A3147" s="3">
        <v>41281</v>
      </c>
      <c r="B3147" s="2">
        <v>5.8849999999999998</v>
      </c>
      <c r="C3147" s="2">
        <f t="shared" si="49"/>
        <v>-8.4925695125525041E-4</v>
      </c>
    </row>
    <row r="3148" spans="1:3" x14ac:dyDescent="0.2">
      <c r="A3148" s="3">
        <v>41278</v>
      </c>
      <c r="B3148" s="2">
        <v>5.89</v>
      </c>
      <c r="C3148" s="2">
        <f t="shared" si="49"/>
        <v>3.4013638234902605E-3</v>
      </c>
    </row>
    <row r="3149" spans="1:3" x14ac:dyDescent="0.2">
      <c r="A3149" s="3">
        <v>41277</v>
      </c>
      <c r="B3149" s="2">
        <v>5.87</v>
      </c>
      <c r="C3149" s="2">
        <f t="shared" si="49"/>
        <v>1.2859157048290179E-2</v>
      </c>
    </row>
    <row r="3150" spans="1:3" x14ac:dyDescent="0.2">
      <c r="A3150" s="3">
        <v>41271</v>
      </c>
      <c r="B3150" s="2">
        <v>5.7949999999999999</v>
      </c>
      <c r="C3150" s="2">
        <f t="shared" si="49"/>
        <v>-8.591118132316675E-3</v>
      </c>
    </row>
    <row r="3151" spans="1:3" x14ac:dyDescent="0.2">
      <c r="A3151" s="3">
        <v>41270</v>
      </c>
      <c r="B3151" s="2">
        <v>5.8449999999999998</v>
      </c>
      <c r="C3151" s="2">
        <f t="shared" si="49"/>
        <v>-2.5630086648896063E-3</v>
      </c>
    </row>
    <row r="3152" spans="1:3" x14ac:dyDescent="0.2">
      <c r="A3152" s="3">
        <v>41264</v>
      </c>
      <c r="B3152" s="2">
        <v>5.86</v>
      </c>
      <c r="C3152" s="2">
        <f t="shared" si="49"/>
        <v>-1.0186845306993018E-2</v>
      </c>
    </row>
    <row r="3153" spans="1:3" x14ac:dyDescent="0.2">
      <c r="A3153" s="3">
        <v>41262</v>
      </c>
      <c r="B3153" s="2">
        <v>5.92</v>
      </c>
      <c r="C3153" s="2">
        <f t="shared" si="49"/>
        <v>2.3068088250274371E-2</v>
      </c>
    </row>
    <row r="3154" spans="1:3" x14ac:dyDescent="0.2">
      <c r="A3154" s="3">
        <v>41261</v>
      </c>
      <c r="B3154" s="2">
        <v>5.7850000000000001</v>
      </c>
      <c r="C3154" s="2">
        <f t="shared" si="49"/>
        <v>7.8091503141647272E-3</v>
      </c>
    </row>
    <row r="3155" spans="1:3" x14ac:dyDescent="0.2">
      <c r="A3155" s="3">
        <v>41260</v>
      </c>
      <c r="B3155" s="2">
        <v>5.74</v>
      </c>
      <c r="C3155" s="2">
        <f t="shared" si="49"/>
        <v>2.1127546425875277E-2</v>
      </c>
    </row>
    <row r="3156" spans="1:3" x14ac:dyDescent="0.2">
      <c r="A3156" s="3">
        <v>41257</v>
      </c>
      <c r="B3156" s="2">
        <v>5.62</v>
      </c>
      <c r="C3156" s="2">
        <f t="shared" si="49"/>
        <v>1.2533736147256657E-2</v>
      </c>
    </row>
    <row r="3157" spans="1:3" x14ac:dyDescent="0.2">
      <c r="A3157" s="3">
        <v>41256</v>
      </c>
      <c r="B3157" s="2">
        <v>5.55</v>
      </c>
      <c r="C3157" s="2">
        <f t="shared" si="49"/>
        <v>8.1411575836998658E-3</v>
      </c>
    </row>
    <row r="3158" spans="1:3" x14ac:dyDescent="0.2">
      <c r="A3158" s="3">
        <v>41255</v>
      </c>
      <c r="B3158" s="2">
        <v>5.5049999999999999</v>
      </c>
      <c r="C3158" s="2">
        <f t="shared" si="49"/>
        <v>9.1241508896091929E-3</v>
      </c>
    </row>
    <row r="3159" spans="1:3" x14ac:dyDescent="0.2">
      <c r="A3159" s="3">
        <v>41254</v>
      </c>
      <c r="B3159" s="2">
        <v>5.4550000000000001</v>
      </c>
      <c r="C3159" s="2">
        <f t="shared" si="49"/>
        <v>2.4119907689545372E-2</v>
      </c>
    </row>
    <row r="3160" spans="1:3" x14ac:dyDescent="0.2">
      <c r="A3160" s="3">
        <v>41253</v>
      </c>
      <c r="B3160" s="2">
        <v>5.3250000000000002</v>
      </c>
      <c r="C3160" s="2">
        <f t="shared" si="49"/>
        <v>-1.9526422350355153E-2</v>
      </c>
    </row>
    <row r="3161" spans="1:3" x14ac:dyDescent="0.2">
      <c r="A3161" s="3">
        <v>41250</v>
      </c>
      <c r="B3161" s="2">
        <v>5.43</v>
      </c>
      <c r="C3161" s="2">
        <f t="shared" si="49"/>
        <v>-1.3717636228799195E-2</v>
      </c>
    </row>
    <row r="3162" spans="1:3" x14ac:dyDescent="0.2">
      <c r="A3162" s="3">
        <v>41248</v>
      </c>
      <c r="B3162" s="2">
        <v>5.5049999999999999</v>
      </c>
      <c r="C3162" s="2">
        <f t="shared" si="49"/>
        <v>-9.0785299017978279E-4</v>
      </c>
    </row>
    <row r="3163" spans="1:3" x14ac:dyDescent="0.2">
      <c r="A3163" s="3">
        <v>41247</v>
      </c>
      <c r="B3163" s="2">
        <v>5.51</v>
      </c>
      <c r="C3163" s="2">
        <f t="shared" si="49"/>
        <v>5.459522204898753E-3</v>
      </c>
    </row>
    <row r="3164" spans="1:3" x14ac:dyDescent="0.2">
      <c r="A3164" s="3">
        <v>41246</v>
      </c>
      <c r="B3164" s="2">
        <v>5.48</v>
      </c>
      <c r="C3164" s="2">
        <f t="shared" si="49"/>
        <v>6.407344575000474E-3</v>
      </c>
    </row>
    <row r="3165" spans="1:3" x14ac:dyDescent="0.2">
      <c r="A3165" s="3">
        <v>41243</v>
      </c>
      <c r="B3165" s="2">
        <v>5.4450000000000003</v>
      </c>
      <c r="C3165" s="2">
        <f t="shared" si="49"/>
        <v>1.8382358117512039E-3</v>
      </c>
    </row>
    <row r="3166" spans="1:3" x14ac:dyDescent="0.2">
      <c r="A3166" s="3">
        <v>41242</v>
      </c>
      <c r="B3166" s="2">
        <v>5.4349999999999996</v>
      </c>
      <c r="C3166" s="2">
        <f t="shared" si="49"/>
        <v>2.4209748507226229E-2</v>
      </c>
    </row>
    <row r="3167" spans="1:3" x14ac:dyDescent="0.2">
      <c r="A3167" s="3">
        <v>41241</v>
      </c>
      <c r="B3167" s="2">
        <v>5.3049999999999997</v>
      </c>
      <c r="C3167" s="2">
        <f t="shared" si="49"/>
        <v>1.8867930125766356E-3</v>
      </c>
    </row>
    <row r="3168" spans="1:3" x14ac:dyDescent="0.2">
      <c r="A3168" s="3">
        <v>41240</v>
      </c>
      <c r="B3168" s="2">
        <v>5.2949999999999999</v>
      </c>
      <c r="C3168" s="2">
        <f t="shared" si="49"/>
        <v>3.7842996912394061E-3</v>
      </c>
    </row>
    <row r="3169" spans="1:3" x14ac:dyDescent="0.2">
      <c r="A3169" s="3">
        <v>41239</v>
      </c>
      <c r="B3169" s="2">
        <v>5.2750000000000004</v>
      </c>
      <c r="C3169" s="2">
        <f t="shared" si="49"/>
        <v>-2.8395665080777365E-3</v>
      </c>
    </row>
    <row r="3170" spans="1:3" x14ac:dyDescent="0.2">
      <c r="A3170" s="3">
        <v>41236</v>
      </c>
      <c r="B3170" s="2">
        <v>5.29</v>
      </c>
      <c r="C3170" s="2">
        <f t="shared" si="49"/>
        <v>-1.2212458029504146E-2</v>
      </c>
    </row>
    <row r="3171" spans="1:3" x14ac:dyDescent="0.2">
      <c r="A3171" s="3">
        <v>41235</v>
      </c>
      <c r="B3171" s="2">
        <v>5.3550000000000004</v>
      </c>
      <c r="C3171" s="2">
        <f t="shared" si="49"/>
        <v>4.6794657219589404E-3</v>
      </c>
    </row>
    <row r="3172" spans="1:3" x14ac:dyDescent="0.2">
      <c r="A3172" s="3">
        <v>41234</v>
      </c>
      <c r="B3172" s="2">
        <v>5.33</v>
      </c>
      <c r="C3172" s="2">
        <f t="shared" si="49"/>
        <v>1.8939960100921471E-2</v>
      </c>
    </row>
    <row r="3173" spans="1:3" x14ac:dyDescent="0.2">
      <c r="A3173" s="3">
        <v>41233</v>
      </c>
      <c r="B3173" s="2">
        <v>5.23</v>
      </c>
      <c r="C3173" s="2">
        <f t="shared" si="49"/>
        <v>-6.6698675091071058E-3</v>
      </c>
    </row>
    <row r="3174" spans="1:3" x14ac:dyDescent="0.2">
      <c r="A3174" s="3">
        <v>41232</v>
      </c>
      <c r="B3174" s="2">
        <v>5.2649999999999997</v>
      </c>
      <c r="C3174" s="2">
        <f t="shared" si="49"/>
        <v>2.1114028117015477E-2</v>
      </c>
    </row>
    <row r="3175" spans="1:3" x14ac:dyDescent="0.2">
      <c r="A3175" s="3">
        <v>41229</v>
      </c>
      <c r="B3175" s="2">
        <v>5.1550000000000002</v>
      </c>
      <c r="C3175" s="2">
        <f t="shared" si="49"/>
        <v>-8.6915081184583912E-3</v>
      </c>
    </row>
    <row r="3176" spans="1:3" x14ac:dyDescent="0.2">
      <c r="A3176" s="3">
        <v>41228</v>
      </c>
      <c r="B3176" s="2">
        <v>5.2</v>
      </c>
      <c r="C3176" s="2">
        <f t="shared" si="49"/>
        <v>-3.588675933352406E-2</v>
      </c>
    </row>
    <row r="3177" spans="1:3" x14ac:dyDescent="0.2">
      <c r="A3177" s="3">
        <v>41227</v>
      </c>
      <c r="B3177" s="2">
        <v>5.39</v>
      </c>
      <c r="C3177" s="2">
        <f t="shared" si="49"/>
        <v>5.5814098381950445E-3</v>
      </c>
    </row>
    <row r="3178" spans="1:3" x14ac:dyDescent="0.2">
      <c r="A3178" s="3">
        <v>41226</v>
      </c>
      <c r="B3178" s="2">
        <v>5.36</v>
      </c>
      <c r="C3178" s="2">
        <f t="shared" si="49"/>
        <v>1.5037877364540502E-2</v>
      </c>
    </row>
    <row r="3179" spans="1:3" x14ac:dyDescent="0.2">
      <c r="A3179" s="3">
        <v>41225</v>
      </c>
      <c r="B3179" s="2">
        <v>5.28</v>
      </c>
      <c r="C3179" s="2">
        <f t="shared" si="49"/>
        <v>-1.7832476295556361E-2</v>
      </c>
    </row>
    <row r="3180" spans="1:3" x14ac:dyDescent="0.2">
      <c r="A3180" s="3">
        <v>41222</v>
      </c>
      <c r="B3180" s="2">
        <v>5.375</v>
      </c>
      <c r="C3180" s="2">
        <f t="shared" si="49"/>
        <v>-4.8125491496241034E-2</v>
      </c>
    </row>
    <row r="3181" spans="1:3" x14ac:dyDescent="0.2">
      <c r="A3181" s="3">
        <v>41221</v>
      </c>
      <c r="B3181" s="2">
        <v>5.64</v>
      </c>
      <c r="C3181" s="2">
        <f t="shared" si="49"/>
        <v>4.9056156989194209E-2</v>
      </c>
    </row>
    <row r="3182" spans="1:3" x14ac:dyDescent="0.2">
      <c r="A3182" s="3">
        <v>41220</v>
      </c>
      <c r="B3182" s="2">
        <v>5.37</v>
      </c>
      <c r="C3182" s="2">
        <f t="shared" si="49"/>
        <v>-9.6663588909576742E-2</v>
      </c>
    </row>
    <row r="3183" spans="1:3" x14ac:dyDescent="0.2">
      <c r="A3183" s="3">
        <v>41219</v>
      </c>
      <c r="B3183" s="2">
        <v>5.915</v>
      </c>
      <c r="C3183" s="2">
        <f t="shared" si="49"/>
        <v>-1.0092600387224201E-2</v>
      </c>
    </row>
    <row r="3184" spans="1:3" x14ac:dyDescent="0.2">
      <c r="A3184" s="3">
        <v>41218</v>
      </c>
      <c r="B3184" s="2">
        <v>5.9749999999999996</v>
      </c>
      <c r="C3184" s="2">
        <f t="shared" si="49"/>
        <v>-8.3647014496617022E-4</v>
      </c>
    </row>
    <row r="3185" spans="1:3" x14ac:dyDescent="0.2">
      <c r="A3185" s="3">
        <v>41215</v>
      </c>
      <c r="B3185" s="2">
        <v>5.98</v>
      </c>
      <c r="C3185" s="2">
        <f t="shared" si="49"/>
        <v>-3.3389012655145986E-3</v>
      </c>
    </row>
    <row r="3186" spans="1:3" x14ac:dyDescent="0.2">
      <c r="A3186" s="3">
        <v>41214</v>
      </c>
      <c r="B3186" s="2">
        <v>6</v>
      </c>
      <c r="C3186" s="2">
        <f t="shared" si="49"/>
        <v>2.3609865639133667E-2</v>
      </c>
    </row>
    <row r="3187" spans="1:3" x14ac:dyDescent="0.2">
      <c r="A3187" s="3">
        <v>41213</v>
      </c>
      <c r="B3187" s="2">
        <v>5.86</v>
      </c>
      <c r="C3187" s="2">
        <f t="shared" si="49"/>
        <v>3.4188067487856823E-3</v>
      </c>
    </row>
    <row r="3188" spans="1:3" x14ac:dyDescent="0.2">
      <c r="A3188" s="3">
        <v>41212</v>
      </c>
      <c r="B3188" s="2">
        <v>5.84</v>
      </c>
      <c r="C3188" s="2">
        <f t="shared" si="49"/>
        <v>1.8143046258801653E-2</v>
      </c>
    </row>
    <row r="3189" spans="1:3" x14ac:dyDescent="0.2">
      <c r="A3189" s="3">
        <v>41211</v>
      </c>
      <c r="B3189" s="2">
        <v>5.7350000000000003</v>
      </c>
      <c r="C3189" s="2">
        <f t="shared" si="49"/>
        <v>1.0517187213867678E-2</v>
      </c>
    </row>
    <row r="3190" spans="1:3" x14ac:dyDescent="0.2">
      <c r="A3190" s="3">
        <v>41208</v>
      </c>
      <c r="B3190" s="2">
        <v>5.6749999999999998</v>
      </c>
      <c r="C3190" s="2">
        <f t="shared" si="49"/>
        <v>-1.9197797278173539E-2</v>
      </c>
    </row>
    <row r="3191" spans="1:3" x14ac:dyDescent="0.2">
      <c r="A3191" s="3">
        <v>41207</v>
      </c>
      <c r="B3191" s="2">
        <v>5.7850000000000001</v>
      </c>
      <c r="C3191" s="2">
        <f t="shared" si="49"/>
        <v>-6.0319010977065365E-3</v>
      </c>
    </row>
    <row r="3192" spans="1:3" x14ac:dyDescent="0.2">
      <c r="A3192" s="3">
        <v>41206</v>
      </c>
      <c r="B3192" s="2">
        <v>5.82</v>
      </c>
      <c r="C3192" s="2">
        <f t="shared" si="49"/>
        <v>1.719690879526679E-3</v>
      </c>
    </row>
    <row r="3193" spans="1:3" x14ac:dyDescent="0.2">
      <c r="A3193" s="3">
        <v>41205</v>
      </c>
      <c r="B3193" s="2">
        <v>5.81</v>
      </c>
      <c r="C3193" s="2">
        <f t="shared" si="49"/>
        <v>-1.1976191046715762E-2</v>
      </c>
    </row>
    <row r="3194" spans="1:3" x14ac:dyDescent="0.2">
      <c r="A3194" s="3">
        <v>41201</v>
      </c>
      <c r="B3194" s="2">
        <v>5.88</v>
      </c>
      <c r="C3194" s="2">
        <f t="shared" si="49"/>
        <v>-1.4352293639343825E-2</v>
      </c>
    </row>
    <row r="3195" spans="1:3" x14ac:dyDescent="0.2">
      <c r="A3195" s="3">
        <v>41200</v>
      </c>
      <c r="B3195" s="2">
        <v>5.9649999999999999</v>
      </c>
      <c r="C3195" s="2">
        <f t="shared" si="49"/>
        <v>8.4175581195292219E-3</v>
      </c>
    </row>
    <row r="3196" spans="1:3" x14ac:dyDescent="0.2">
      <c r="A3196" s="3">
        <v>41199</v>
      </c>
      <c r="B3196" s="2">
        <v>5.915</v>
      </c>
      <c r="C3196" s="2">
        <f t="shared" si="49"/>
        <v>2.4819416910341917E-2</v>
      </c>
    </row>
    <row r="3197" spans="1:3" x14ac:dyDescent="0.2">
      <c r="A3197" s="3">
        <v>41197</v>
      </c>
      <c r="B3197" s="2">
        <v>5.77</v>
      </c>
      <c r="C3197" s="2">
        <f t="shared" si="49"/>
        <v>-6.0475346298466248E-3</v>
      </c>
    </row>
    <row r="3198" spans="1:3" x14ac:dyDescent="0.2">
      <c r="A3198" s="3">
        <v>41194</v>
      </c>
      <c r="B3198" s="2">
        <v>5.8049999999999997</v>
      </c>
      <c r="C3198" s="2">
        <f t="shared" si="49"/>
        <v>-1.2837146760680719E-2</v>
      </c>
    </row>
    <row r="3199" spans="1:3" x14ac:dyDescent="0.2">
      <c r="A3199" s="3">
        <v>41193</v>
      </c>
      <c r="B3199" s="2">
        <v>5.88</v>
      </c>
      <c r="C3199" s="2">
        <f t="shared" si="49"/>
        <v>3.4071583216141346E-3</v>
      </c>
    </row>
    <row r="3200" spans="1:3" x14ac:dyDescent="0.2">
      <c r="A3200" s="3">
        <v>41192</v>
      </c>
      <c r="B3200" s="2">
        <v>5.86</v>
      </c>
      <c r="C3200" s="2">
        <f t="shared" si="49"/>
        <v>-1.1031083432273546E-2</v>
      </c>
    </row>
    <row r="3201" spans="1:3" x14ac:dyDescent="0.2">
      <c r="A3201" s="3">
        <v>41191</v>
      </c>
      <c r="B3201" s="2">
        <v>5.9249999999999998</v>
      </c>
      <c r="C3201" s="2">
        <f t="shared" si="49"/>
        <v>-6.7283685286845321E-3</v>
      </c>
    </row>
    <row r="3202" spans="1:3" x14ac:dyDescent="0.2">
      <c r="A3202" s="3">
        <v>41190</v>
      </c>
      <c r="B3202" s="2">
        <v>5.9649999999999999</v>
      </c>
      <c r="C3202" s="2">
        <f t="shared" si="49"/>
        <v>-7.5156929972367689E-3</v>
      </c>
    </row>
    <row r="3203" spans="1:3" x14ac:dyDescent="0.2">
      <c r="A3203" s="3">
        <v>41187</v>
      </c>
      <c r="B3203" s="2">
        <v>6.01</v>
      </c>
      <c r="C3203" s="2">
        <f t="shared" ref="C3203:C3266" si="50">+LN(B3203/B3204)</f>
        <v>2.4989600676385689E-3</v>
      </c>
    </row>
    <row r="3204" spans="1:3" x14ac:dyDescent="0.2">
      <c r="A3204" s="3">
        <v>41186</v>
      </c>
      <c r="B3204" s="2">
        <v>5.9950000000000001</v>
      </c>
      <c r="C3204" s="2">
        <f t="shared" si="50"/>
        <v>4.1788610749668477E-3</v>
      </c>
    </row>
    <row r="3205" spans="1:3" x14ac:dyDescent="0.2">
      <c r="A3205" s="3">
        <v>41185</v>
      </c>
      <c r="B3205" s="2">
        <v>5.97</v>
      </c>
      <c r="C3205" s="2">
        <f t="shared" si="50"/>
        <v>5.037794029957081E-3</v>
      </c>
    </row>
    <row r="3206" spans="1:3" x14ac:dyDescent="0.2">
      <c r="A3206" s="3">
        <v>41184</v>
      </c>
      <c r="B3206" s="2">
        <v>5.94</v>
      </c>
      <c r="C3206" s="2">
        <f t="shared" si="50"/>
        <v>2.8170876966696224E-2</v>
      </c>
    </row>
    <row r="3207" spans="1:3" x14ac:dyDescent="0.2">
      <c r="A3207" s="3">
        <v>41180</v>
      </c>
      <c r="B3207" s="2">
        <v>5.7750000000000004</v>
      </c>
      <c r="C3207" s="2">
        <f t="shared" si="50"/>
        <v>-1.0336009330661948E-2</v>
      </c>
    </row>
    <row r="3208" spans="1:3" x14ac:dyDescent="0.2">
      <c r="A3208" s="3">
        <v>41179</v>
      </c>
      <c r="B3208" s="2">
        <v>5.835</v>
      </c>
      <c r="C3208" s="2">
        <f t="shared" si="50"/>
        <v>9.4705830542331851E-3</v>
      </c>
    </row>
    <row r="3209" spans="1:3" x14ac:dyDescent="0.2">
      <c r="A3209" s="3">
        <v>41178</v>
      </c>
      <c r="B3209" s="2">
        <v>5.78</v>
      </c>
      <c r="C3209" s="2">
        <f t="shared" si="50"/>
        <v>-2.3087814746063907E-2</v>
      </c>
    </row>
    <row r="3210" spans="1:3" x14ac:dyDescent="0.2">
      <c r="A3210" s="3">
        <v>41177</v>
      </c>
      <c r="B3210" s="2">
        <v>5.915</v>
      </c>
      <c r="C3210" s="2">
        <f t="shared" si="50"/>
        <v>8.4566601234314269E-4</v>
      </c>
    </row>
    <row r="3211" spans="1:3" x14ac:dyDescent="0.2">
      <c r="A3211" s="3">
        <v>41176</v>
      </c>
      <c r="B3211" s="2">
        <v>5.91</v>
      </c>
      <c r="C3211" s="2">
        <f t="shared" si="50"/>
        <v>-1.5113637810048184E-2</v>
      </c>
    </row>
    <row r="3212" spans="1:3" x14ac:dyDescent="0.2">
      <c r="A3212" s="3">
        <v>41173</v>
      </c>
      <c r="B3212" s="2">
        <v>6</v>
      </c>
      <c r="C3212" s="2">
        <f t="shared" si="50"/>
        <v>-1.6652793190612089E-3</v>
      </c>
    </row>
    <row r="3213" spans="1:3" x14ac:dyDescent="0.2">
      <c r="A3213" s="3">
        <v>41172</v>
      </c>
      <c r="B3213" s="2">
        <v>6.01</v>
      </c>
      <c r="C3213" s="2">
        <f t="shared" si="50"/>
        <v>-1.3223333174689428E-2</v>
      </c>
    </row>
    <row r="3214" spans="1:3" x14ac:dyDescent="0.2">
      <c r="A3214" s="3">
        <v>41171</v>
      </c>
      <c r="B3214" s="2">
        <v>6.09</v>
      </c>
      <c r="C3214" s="2">
        <f t="shared" si="50"/>
        <v>5.7637047167501338E-3</v>
      </c>
    </row>
    <row r="3215" spans="1:3" x14ac:dyDescent="0.2">
      <c r="A3215" s="3">
        <v>41170</v>
      </c>
      <c r="B3215" s="2">
        <v>6.0549999999999997</v>
      </c>
      <c r="C3215" s="2">
        <f t="shared" si="50"/>
        <v>-9.8603921340801402E-3</v>
      </c>
    </row>
    <row r="3216" spans="1:3" x14ac:dyDescent="0.2">
      <c r="A3216" s="3">
        <v>41169</v>
      </c>
      <c r="B3216" s="2">
        <v>6.1150000000000002</v>
      </c>
      <c r="C3216" s="2">
        <f t="shared" si="50"/>
        <v>5.7400731610599805E-3</v>
      </c>
    </row>
    <row r="3217" spans="1:3" x14ac:dyDescent="0.2">
      <c r="A3217" s="3">
        <v>41166</v>
      </c>
      <c r="B3217" s="2">
        <v>6.08</v>
      </c>
      <c r="C3217" s="2">
        <f t="shared" si="50"/>
        <v>8.2270675146354773E-4</v>
      </c>
    </row>
    <row r="3218" spans="1:3" x14ac:dyDescent="0.2">
      <c r="A3218" s="3">
        <v>41165</v>
      </c>
      <c r="B3218" s="2">
        <v>6.0750000000000002</v>
      </c>
      <c r="C3218" s="2">
        <f t="shared" si="50"/>
        <v>1.4090577099254117E-2</v>
      </c>
    </row>
    <row r="3219" spans="1:3" x14ac:dyDescent="0.2">
      <c r="A3219" s="3">
        <v>41164</v>
      </c>
      <c r="B3219" s="2">
        <v>5.99</v>
      </c>
      <c r="C3219" s="2">
        <f t="shared" si="50"/>
        <v>1.6835414463862799E-2</v>
      </c>
    </row>
    <row r="3220" spans="1:3" x14ac:dyDescent="0.2">
      <c r="A3220" s="3">
        <v>41163</v>
      </c>
      <c r="B3220" s="2">
        <v>5.89</v>
      </c>
      <c r="C3220" s="2">
        <f t="shared" si="50"/>
        <v>-6.7682153461387394E-3</v>
      </c>
    </row>
    <row r="3221" spans="1:3" x14ac:dyDescent="0.2">
      <c r="A3221" s="3">
        <v>41162</v>
      </c>
      <c r="B3221" s="2">
        <v>5.93</v>
      </c>
      <c r="C3221" s="2">
        <f t="shared" si="50"/>
        <v>5.0718620979601278E-3</v>
      </c>
    </row>
    <row r="3222" spans="1:3" x14ac:dyDescent="0.2">
      <c r="A3222" s="3">
        <v>41158</v>
      </c>
      <c r="B3222" s="2">
        <v>5.9</v>
      </c>
      <c r="C3222" s="2">
        <f t="shared" si="50"/>
        <v>1.7094433359300255E-2</v>
      </c>
    </row>
    <row r="3223" spans="1:3" x14ac:dyDescent="0.2">
      <c r="A3223" s="3">
        <v>41157</v>
      </c>
      <c r="B3223" s="2">
        <v>5.8</v>
      </c>
      <c r="C3223" s="2">
        <f t="shared" si="50"/>
        <v>6.0527638313512518E-3</v>
      </c>
    </row>
    <row r="3224" spans="1:3" x14ac:dyDescent="0.2">
      <c r="A3224" s="3">
        <v>41156</v>
      </c>
      <c r="B3224" s="2">
        <v>5.7649999999999997</v>
      </c>
      <c r="C3224" s="2">
        <f t="shared" si="50"/>
        <v>-3.5778944096552016E-2</v>
      </c>
    </row>
    <row r="3225" spans="1:3" x14ac:dyDescent="0.2">
      <c r="A3225" s="3">
        <v>41155</v>
      </c>
      <c r="B3225" s="2">
        <v>5.9749999999999996</v>
      </c>
      <c r="C3225" s="2">
        <f t="shared" si="50"/>
        <v>1.3479563828240235E-2</v>
      </c>
    </row>
    <row r="3226" spans="1:3" x14ac:dyDescent="0.2">
      <c r="A3226" s="3">
        <v>41152</v>
      </c>
      <c r="B3226" s="2">
        <v>5.8949999999999996</v>
      </c>
      <c r="C3226" s="2">
        <f t="shared" si="50"/>
        <v>-8.4781692233967039E-4</v>
      </c>
    </row>
    <row r="3227" spans="1:3" x14ac:dyDescent="0.2">
      <c r="A3227" s="3">
        <v>41150</v>
      </c>
      <c r="B3227" s="2">
        <v>5.9</v>
      </c>
      <c r="C3227" s="2">
        <f t="shared" si="50"/>
        <v>-1.6934805063330315E-3</v>
      </c>
    </row>
    <row r="3228" spans="1:3" x14ac:dyDescent="0.2">
      <c r="A3228" s="3">
        <v>41149</v>
      </c>
      <c r="B3228" s="2">
        <v>5.91</v>
      </c>
      <c r="C3228" s="2">
        <f t="shared" si="50"/>
        <v>-2.5348556031879548E-3</v>
      </c>
    </row>
    <row r="3229" spans="1:3" x14ac:dyDescent="0.2">
      <c r="A3229" s="3">
        <v>41148</v>
      </c>
      <c r="B3229" s="2">
        <v>5.9249999999999998</v>
      </c>
      <c r="C3229" s="2">
        <f t="shared" si="50"/>
        <v>1.0178204915756052E-2</v>
      </c>
    </row>
    <row r="3230" spans="1:3" x14ac:dyDescent="0.2">
      <c r="A3230" s="3">
        <v>41145</v>
      </c>
      <c r="B3230" s="2">
        <v>5.8650000000000002</v>
      </c>
      <c r="C3230" s="2">
        <f t="shared" si="50"/>
        <v>5.1282163669195292E-3</v>
      </c>
    </row>
    <row r="3231" spans="1:3" x14ac:dyDescent="0.2">
      <c r="A3231" s="3">
        <v>41144</v>
      </c>
      <c r="B3231" s="2">
        <v>5.835</v>
      </c>
      <c r="C3231" s="2">
        <f t="shared" si="50"/>
        <v>-1.1078085173154565E-2</v>
      </c>
    </row>
    <row r="3232" spans="1:3" x14ac:dyDescent="0.2">
      <c r="A3232" s="3">
        <v>41143</v>
      </c>
      <c r="B3232" s="2">
        <v>5.9</v>
      </c>
      <c r="C3232" s="2">
        <f t="shared" si="50"/>
        <v>-1.1794576492836816E-2</v>
      </c>
    </row>
    <row r="3233" spans="1:3" x14ac:dyDescent="0.2">
      <c r="A3233" s="3">
        <v>41142</v>
      </c>
      <c r="B3233" s="2">
        <v>5.97</v>
      </c>
      <c r="C3233" s="2">
        <f t="shared" si="50"/>
        <v>1.7744445299071911E-2</v>
      </c>
    </row>
    <row r="3234" spans="1:3" x14ac:dyDescent="0.2">
      <c r="A3234" s="3">
        <v>41141</v>
      </c>
      <c r="B3234" s="2">
        <v>5.8650000000000002</v>
      </c>
      <c r="C3234" s="2">
        <f t="shared" si="50"/>
        <v>-5.9498688062350549E-3</v>
      </c>
    </row>
    <row r="3235" spans="1:3" x14ac:dyDescent="0.2">
      <c r="A3235" s="3">
        <v>41138</v>
      </c>
      <c r="B3235" s="2">
        <v>5.9</v>
      </c>
      <c r="C3235" s="2">
        <f t="shared" si="50"/>
        <v>2.5456101994338178E-3</v>
      </c>
    </row>
    <row r="3236" spans="1:3" x14ac:dyDescent="0.2">
      <c r="A3236" s="3">
        <v>41137</v>
      </c>
      <c r="B3236" s="2">
        <v>5.8849999999999998</v>
      </c>
      <c r="C3236" s="2">
        <f t="shared" si="50"/>
        <v>1.282616984842015E-2</v>
      </c>
    </row>
    <row r="3237" spans="1:3" x14ac:dyDescent="0.2">
      <c r="A3237" s="3">
        <v>41135</v>
      </c>
      <c r="B3237" s="2">
        <v>5.81</v>
      </c>
      <c r="C3237" s="2">
        <f t="shared" si="50"/>
        <v>-4.2936948746995635E-3</v>
      </c>
    </row>
    <row r="3238" spans="1:3" x14ac:dyDescent="0.2">
      <c r="A3238" s="3">
        <v>41134</v>
      </c>
      <c r="B3238" s="2">
        <v>5.835</v>
      </c>
      <c r="C3238" s="2">
        <f t="shared" si="50"/>
        <v>2.5740039951728426E-3</v>
      </c>
    </row>
    <row r="3239" spans="1:3" x14ac:dyDescent="0.2">
      <c r="A3239" s="3">
        <v>41131</v>
      </c>
      <c r="B3239" s="2">
        <v>5.82</v>
      </c>
      <c r="C3239" s="2">
        <f t="shared" si="50"/>
        <v>-5.9957353063342681E-3</v>
      </c>
    </row>
    <row r="3240" spans="1:3" x14ac:dyDescent="0.2">
      <c r="A3240" s="3">
        <v>41130</v>
      </c>
      <c r="B3240" s="2">
        <v>5.8550000000000004</v>
      </c>
      <c r="C3240" s="2">
        <f t="shared" si="50"/>
        <v>1.2027636404040915E-2</v>
      </c>
    </row>
    <row r="3241" spans="1:3" x14ac:dyDescent="0.2">
      <c r="A3241" s="3">
        <v>41129</v>
      </c>
      <c r="B3241" s="2">
        <v>5.7850000000000001</v>
      </c>
      <c r="C3241" s="2">
        <f t="shared" si="50"/>
        <v>-2.5895569067336775E-3</v>
      </c>
    </row>
    <row r="3242" spans="1:3" x14ac:dyDescent="0.2">
      <c r="A3242" s="3">
        <v>41128</v>
      </c>
      <c r="B3242" s="2">
        <v>5.8</v>
      </c>
      <c r="C3242" s="2">
        <f t="shared" si="50"/>
        <v>1.739174271186902E-2</v>
      </c>
    </row>
    <row r="3243" spans="1:3" x14ac:dyDescent="0.2">
      <c r="A3243" s="3">
        <v>41127</v>
      </c>
      <c r="B3243" s="2">
        <v>5.7</v>
      </c>
      <c r="C3243" s="2">
        <f t="shared" si="50"/>
        <v>2.8471674081311994E-2</v>
      </c>
    </row>
    <row r="3244" spans="1:3" x14ac:dyDescent="0.2">
      <c r="A3244" s="3">
        <v>41124</v>
      </c>
      <c r="B3244" s="2">
        <v>5.54</v>
      </c>
      <c r="C3244" s="2">
        <f t="shared" si="50"/>
        <v>3.4897939851277246E-2</v>
      </c>
    </row>
    <row r="3245" spans="1:3" x14ac:dyDescent="0.2">
      <c r="A3245" s="3">
        <v>41123</v>
      </c>
      <c r="B3245" s="2">
        <v>5.35</v>
      </c>
      <c r="C3245" s="2">
        <f t="shared" si="50"/>
        <v>-4.9235102997684653E-2</v>
      </c>
    </row>
    <row r="3246" spans="1:3" x14ac:dyDescent="0.2">
      <c r="A3246" s="3">
        <v>41122</v>
      </c>
      <c r="B3246" s="2">
        <v>5.62</v>
      </c>
      <c r="C3246" s="2">
        <f t="shared" si="50"/>
        <v>-8.8928418488406168E-4</v>
      </c>
    </row>
    <row r="3247" spans="1:3" x14ac:dyDescent="0.2">
      <c r="A3247" s="3">
        <v>41121</v>
      </c>
      <c r="B3247" s="2">
        <v>5.625</v>
      </c>
      <c r="C3247" s="2">
        <f t="shared" si="50"/>
        <v>-4.4345970678658642E-3</v>
      </c>
    </row>
    <row r="3248" spans="1:3" x14ac:dyDescent="0.2">
      <c r="A3248" s="3">
        <v>41120</v>
      </c>
      <c r="B3248" s="2">
        <v>5.65</v>
      </c>
      <c r="C3248" s="2">
        <f t="shared" si="50"/>
        <v>2.3277684869345842E-2</v>
      </c>
    </row>
    <row r="3249" spans="1:3" x14ac:dyDescent="0.2">
      <c r="A3249" s="3">
        <v>41116</v>
      </c>
      <c r="B3249" s="2">
        <v>5.52</v>
      </c>
      <c r="C3249" s="2">
        <f t="shared" si="50"/>
        <v>3.6904556935450764E-2</v>
      </c>
    </row>
    <row r="3250" spans="1:3" x14ac:dyDescent="0.2">
      <c r="A3250" s="3">
        <v>41115</v>
      </c>
      <c r="B3250" s="2">
        <v>5.32</v>
      </c>
      <c r="C3250" s="2">
        <f t="shared" si="50"/>
        <v>1.2293299024638656E-2</v>
      </c>
    </row>
    <row r="3251" spans="1:3" x14ac:dyDescent="0.2">
      <c r="A3251" s="3">
        <v>41114</v>
      </c>
      <c r="B3251" s="2">
        <v>5.2549999999999999</v>
      </c>
      <c r="C3251" s="2">
        <f t="shared" si="50"/>
        <v>-8.5268162291616441E-3</v>
      </c>
    </row>
    <row r="3252" spans="1:3" x14ac:dyDescent="0.2">
      <c r="A3252" s="3">
        <v>41113</v>
      </c>
      <c r="B3252" s="2">
        <v>5.3</v>
      </c>
      <c r="C3252" s="2">
        <f t="shared" si="50"/>
        <v>-1.4051753455650415E-2</v>
      </c>
    </row>
    <row r="3253" spans="1:3" x14ac:dyDescent="0.2">
      <c r="A3253" s="3">
        <v>41110</v>
      </c>
      <c r="B3253" s="2">
        <v>5.375</v>
      </c>
      <c r="C3253" s="2">
        <f t="shared" si="50"/>
        <v>-5.5658770774451175E-3</v>
      </c>
    </row>
    <row r="3254" spans="1:3" x14ac:dyDescent="0.2">
      <c r="A3254" s="3">
        <v>41109</v>
      </c>
      <c r="B3254" s="2">
        <v>5.4050000000000002</v>
      </c>
      <c r="C3254" s="2">
        <f t="shared" si="50"/>
        <v>8.3604760084609077E-3</v>
      </c>
    </row>
    <row r="3255" spans="1:3" x14ac:dyDescent="0.2">
      <c r="A3255" s="3">
        <v>41108</v>
      </c>
      <c r="B3255" s="2">
        <v>5.36</v>
      </c>
      <c r="C3255" s="2">
        <f t="shared" si="50"/>
        <v>-1.2975158863133305E-2</v>
      </c>
    </row>
    <row r="3256" spans="1:3" x14ac:dyDescent="0.2">
      <c r="A3256" s="3">
        <v>41107</v>
      </c>
      <c r="B3256" s="2">
        <v>5.43</v>
      </c>
      <c r="C3256" s="2">
        <f t="shared" si="50"/>
        <v>9.2123451932084018E-4</v>
      </c>
    </row>
    <row r="3257" spans="1:3" x14ac:dyDescent="0.2">
      <c r="A3257" s="3">
        <v>41106</v>
      </c>
      <c r="B3257" s="2">
        <v>5.4249999999999998</v>
      </c>
      <c r="C3257" s="2">
        <f t="shared" si="50"/>
        <v>1.485635494951471E-2</v>
      </c>
    </row>
    <row r="3258" spans="1:3" x14ac:dyDescent="0.2">
      <c r="A3258" s="3">
        <v>41103</v>
      </c>
      <c r="B3258" s="2">
        <v>5.3449999999999998</v>
      </c>
      <c r="C3258" s="2">
        <f t="shared" si="50"/>
        <v>5.6285326830972588E-3</v>
      </c>
    </row>
    <row r="3259" spans="1:3" x14ac:dyDescent="0.2">
      <c r="A3259" s="3">
        <v>41102</v>
      </c>
      <c r="B3259" s="2">
        <v>5.3150000000000004</v>
      </c>
      <c r="C3259" s="2">
        <f t="shared" si="50"/>
        <v>-1.5865941776317428E-2</v>
      </c>
    </row>
    <row r="3260" spans="1:3" x14ac:dyDescent="0.2">
      <c r="A3260" s="3">
        <v>41101</v>
      </c>
      <c r="B3260" s="2">
        <v>5.4</v>
      </c>
      <c r="C3260" s="2">
        <f t="shared" si="50"/>
        <v>2.0580707700020663E-2</v>
      </c>
    </row>
    <row r="3261" spans="1:3" x14ac:dyDescent="0.2">
      <c r="A3261" s="3">
        <v>41100</v>
      </c>
      <c r="B3261" s="2">
        <v>5.29</v>
      </c>
      <c r="C3261" s="2">
        <f t="shared" si="50"/>
        <v>-3.0714373414826086E-2</v>
      </c>
    </row>
    <row r="3262" spans="1:3" x14ac:dyDescent="0.2">
      <c r="A3262" s="3">
        <v>41099</v>
      </c>
      <c r="B3262" s="2">
        <v>5.4550000000000001</v>
      </c>
      <c r="C3262" s="2">
        <f t="shared" si="50"/>
        <v>-5.5272534435988181E-2</v>
      </c>
    </row>
    <row r="3263" spans="1:3" x14ac:dyDescent="0.2">
      <c r="A3263" s="3">
        <v>41096</v>
      </c>
      <c r="B3263" s="2">
        <v>5.7649999999999997</v>
      </c>
      <c r="C3263" s="2">
        <f t="shared" si="50"/>
        <v>-8.6356322496055644E-3</v>
      </c>
    </row>
    <row r="3264" spans="1:3" x14ac:dyDescent="0.2">
      <c r="A3264" s="3">
        <v>41095</v>
      </c>
      <c r="B3264" s="2">
        <v>5.8150000000000004</v>
      </c>
      <c r="C3264" s="2">
        <f t="shared" si="50"/>
        <v>-3.464647335010184E-2</v>
      </c>
    </row>
    <row r="3265" spans="1:3" x14ac:dyDescent="0.2">
      <c r="A3265" s="3">
        <v>41094</v>
      </c>
      <c r="B3265" s="2">
        <v>6.02</v>
      </c>
      <c r="C3265" s="2">
        <f t="shared" si="50"/>
        <v>1.6625107736134572E-3</v>
      </c>
    </row>
    <row r="3266" spans="1:3" x14ac:dyDescent="0.2">
      <c r="A3266" s="3">
        <v>41093</v>
      </c>
      <c r="B3266" s="2">
        <v>6.01</v>
      </c>
      <c r="C3266" s="2">
        <f t="shared" si="50"/>
        <v>1.6652793190612488E-3</v>
      </c>
    </row>
    <row r="3267" spans="1:3" x14ac:dyDescent="0.2">
      <c r="A3267" s="3">
        <v>41089</v>
      </c>
      <c r="B3267" s="2">
        <v>6</v>
      </c>
      <c r="C3267" s="2">
        <f t="shared" ref="C3267:C3330" si="51">+LN(B3267/B3268)</f>
        <v>9.2089390853099078E-3</v>
      </c>
    </row>
    <row r="3268" spans="1:3" x14ac:dyDescent="0.2">
      <c r="A3268" s="3">
        <v>41088</v>
      </c>
      <c r="B3268" s="2">
        <v>5.9450000000000003</v>
      </c>
      <c r="C3268" s="2">
        <f t="shared" si="51"/>
        <v>-3.3585254071342159E-3</v>
      </c>
    </row>
    <row r="3269" spans="1:3" x14ac:dyDescent="0.2">
      <c r="A3269" s="3">
        <v>41087</v>
      </c>
      <c r="B3269" s="2">
        <v>5.9649999999999999</v>
      </c>
      <c r="C3269" s="2">
        <f t="shared" si="51"/>
        <v>9.2632241318725411E-3</v>
      </c>
    </row>
    <row r="3270" spans="1:3" x14ac:dyDescent="0.2">
      <c r="A3270" s="3">
        <v>41085</v>
      </c>
      <c r="B3270" s="2">
        <v>5.91</v>
      </c>
      <c r="C3270" s="2">
        <f t="shared" si="51"/>
        <v>-3.2462276144661274E-2</v>
      </c>
    </row>
    <row r="3271" spans="1:3" x14ac:dyDescent="0.2">
      <c r="A3271" s="3">
        <v>41082</v>
      </c>
      <c r="B3271" s="2">
        <v>6.1050000000000004</v>
      </c>
      <c r="C3271" s="2">
        <f t="shared" si="51"/>
        <v>-1.3826979133836719E-2</v>
      </c>
    </row>
    <row r="3272" spans="1:3" x14ac:dyDescent="0.2">
      <c r="A3272" s="3">
        <v>41081</v>
      </c>
      <c r="B3272" s="2">
        <v>6.19</v>
      </c>
      <c r="C3272" s="2">
        <f t="shared" si="51"/>
        <v>8.080808520535348E-4</v>
      </c>
    </row>
    <row r="3273" spans="1:3" x14ac:dyDescent="0.2">
      <c r="A3273" s="3">
        <v>41080</v>
      </c>
      <c r="B3273" s="2">
        <v>6.1849999999999996</v>
      </c>
      <c r="C3273" s="2">
        <f t="shared" si="51"/>
        <v>4.862246208034336E-3</v>
      </c>
    </row>
    <row r="3274" spans="1:3" x14ac:dyDescent="0.2">
      <c r="A3274" s="3">
        <v>41079</v>
      </c>
      <c r="B3274" s="2">
        <v>6.1550000000000002</v>
      </c>
      <c r="C3274" s="2">
        <f t="shared" si="51"/>
        <v>8.9759884571513765E-3</v>
      </c>
    </row>
    <row r="3275" spans="1:3" x14ac:dyDescent="0.2">
      <c r="A3275" s="3">
        <v>41078</v>
      </c>
      <c r="B3275" s="2">
        <v>6.1</v>
      </c>
      <c r="C3275" s="2">
        <f t="shared" si="51"/>
        <v>1.6406894574597963E-3</v>
      </c>
    </row>
    <row r="3276" spans="1:3" x14ac:dyDescent="0.2">
      <c r="A3276" s="3">
        <v>41075</v>
      </c>
      <c r="B3276" s="2">
        <v>6.09</v>
      </c>
      <c r="C3276" s="2">
        <f t="shared" si="51"/>
        <v>1.4888612493750559E-2</v>
      </c>
    </row>
    <row r="3277" spans="1:3" x14ac:dyDescent="0.2">
      <c r="A3277" s="3">
        <v>41074</v>
      </c>
      <c r="B3277" s="2">
        <v>6</v>
      </c>
      <c r="C3277" s="2">
        <f t="shared" si="51"/>
        <v>1.7654935238720745E-2</v>
      </c>
    </row>
    <row r="3278" spans="1:3" x14ac:dyDescent="0.2">
      <c r="A3278" s="3">
        <v>41073</v>
      </c>
      <c r="B3278" s="2">
        <v>5.8949999999999996</v>
      </c>
      <c r="C3278" s="2">
        <f t="shared" si="51"/>
        <v>-1.5151805020602333E-2</v>
      </c>
    </row>
    <row r="3279" spans="1:3" x14ac:dyDescent="0.2">
      <c r="A3279" s="3">
        <v>41072</v>
      </c>
      <c r="B3279" s="2">
        <v>5.9850000000000003</v>
      </c>
      <c r="C3279" s="2">
        <f t="shared" si="51"/>
        <v>-2.9631797606371114E-2</v>
      </c>
    </row>
    <row r="3280" spans="1:3" x14ac:dyDescent="0.2">
      <c r="A3280" s="3">
        <v>41071</v>
      </c>
      <c r="B3280" s="2">
        <v>6.165</v>
      </c>
      <c r="C3280" s="2">
        <f t="shared" si="51"/>
        <v>8.1135907087910759E-4</v>
      </c>
    </row>
    <row r="3281" spans="1:3" x14ac:dyDescent="0.2">
      <c r="A3281" s="3">
        <v>41068</v>
      </c>
      <c r="B3281" s="2">
        <v>6.16</v>
      </c>
      <c r="C3281" s="2">
        <f t="shared" si="51"/>
        <v>-1.2101801586571377E-2</v>
      </c>
    </row>
    <row r="3282" spans="1:3" x14ac:dyDescent="0.2">
      <c r="A3282" s="3">
        <v>41067</v>
      </c>
      <c r="B3282" s="2">
        <v>6.2350000000000003</v>
      </c>
      <c r="C3282" s="2">
        <f t="shared" si="51"/>
        <v>1.2101801586571361E-2</v>
      </c>
    </row>
    <row r="3283" spans="1:3" x14ac:dyDescent="0.2">
      <c r="A3283" s="3">
        <v>41066</v>
      </c>
      <c r="B3283" s="2">
        <v>6.16</v>
      </c>
      <c r="C3283" s="2">
        <f t="shared" si="51"/>
        <v>1.3894788318816215E-2</v>
      </c>
    </row>
    <row r="3284" spans="1:3" x14ac:dyDescent="0.2">
      <c r="A3284" s="3">
        <v>41065</v>
      </c>
      <c r="B3284" s="2">
        <v>6.0750000000000002</v>
      </c>
      <c r="C3284" s="2">
        <f t="shared" si="51"/>
        <v>1.6474468305987288E-3</v>
      </c>
    </row>
    <row r="3285" spans="1:3" x14ac:dyDescent="0.2">
      <c r="A3285" s="3">
        <v>41064</v>
      </c>
      <c r="B3285" s="2">
        <v>6.0650000000000004</v>
      </c>
      <c r="C3285" s="2">
        <f t="shared" si="51"/>
        <v>-9.0275541282212289E-3</v>
      </c>
    </row>
    <row r="3286" spans="1:3" x14ac:dyDescent="0.2">
      <c r="A3286" s="3">
        <v>41061</v>
      </c>
      <c r="B3286" s="2">
        <v>6.12</v>
      </c>
      <c r="C3286" s="2">
        <f t="shared" si="51"/>
        <v>-1.8616482607765075E-2</v>
      </c>
    </row>
    <row r="3287" spans="1:3" x14ac:dyDescent="0.2">
      <c r="A3287" s="3">
        <v>41060</v>
      </c>
      <c r="B3287" s="2">
        <v>6.2350000000000003</v>
      </c>
      <c r="C3287" s="2">
        <f t="shared" si="51"/>
        <v>-5.5977755128294908E-3</v>
      </c>
    </row>
    <row r="3288" spans="1:3" x14ac:dyDescent="0.2">
      <c r="A3288" s="3">
        <v>41059</v>
      </c>
      <c r="B3288" s="2">
        <v>6.27</v>
      </c>
      <c r="C3288" s="2">
        <f t="shared" si="51"/>
        <v>-9.5238815112555896E-3</v>
      </c>
    </row>
    <row r="3289" spans="1:3" x14ac:dyDescent="0.2">
      <c r="A3289" s="3">
        <v>41057</v>
      </c>
      <c r="B3289" s="2">
        <v>6.33</v>
      </c>
      <c r="C3289" s="2">
        <f t="shared" si="51"/>
        <v>8.7267511382371401E-3</v>
      </c>
    </row>
    <row r="3290" spans="1:3" x14ac:dyDescent="0.2">
      <c r="A3290" s="3">
        <v>41054</v>
      </c>
      <c r="B3290" s="2">
        <v>6.2750000000000004</v>
      </c>
      <c r="C3290" s="2">
        <f t="shared" si="51"/>
        <v>-7.9649546225975243E-4</v>
      </c>
    </row>
    <row r="3291" spans="1:3" x14ac:dyDescent="0.2">
      <c r="A3291" s="3">
        <v>41053</v>
      </c>
      <c r="B3291" s="2">
        <v>6.28</v>
      </c>
      <c r="C3291" s="2">
        <f t="shared" si="51"/>
        <v>4.7885167317973151E-3</v>
      </c>
    </row>
    <row r="3292" spans="1:3" x14ac:dyDescent="0.2">
      <c r="A3292" s="3">
        <v>41052</v>
      </c>
      <c r="B3292" s="2">
        <v>6.25</v>
      </c>
      <c r="C3292" s="2">
        <f t="shared" si="51"/>
        <v>-1.5873349156290122E-2</v>
      </c>
    </row>
    <row r="3293" spans="1:3" x14ac:dyDescent="0.2">
      <c r="A3293" s="3">
        <v>41051</v>
      </c>
      <c r="B3293" s="2">
        <v>6.35</v>
      </c>
      <c r="C3293" s="2">
        <f t="shared" si="51"/>
        <v>1.4274627792593033E-2</v>
      </c>
    </row>
    <row r="3294" spans="1:3" x14ac:dyDescent="0.2">
      <c r="A3294" s="3">
        <v>41050</v>
      </c>
      <c r="B3294" s="2">
        <v>6.26</v>
      </c>
      <c r="C3294" s="2">
        <f t="shared" si="51"/>
        <v>1.6915425475590249E-2</v>
      </c>
    </row>
    <row r="3295" spans="1:3" x14ac:dyDescent="0.2">
      <c r="A3295" s="3">
        <v>41047</v>
      </c>
      <c r="B3295" s="2">
        <v>6.1550000000000002</v>
      </c>
      <c r="C3295" s="2">
        <f t="shared" si="51"/>
        <v>-1.0505147114671194E-2</v>
      </c>
    </row>
    <row r="3296" spans="1:3" x14ac:dyDescent="0.2">
      <c r="A3296" s="3">
        <v>41046</v>
      </c>
      <c r="B3296" s="2">
        <v>6.22</v>
      </c>
      <c r="C3296" s="2">
        <f t="shared" si="51"/>
        <v>-4.8115569972220816E-3</v>
      </c>
    </row>
    <row r="3297" spans="1:3" x14ac:dyDescent="0.2">
      <c r="A3297" s="3">
        <v>41045</v>
      </c>
      <c r="B3297" s="2">
        <v>6.25</v>
      </c>
      <c r="C3297" s="2">
        <f t="shared" si="51"/>
        <v>-2.3971245997214037E-3</v>
      </c>
    </row>
    <row r="3298" spans="1:3" x14ac:dyDescent="0.2">
      <c r="A3298" s="3">
        <v>41044</v>
      </c>
      <c r="B3298" s="2">
        <v>6.2649999999999997</v>
      </c>
      <c r="C3298" s="2">
        <f t="shared" si="51"/>
        <v>1.5974444291570774E-3</v>
      </c>
    </row>
    <row r="3299" spans="1:3" x14ac:dyDescent="0.2">
      <c r="A3299" s="3">
        <v>41043</v>
      </c>
      <c r="B3299" s="2">
        <v>6.2549999999999999</v>
      </c>
      <c r="C3299" s="2">
        <f t="shared" si="51"/>
        <v>-1.0338064239891647E-2</v>
      </c>
    </row>
    <row r="3300" spans="1:3" x14ac:dyDescent="0.2">
      <c r="A3300" s="3">
        <v>41040</v>
      </c>
      <c r="B3300" s="2">
        <v>6.32</v>
      </c>
      <c r="C3300" s="2">
        <f t="shared" si="51"/>
        <v>1.9169916107720123E-2</v>
      </c>
    </row>
    <row r="3301" spans="1:3" x14ac:dyDescent="0.2">
      <c r="A3301" s="3">
        <v>41039</v>
      </c>
      <c r="B3301" s="2">
        <v>6.2</v>
      </c>
      <c r="C3301" s="2">
        <f t="shared" si="51"/>
        <v>1.9544596072970346E-2</v>
      </c>
    </row>
    <row r="3302" spans="1:3" x14ac:dyDescent="0.2">
      <c r="A3302" s="3">
        <v>41037</v>
      </c>
      <c r="B3302" s="2">
        <v>6.08</v>
      </c>
      <c r="C3302" s="2">
        <f t="shared" si="51"/>
        <v>-3.1568789039772005E-2</v>
      </c>
    </row>
    <row r="3303" spans="1:3" x14ac:dyDescent="0.2">
      <c r="A3303" s="3">
        <v>41036</v>
      </c>
      <c r="B3303" s="2">
        <v>6.2750000000000004</v>
      </c>
      <c r="C3303" s="2">
        <f t="shared" si="51"/>
        <v>-1.2668419623569774E-2</v>
      </c>
    </row>
    <row r="3304" spans="1:3" x14ac:dyDescent="0.2">
      <c r="A3304" s="3">
        <v>41033</v>
      </c>
      <c r="B3304" s="2">
        <v>6.3550000000000004</v>
      </c>
      <c r="C3304" s="2">
        <f t="shared" si="51"/>
        <v>-3.3271927855101739E-2</v>
      </c>
    </row>
    <row r="3305" spans="1:3" x14ac:dyDescent="0.2">
      <c r="A3305" s="3">
        <v>41032</v>
      </c>
      <c r="B3305" s="2">
        <v>6.57</v>
      </c>
      <c r="C3305" s="2">
        <f t="shared" si="51"/>
        <v>7.6394565579576256E-3</v>
      </c>
    </row>
    <row r="3306" spans="1:3" x14ac:dyDescent="0.2">
      <c r="A3306" s="3">
        <v>41031</v>
      </c>
      <c r="B3306" s="2">
        <v>6.52</v>
      </c>
      <c r="C3306" s="2">
        <f t="shared" si="51"/>
        <v>-3.3185548985654213E-2</v>
      </c>
    </row>
    <row r="3307" spans="1:3" x14ac:dyDescent="0.2">
      <c r="A3307" s="3">
        <v>41029</v>
      </c>
      <c r="B3307" s="2">
        <v>6.74</v>
      </c>
      <c r="C3307" s="2">
        <f t="shared" si="51"/>
        <v>5.2064081905737504E-3</v>
      </c>
    </row>
    <row r="3308" spans="1:3" x14ac:dyDescent="0.2">
      <c r="A3308" s="3">
        <v>41026</v>
      </c>
      <c r="B3308" s="2">
        <v>6.7050000000000001</v>
      </c>
      <c r="C3308" s="2">
        <f t="shared" si="51"/>
        <v>1.5783867701261951E-2</v>
      </c>
    </row>
    <row r="3309" spans="1:3" x14ac:dyDescent="0.2">
      <c r="A3309" s="3">
        <v>41025</v>
      </c>
      <c r="B3309" s="2">
        <v>6.6</v>
      </c>
      <c r="C3309" s="2">
        <f t="shared" si="51"/>
        <v>1.5267472130788381E-2</v>
      </c>
    </row>
    <row r="3310" spans="1:3" x14ac:dyDescent="0.2">
      <c r="A3310" s="3">
        <v>41024</v>
      </c>
      <c r="B3310" s="2">
        <v>6.5</v>
      </c>
      <c r="C3310" s="2">
        <f t="shared" si="51"/>
        <v>2.5712363128489034E-2</v>
      </c>
    </row>
    <row r="3311" spans="1:3" x14ac:dyDescent="0.2">
      <c r="A3311" s="3">
        <v>41023</v>
      </c>
      <c r="B3311" s="2">
        <v>6.335</v>
      </c>
      <c r="C3311" s="2">
        <f t="shared" si="51"/>
        <v>3.1620579706478796E-3</v>
      </c>
    </row>
    <row r="3312" spans="1:3" x14ac:dyDescent="0.2">
      <c r="A3312" s="3">
        <v>41022</v>
      </c>
      <c r="B3312" s="2">
        <v>6.3150000000000004</v>
      </c>
      <c r="C3312" s="2">
        <f t="shared" si="51"/>
        <v>-2.5020851783146919E-2</v>
      </c>
    </row>
    <row r="3313" spans="1:3" x14ac:dyDescent="0.2">
      <c r="A3313" s="3">
        <v>41019</v>
      </c>
      <c r="B3313" s="2">
        <v>6.4749999999999996</v>
      </c>
      <c r="C3313" s="2">
        <f t="shared" si="51"/>
        <v>-1.5432101828058516E-3</v>
      </c>
    </row>
    <row r="3314" spans="1:3" x14ac:dyDescent="0.2">
      <c r="A3314" s="3">
        <v>41018</v>
      </c>
      <c r="B3314" s="2">
        <v>6.4850000000000003</v>
      </c>
      <c r="C3314" s="2">
        <f t="shared" si="51"/>
        <v>6.9632776521448472E-3</v>
      </c>
    </row>
    <row r="3315" spans="1:3" x14ac:dyDescent="0.2">
      <c r="A3315" s="3">
        <v>41017</v>
      </c>
      <c r="B3315" s="2">
        <v>6.44</v>
      </c>
      <c r="C3315" s="2">
        <f t="shared" si="51"/>
        <v>1.5540018667343205E-3</v>
      </c>
    </row>
    <row r="3316" spans="1:3" x14ac:dyDescent="0.2">
      <c r="A3316" s="3">
        <v>41015</v>
      </c>
      <c r="B3316" s="2">
        <v>6.43</v>
      </c>
      <c r="C3316" s="2">
        <f t="shared" si="51"/>
        <v>3.1152673169492786E-3</v>
      </c>
    </row>
    <row r="3317" spans="1:3" x14ac:dyDescent="0.2">
      <c r="A3317" s="3">
        <v>41012</v>
      </c>
      <c r="B3317" s="2">
        <v>6.41</v>
      </c>
      <c r="C3317" s="2">
        <f t="shared" si="51"/>
        <v>-1.9313076143606601E-2</v>
      </c>
    </row>
    <row r="3318" spans="1:3" x14ac:dyDescent="0.2">
      <c r="A3318" s="3">
        <v>41011</v>
      </c>
      <c r="B3318" s="2">
        <v>6.5350000000000001</v>
      </c>
      <c r="C3318" s="2">
        <f t="shared" si="51"/>
        <v>5.262305502513933E-2</v>
      </c>
    </row>
    <row r="3319" spans="1:3" x14ac:dyDescent="0.2">
      <c r="A3319" s="3">
        <v>41010</v>
      </c>
      <c r="B3319" s="2">
        <v>6.2</v>
      </c>
      <c r="C3319" s="2">
        <f t="shared" si="51"/>
        <v>1.7080529117811181E-2</v>
      </c>
    </row>
    <row r="3320" spans="1:3" x14ac:dyDescent="0.2">
      <c r="A3320" s="3">
        <v>41009</v>
      </c>
      <c r="B3320" s="2">
        <v>6.0949999999999998</v>
      </c>
      <c r="C3320" s="2">
        <f t="shared" si="51"/>
        <v>-3.0697079108975973E-2</v>
      </c>
    </row>
    <row r="3321" spans="1:3" x14ac:dyDescent="0.2">
      <c r="A3321" s="3">
        <v>41004</v>
      </c>
      <c r="B3321" s="2">
        <v>6.2850000000000001</v>
      </c>
      <c r="C3321" s="2">
        <f t="shared" si="51"/>
        <v>3.1872536941791492E-3</v>
      </c>
    </row>
    <row r="3322" spans="1:3" x14ac:dyDescent="0.2">
      <c r="A3322" s="3">
        <v>41003</v>
      </c>
      <c r="B3322" s="2">
        <v>6.2649999999999997</v>
      </c>
      <c r="C3322" s="2">
        <f t="shared" si="51"/>
        <v>-2.1319402017594684E-2</v>
      </c>
    </row>
    <row r="3323" spans="1:3" x14ac:dyDescent="0.2">
      <c r="A3323" s="3">
        <v>41002</v>
      </c>
      <c r="B3323" s="2">
        <v>6.4</v>
      </c>
      <c r="C3323" s="2">
        <f t="shared" si="51"/>
        <v>7.8155533482031044E-4</v>
      </c>
    </row>
    <row r="3324" spans="1:3" x14ac:dyDescent="0.2">
      <c r="A3324" s="3">
        <v>40998</v>
      </c>
      <c r="B3324" s="2">
        <v>6.3949999999999996</v>
      </c>
      <c r="C3324" s="2">
        <f t="shared" si="51"/>
        <v>3.9169654467338944E-3</v>
      </c>
    </row>
    <row r="3325" spans="1:3" x14ac:dyDescent="0.2">
      <c r="A3325" s="3">
        <v>40997</v>
      </c>
      <c r="B3325" s="2">
        <v>6.37</v>
      </c>
      <c r="C3325" s="2">
        <f t="shared" si="51"/>
        <v>-2.0202707317519466E-2</v>
      </c>
    </row>
    <row r="3326" spans="1:3" x14ac:dyDescent="0.2">
      <c r="A3326" s="3">
        <v>40996</v>
      </c>
      <c r="B3326" s="2">
        <v>6.5</v>
      </c>
      <c r="C3326" s="2">
        <f t="shared" si="51"/>
        <v>7.695267790285181E-4</v>
      </c>
    </row>
    <row r="3327" spans="1:3" x14ac:dyDescent="0.2">
      <c r="A3327" s="3">
        <v>40995</v>
      </c>
      <c r="B3327" s="2">
        <v>6.4950000000000001</v>
      </c>
      <c r="C3327" s="2">
        <f t="shared" si="51"/>
        <v>-2.3068060979149481E-3</v>
      </c>
    </row>
    <row r="3328" spans="1:3" x14ac:dyDescent="0.2">
      <c r="A3328" s="3">
        <v>40994</v>
      </c>
      <c r="B3328" s="2">
        <v>6.51</v>
      </c>
      <c r="C3328" s="2">
        <f t="shared" si="51"/>
        <v>1.6260520871780326E-2</v>
      </c>
    </row>
    <row r="3329" spans="1:3" x14ac:dyDescent="0.2">
      <c r="A3329" s="3">
        <v>40991</v>
      </c>
      <c r="B3329" s="2">
        <v>6.4050000000000002</v>
      </c>
      <c r="C3329" s="2">
        <f t="shared" si="51"/>
        <v>2.2898750236690461E-2</v>
      </c>
    </row>
    <row r="3330" spans="1:3" x14ac:dyDescent="0.2">
      <c r="A3330" s="3">
        <v>40990</v>
      </c>
      <c r="B3330" s="2">
        <v>6.26</v>
      </c>
      <c r="C3330" s="2">
        <f t="shared" si="51"/>
        <v>-1.7419284472064821E-2</v>
      </c>
    </row>
    <row r="3331" spans="1:3" x14ac:dyDescent="0.2">
      <c r="A3331" s="3">
        <v>40989</v>
      </c>
      <c r="B3331" s="2">
        <v>6.37</v>
      </c>
      <c r="C3331" s="2">
        <f t="shared" ref="C3331:C3394" si="52">+LN(B3331/B3332)</f>
        <v>1.901800583576195E-2</v>
      </c>
    </row>
    <row r="3332" spans="1:3" x14ac:dyDescent="0.2">
      <c r="A3332" s="3">
        <v>40988</v>
      </c>
      <c r="B3332" s="2">
        <v>6.25</v>
      </c>
      <c r="C3332" s="2">
        <f t="shared" si="52"/>
        <v>-7.9681696491768449E-3</v>
      </c>
    </row>
    <row r="3333" spans="1:3" x14ac:dyDescent="0.2">
      <c r="A3333" s="3">
        <v>40987</v>
      </c>
      <c r="B3333" s="2">
        <v>6.3</v>
      </c>
      <c r="C3333" s="2">
        <f t="shared" si="52"/>
        <v>-5.5401803756153561E-3</v>
      </c>
    </row>
    <row r="3334" spans="1:3" x14ac:dyDescent="0.2">
      <c r="A3334" s="3">
        <v>40984</v>
      </c>
      <c r="B3334" s="2">
        <v>6.335</v>
      </c>
      <c r="C3334" s="2">
        <f t="shared" si="52"/>
        <v>7.1287430607532877E-3</v>
      </c>
    </row>
    <row r="3335" spans="1:3" x14ac:dyDescent="0.2">
      <c r="A3335" s="3">
        <v>40983</v>
      </c>
      <c r="B3335" s="2">
        <v>6.29</v>
      </c>
      <c r="C3335" s="2">
        <f t="shared" si="52"/>
        <v>-1.2638398871722793E-2</v>
      </c>
    </row>
    <row r="3336" spans="1:3" x14ac:dyDescent="0.2">
      <c r="A3336" s="3">
        <v>40981</v>
      </c>
      <c r="B3336" s="2">
        <v>6.37</v>
      </c>
      <c r="C3336" s="2">
        <f t="shared" si="52"/>
        <v>1.66208812360405E-2</v>
      </c>
    </row>
    <row r="3337" spans="1:3" x14ac:dyDescent="0.2">
      <c r="A3337" s="3">
        <v>40980</v>
      </c>
      <c r="B3337" s="2">
        <v>6.2649999999999997</v>
      </c>
      <c r="C3337" s="2">
        <f t="shared" si="52"/>
        <v>-1.583564366133829E-2</v>
      </c>
    </row>
    <row r="3338" spans="1:3" x14ac:dyDescent="0.2">
      <c r="A3338" s="3">
        <v>40977</v>
      </c>
      <c r="B3338" s="2">
        <v>6.3650000000000002</v>
      </c>
      <c r="C3338" s="2">
        <f t="shared" si="52"/>
        <v>2.3594191047697356E-3</v>
      </c>
    </row>
    <row r="3339" spans="1:3" x14ac:dyDescent="0.2">
      <c r="A3339" s="3">
        <v>40976</v>
      </c>
      <c r="B3339" s="2">
        <v>6.35</v>
      </c>
      <c r="C3339" s="2">
        <f t="shared" si="52"/>
        <v>2.6327807060149137E-2</v>
      </c>
    </row>
    <row r="3340" spans="1:3" x14ac:dyDescent="0.2">
      <c r="A3340" s="3">
        <v>40975</v>
      </c>
      <c r="B3340" s="2">
        <v>6.1849999999999996</v>
      </c>
      <c r="C3340" s="2">
        <f t="shared" si="52"/>
        <v>1.7945016617838899E-2</v>
      </c>
    </row>
    <row r="3341" spans="1:3" x14ac:dyDescent="0.2">
      <c r="A3341" s="3">
        <v>40974</v>
      </c>
      <c r="B3341" s="2">
        <v>6.0750000000000002</v>
      </c>
      <c r="C3341" s="2">
        <f t="shared" si="52"/>
        <v>-5.6014641554671257E-2</v>
      </c>
    </row>
    <row r="3342" spans="1:3" x14ac:dyDescent="0.2">
      <c r="A3342" s="3">
        <v>40973</v>
      </c>
      <c r="B3342" s="2">
        <v>6.4249999999999998</v>
      </c>
      <c r="C3342" s="2">
        <f t="shared" si="52"/>
        <v>9.3823987719135176E-3</v>
      </c>
    </row>
    <row r="3343" spans="1:3" x14ac:dyDescent="0.2">
      <c r="A3343" s="3">
        <v>40970</v>
      </c>
      <c r="B3343" s="2">
        <v>6.3650000000000002</v>
      </c>
      <c r="C3343" s="2">
        <f t="shared" si="52"/>
        <v>-1.6361876503439288E-2</v>
      </c>
    </row>
    <row r="3344" spans="1:3" x14ac:dyDescent="0.2">
      <c r="A3344" s="3">
        <v>40969</v>
      </c>
      <c r="B3344" s="2">
        <v>6.47</v>
      </c>
      <c r="C3344" s="2">
        <f t="shared" si="52"/>
        <v>3.8714721216584072E-3</v>
      </c>
    </row>
    <row r="3345" spans="1:3" x14ac:dyDescent="0.2">
      <c r="A3345" s="3">
        <v>40968</v>
      </c>
      <c r="B3345" s="2">
        <v>6.4450000000000003</v>
      </c>
      <c r="C3345" s="2">
        <f t="shared" si="52"/>
        <v>1.2490404381780834E-2</v>
      </c>
    </row>
    <row r="3346" spans="1:3" x14ac:dyDescent="0.2">
      <c r="A3346" s="3">
        <v>40967</v>
      </c>
      <c r="B3346" s="2">
        <v>6.3650000000000002</v>
      </c>
      <c r="C3346" s="2">
        <f t="shared" si="52"/>
        <v>7.0950238506037148E-3</v>
      </c>
    </row>
    <row r="3347" spans="1:3" x14ac:dyDescent="0.2">
      <c r="A3347" s="3">
        <v>40966</v>
      </c>
      <c r="B3347" s="2">
        <v>6.32</v>
      </c>
      <c r="C3347" s="2">
        <f t="shared" si="52"/>
        <v>1.9169916107720123E-2</v>
      </c>
    </row>
    <row r="3348" spans="1:3" x14ac:dyDescent="0.2">
      <c r="A3348" s="3">
        <v>40962</v>
      </c>
      <c r="B3348" s="2">
        <v>6.2</v>
      </c>
      <c r="C3348" s="2">
        <f t="shared" si="52"/>
        <v>-1.6793677365836951E-2</v>
      </c>
    </row>
    <row r="3349" spans="1:3" x14ac:dyDescent="0.2">
      <c r="A3349" s="3">
        <v>40961</v>
      </c>
      <c r="B3349" s="2">
        <v>6.3049999999999997</v>
      </c>
      <c r="C3349" s="2">
        <f t="shared" si="52"/>
        <v>3.1416196233378914E-2</v>
      </c>
    </row>
    <row r="3350" spans="1:3" x14ac:dyDescent="0.2">
      <c r="A3350" s="3">
        <v>40960</v>
      </c>
      <c r="B3350" s="2">
        <v>6.11</v>
      </c>
      <c r="C3350" s="2">
        <f t="shared" si="52"/>
        <v>2.6535553625965685E-2</v>
      </c>
    </row>
    <row r="3351" spans="1:3" x14ac:dyDescent="0.2">
      <c r="A3351" s="3">
        <v>40956</v>
      </c>
      <c r="B3351" s="2">
        <v>5.95</v>
      </c>
      <c r="C3351" s="2">
        <f t="shared" si="52"/>
        <v>8.4068941479322379E-4</v>
      </c>
    </row>
    <row r="3352" spans="1:3" x14ac:dyDescent="0.2">
      <c r="A3352" s="3">
        <v>40955</v>
      </c>
      <c r="B3352" s="2">
        <v>5.9450000000000003</v>
      </c>
      <c r="C3352" s="2">
        <f t="shared" si="52"/>
        <v>4.2140812468308931E-3</v>
      </c>
    </row>
    <row r="3353" spans="1:3" x14ac:dyDescent="0.2">
      <c r="A3353" s="3">
        <v>40954</v>
      </c>
      <c r="B3353" s="2">
        <v>5.92</v>
      </c>
      <c r="C3353" s="2">
        <f t="shared" si="52"/>
        <v>2.393276621162814E-2</v>
      </c>
    </row>
    <row r="3354" spans="1:3" x14ac:dyDescent="0.2">
      <c r="A3354" s="3">
        <v>40953</v>
      </c>
      <c r="B3354" s="2">
        <v>5.78</v>
      </c>
      <c r="C3354" s="2">
        <f t="shared" si="52"/>
        <v>8.6542627642890145E-4</v>
      </c>
    </row>
    <row r="3355" spans="1:3" x14ac:dyDescent="0.2">
      <c r="A3355" s="3">
        <v>40952</v>
      </c>
      <c r="B3355" s="2">
        <v>5.7750000000000004</v>
      </c>
      <c r="C3355" s="2">
        <f t="shared" si="52"/>
        <v>5.2083451071382597E-3</v>
      </c>
    </row>
    <row r="3356" spans="1:3" x14ac:dyDescent="0.2">
      <c r="A3356" s="3">
        <v>40949</v>
      </c>
      <c r="B3356" s="2">
        <v>5.7450000000000001</v>
      </c>
      <c r="C3356" s="2">
        <f t="shared" si="52"/>
        <v>3.4873618604157109E-3</v>
      </c>
    </row>
    <row r="3357" spans="1:3" x14ac:dyDescent="0.2">
      <c r="A3357" s="3">
        <v>40948</v>
      </c>
      <c r="B3357" s="2">
        <v>5.7249999999999996</v>
      </c>
      <c r="C3357" s="2">
        <f t="shared" si="52"/>
        <v>-1.3877065709551486E-2</v>
      </c>
    </row>
    <row r="3358" spans="1:3" x14ac:dyDescent="0.2">
      <c r="A3358" s="3">
        <v>40947</v>
      </c>
      <c r="B3358" s="2">
        <v>5.8049999999999997</v>
      </c>
      <c r="C3358" s="2">
        <f t="shared" si="52"/>
        <v>-6.011181690280921E-3</v>
      </c>
    </row>
    <row r="3359" spans="1:3" x14ac:dyDescent="0.2">
      <c r="A3359" s="3">
        <v>40946</v>
      </c>
      <c r="B3359" s="2">
        <v>5.84</v>
      </c>
      <c r="C3359" s="2">
        <f t="shared" si="52"/>
        <v>-1.529341616949835E-2</v>
      </c>
    </row>
    <row r="3360" spans="1:3" x14ac:dyDescent="0.2">
      <c r="A3360" s="3">
        <v>40945</v>
      </c>
      <c r="B3360" s="2">
        <v>5.93</v>
      </c>
      <c r="C3360" s="2">
        <f t="shared" si="52"/>
        <v>2.130459785977918E-2</v>
      </c>
    </row>
    <row r="3361" spans="1:3" x14ac:dyDescent="0.2">
      <c r="A3361" s="3">
        <v>40942</v>
      </c>
      <c r="B3361" s="2">
        <v>5.8049999999999997</v>
      </c>
      <c r="C3361" s="2">
        <f t="shared" si="52"/>
        <v>2.3530497410194036E-2</v>
      </c>
    </row>
    <row r="3362" spans="1:3" x14ac:dyDescent="0.2">
      <c r="A3362" s="3">
        <v>40939</v>
      </c>
      <c r="B3362" s="2">
        <v>5.67</v>
      </c>
      <c r="C3362" s="2">
        <f t="shared" si="52"/>
        <v>6.1919702479212007E-3</v>
      </c>
    </row>
    <row r="3363" spans="1:3" x14ac:dyDescent="0.2">
      <c r="A3363" s="3">
        <v>40938</v>
      </c>
      <c r="B3363" s="2">
        <v>5.6349999999999998</v>
      </c>
      <c r="C3363" s="2">
        <f t="shared" si="52"/>
        <v>-4.4267447233519736E-3</v>
      </c>
    </row>
    <row r="3364" spans="1:3" x14ac:dyDescent="0.2">
      <c r="A3364" s="3">
        <v>40935</v>
      </c>
      <c r="B3364" s="2">
        <v>5.66</v>
      </c>
      <c r="C3364" s="2">
        <f t="shared" si="52"/>
        <v>-6.1647046840539012E-3</v>
      </c>
    </row>
    <row r="3365" spans="1:3" x14ac:dyDescent="0.2">
      <c r="A3365" s="3">
        <v>40934</v>
      </c>
      <c r="B3365" s="2">
        <v>5.6950000000000003</v>
      </c>
      <c r="C3365" s="2">
        <f t="shared" si="52"/>
        <v>4.3994791594848424E-3</v>
      </c>
    </row>
    <row r="3366" spans="1:3" x14ac:dyDescent="0.2">
      <c r="A3366" s="3">
        <v>40933</v>
      </c>
      <c r="B3366" s="2">
        <v>5.67</v>
      </c>
      <c r="C3366" s="2">
        <f t="shared" si="52"/>
        <v>1.7652255245691492E-3</v>
      </c>
    </row>
    <row r="3367" spans="1:3" x14ac:dyDescent="0.2">
      <c r="A3367" s="3">
        <v>40932</v>
      </c>
      <c r="B3367" s="2">
        <v>5.66</v>
      </c>
      <c r="C3367" s="2">
        <f t="shared" si="52"/>
        <v>-8.8300226487806081E-4</v>
      </c>
    </row>
    <row r="3368" spans="1:3" x14ac:dyDescent="0.2">
      <c r="A3368" s="3">
        <v>40931</v>
      </c>
      <c r="B3368" s="2">
        <v>5.665</v>
      </c>
      <c r="C3368" s="2">
        <f t="shared" si="52"/>
        <v>8.8300226487807762E-4</v>
      </c>
    </row>
    <row r="3369" spans="1:3" x14ac:dyDescent="0.2">
      <c r="A3369" s="3">
        <v>40928</v>
      </c>
      <c r="B3369" s="2">
        <v>5.66</v>
      </c>
      <c r="C3369" s="2">
        <f t="shared" si="52"/>
        <v>8.837826470076939E-4</v>
      </c>
    </row>
    <row r="3370" spans="1:3" x14ac:dyDescent="0.2">
      <c r="A3370" s="3">
        <v>40927</v>
      </c>
      <c r="B3370" s="2">
        <v>5.6550000000000002</v>
      </c>
      <c r="C3370" s="2">
        <f t="shared" si="52"/>
        <v>1.7841686476490634E-2</v>
      </c>
    </row>
    <row r="3371" spans="1:3" x14ac:dyDescent="0.2">
      <c r="A3371" s="3">
        <v>40926</v>
      </c>
      <c r="B3371" s="2">
        <v>5.5549999999999997</v>
      </c>
      <c r="C3371" s="2">
        <f t="shared" si="52"/>
        <v>1.2681329364399696E-2</v>
      </c>
    </row>
    <row r="3372" spans="1:3" x14ac:dyDescent="0.2">
      <c r="A3372" s="3">
        <v>40925</v>
      </c>
      <c r="B3372" s="2">
        <v>5.4850000000000003</v>
      </c>
      <c r="C3372" s="2">
        <f t="shared" si="52"/>
        <v>2.8665855549440438E-2</v>
      </c>
    </row>
    <row r="3373" spans="1:3" x14ac:dyDescent="0.2">
      <c r="A3373" s="3">
        <v>40921</v>
      </c>
      <c r="B3373" s="2">
        <v>5.33</v>
      </c>
      <c r="C3373" s="2">
        <f t="shared" si="52"/>
        <v>5.6444176196771313E-3</v>
      </c>
    </row>
    <row r="3374" spans="1:3" x14ac:dyDescent="0.2">
      <c r="A3374" s="3">
        <v>40920</v>
      </c>
      <c r="B3374" s="2">
        <v>5.3</v>
      </c>
      <c r="C3374" s="2">
        <f t="shared" si="52"/>
        <v>-1.3121087962697212E-2</v>
      </c>
    </row>
    <row r="3375" spans="1:3" x14ac:dyDescent="0.2">
      <c r="A3375" s="3">
        <v>40918</v>
      </c>
      <c r="B3375" s="2">
        <v>5.37</v>
      </c>
      <c r="C3375" s="2">
        <f t="shared" si="52"/>
        <v>1.123607326692597E-2</v>
      </c>
    </row>
    <row r="3376" spans="1:3" x14ac:dyDescent="0.2">
      <c r="A3376" s="3">
        <v>40917</v>
      </c>
      <c r="B3376" s="2">
        <v>5.31</v>
      </c>
      <c r="C3376" s="2">
        <f t="shared" si="52"/>
        <v>-9.4117654006396442E-4</v>
      </c>
    </row>
    <row r="3377" spans="1:3" x14ac:dyDescent="0.2">
      <c r="A3377" s="3">
        <v>40914</v>
      </c>
      <c r="B3377" s="2">
        <v>5.3150000000000004</v>
      </c>
      <c r="C3377" s="2">
        <f t="shared" si="52"/>
        <v>9.411765400639063E-4</v>
      </c>
    </row>
    <row r="3378" spans="1:3" x14ac:dyDescent="0.2">
      <c r="A3378" s="3">
        <v>40911</v>
      </c>
      <c r="B3378" s="2">
        <v>5.31</v>
      </c>
      <c r="C3378" s="2">
        <f t="shared" si="52"/>
        <v>2.1895210702656563E-2</v>
      </c>
    </row>
    <row r="3379" spans="1:3" x14ac:dyDescent="0.2">
      <c r="A3379" s="3">
        <v>40907</v>
      </c>
      <c r="B3379" s="2">
        <v>5.1950000000000003</v>
      </c>
      <c r="C3379" s="2">
        <f t="shared" si="52"/>
        <v>-9.5786172970697726E-3</v>
      </c>
    </row>
    <row r="3380" spans="1:3" x14ac:dyDescent="0.2">
      <c r="A3380" s="3">
        <v>40906</v>
      </c>
      <c r="B3380" s="2">
        <v>5.2450000000000001</v>
      </c>
      <c r="C3380" s="2">
        <f t="shared" si="52"/>
        <v>-3.8059037376783006E-3</v>
      </c>
    </row>
    <row r="3381" spans="1:3" x14ac:dyDescent="0.2">
      <c r="A3381" s="3">
        <v>40905</v>
      </c>
      <c r="B3381" s="2">
        <v>5.2649999999999997</v>
      </c>
      <c r="C3381" s="2">
        <f t="shared" si="52"/>
        <v>-2.8449521322313617E-3</v>
      </c>
    </row>
    <row r="3382" spans="1:3" x14ac:dyDescent="0.2">
      <c r="A3382" s="3">
        <v>40904</v>
      </c>
      <c r="B3382" s="2">
        <v>5.28</v>
      </c>
      <c r="C3382" s="2">
        <f t="shared" si="52"/>
        <v>2.8449521322313448E-3</v>
      </c>
    </row>
    <row r="3383" spans="1:3" x14ac:dyDescent="0.2">
      <c r="A3383" s="3">
        <v>40899</v>
      </c>
      <c r="B3383" s="2">
        <v>5.2649999999999997</v>
      </c>
      <c r="C3383" s="2">
        <f t="shared" si="52"/>
        <v>1.0501289820663234E-2</v>
      </c>
    </row>
    <row r="3384" spans="1:3" x14ac:dyDescent="0.2">
      <c r="A3384" s="3">
        <v>40898</v>
      </c>
      <c r="B3384" s="2">
        <v>5.21</v>
      </c>
      <c r="C3384" s="2">
        <f t="shared" si="52"/>
        <v>-8.600148563638884E-3</v>
      </c>
    </row>
    <row r="3385" spans="1:3" x14ac:dyDescent="0.2">
      <c r="A3385" s="3">
        <v>40897</v>
      </c>
      <c r="B3385" s="2">
        <v>5.2549999999999999</v>
      </c>
      <c r="C3385" s="2">
        <f t="shared" si="52"/>
        <v>1.1483379777723691E-2</v>
      </c>
    </row>
    <row r="3386" spans="1:3" x14ac:dyDescent="0.2">
      <c r="A3386" s="3">
        <v>40896</v>
      </c>
      <c r="B3386" s="2">
        <v>5.1950000000000003</v>
      </c>
      <c r="C3386" s="2">
        <f t="shared" si="52"/>
        <v>2.8915682797990743E-3</v>
      </c>
    </row>
    <row r="3387" spans="1:3" x14ac:dyDescent="0.2">
      <c r="A3387" s="3">
        <v>40893</v>
      </c>
      <c r="B3387" s="2">
        <v>5.18</v>
      </c>
      <c r="C3387" s="2">
        <f t="shared" si="52"/>
        <v>1.9323677510538603E-3</v>
      </c>
    </row>
    <row r="3388" spans="1:3" x14ac:dyDescent="0.2">
      <c r="A3388" s="3">
        <v>40892</v>
      </c>
      <c r="B3388" s="2">
        <v>5.17</v>
      </c>
      <c r="C3388" s="2">
        <f t="shared" si="52"/>
        <v>-1.9323677510539241E-3</v>
      </c>
    </row>
    <row r="3389" spans="1:3" x14ac:dyDescent="0.2">
      <c r="A3389" s="3">
        <v>40890</v>
      </c>
      <c r="B3389" s="2">
        <v>5.18</v>
      </c>
      <c r="C3389" s="2">
        <f t="shared" si="52"/>
        <v>2.7398974188114347E-2</v>
      </c>
    </row>
    <row r="3390" spans="1:3" x14ac:dyDescent="0.2">
      <c r="A3390" s="3">
        <v>40889</v>
      </c>
      <c r="B3390" s="2">
        <v>5.04</v>
      </c>
      <c r="C3390" s="2">
        <f t="shared" si="52"/>
        <v>-2.6433257068155483E-2</v>
      </c>
    </row>
    <row r="3391" spans="1:3" x14ac:dyDescent="0.2">
      <c r="A3391" s="3">
        <v>40886</v>
      </c>
      <c r="B3391" s="2">
        <v>5.1749999999999998</v>
      </c>
      <c r="C3391" s="2">
        <f t="shared" si="52"/>
        <v>1.9512814223581719E-2</v>
      </c>
    </row>
    <row r="3392" spans="1:3" x14ac:dyDescent="0.2">
      <c r="A3392" s="3">
        <v>40885</v>
      </c>
      <c r="B3392" s="2">
        <v>5.0750000000000002</v>
      </c>
      <c r="C3392" s="2">
        <f t="shared" si="52"/>
        <v>-1.8546163592486641E-2</v>
      </c>
    </row>
    <row r="3393" spans="1:3" x14ac:dyDescent="0.2">
      <c r="A3393" s="3">
        <v>40883</v>
      </c>
      <c r="B3393" s="2">
        <v>5.17</v>
      </c>
      <c r="C3393" s="2">
        <f t="shared" si="52"/>
        <v>1.8546163592486644E-2</v>
      </c>
    </row>
    <row r="3394" spans="1:3" x14ac:dyDescent="0.2">
      <c r="A3394" s="3">
        <v>40882</v>
      </c>
      <c r="B3394" s="2">
        <v>5.0750000000000002</v>
      </c>
      <c r="C3394" s="2">
        <f t="shared" si="52"/>
        <v>1.6890615164423802E-2</v>
      </c>
    </row>
    <row r="3395" spans="1:3" x14ac:dyDescent="0.2">
      <c r="A3395" s="3">
        <v>40879</v>
      </c>
      <c r="B3395" s="2">
        <v>4.99</v>
      </c>
      <c r="C3395" s="2">
        <f t="shared" ref="C3395:C3458" si="53">+LN(B3395/B3396)</f>
        <v>2.5986033869495766E-2</v>
      </c>
    </row>
    <row r="3396" spans="1:3" x14ac:dyDescent="0.2">
      <c r="A3396" s="3">
        <v>40878</v>
      </c>
      <c r="B3396" s="2">
        <v>4.8620000000000001</v>
      </c>
      <c r="C3396" s="2">
        <f t="shared" si="53"/>
        <v>3.7090502030858482E-3</v>
      </c>
    </row>
    <row r="3397" spans="1:3" x14ac:dyDescent="0.2">
      <c r="A3397" s="3">
        <v>40877</v>
      </c>
      <c r="B3397" s="2">
        <v>4.8440000000000003</v>
      </c>
      <c r="C3397" s="2">
        <f t="shared" si="53"/>
        <v>3.4442715761290543E-2</v>
      </c>
    </row>
    <row r="3398" spans="1:3" x14ac:dyDescent="0.2">
      <c r="A3398" s="3">
        <v>40876</v>
      </c>
      <c r="B3398" s="2">
        <v>4.68</v>
      </c>
      <c r="C3398" s="2">
        <f t="shared" si="53"/>
        <v>1.0741241831412616E-2</v>
      </c>
    </row>
    <row r="3399" spans="1:3" x14ac:dyDescent="0.2">
      <c r="A3399" s="3">
        <v>40875</v>
      </c>
      <c r="B3399" s="2">
        <v>4.63</v>
      </c>
      <c r="C3399" s="2">
        <f t="shared" si="53"/>
        <v>4.5964785662888162E-2</v>
      </c>
    </row>
    <row r="3400" spans="1:3" x14ac:dyDescent="0.2">
      <c r="A3400" s="3">
        <v>40872</v>
      </c>
      <c r="B3400" s="2">
        <v>4.4219999999999997</v>
      </c>
      <c r="C3400" s="2">
        <f t="shared" si="53"/>
        <v>-2.0148431760503158E-2</v>
      </c>
    </row>
    <row r="3401" spans="1:3" x14ac:dyDescent="0.2">
      <c r="A3401" s="3">
        <v>40871</v>
      </c>
      <c r="B3401" s="2">
        <v>4.5119999999999996</v>
      </c>
      <c r="C3401" s="2">
        <f t="shared" si="53"/>
        <v>1.74384030016379E-2</v>
      </c>
    </row>
    <row r="3402" spans="1:3" x14ac:dyDescent="0.2">
      <c r="A3402" s="3">
        <v>40870</v>
      </c>
      <c r="B3402" s="2">
        <v>4.4340000000000002</v>
      </c>
      <c r="C3402" s="2">
        <f t="shared" si="53"/>
        <v>-2.5825121768739211E-2</v>
      </c>
    </row>
    <row r="3403" spans="1:3" x14ac:dyDescent="0.2">
      <c r="A3403" s="3">
        <v>40869</v>
      </c>
      <c r="B3403" s="2">
        <v>4.55</v>
      </c>
      <c r="C3403" s="2">
        <f t="shared" si="53"/>
        <v>-1.1798257896777188E-2</v>
      </c>
    </row>
    <row r="3404" spans="1:3" x14ac:dyDescent="0.2">
      <c r="A3404" s="3">
        <v>40868</v>
      </c>
      <c r="B3404" s="2">
        <v>4.6040000000000001</v>
      </c>
      <c r="C3404" s="2">
        <f t="shared" si="53"/>
        <v>-5.9448481975912508E-2</v>
      </c>
    </row>
    <row r="3405" spans="1:3" x14ac:dyDescent="0.2">
      <c r="A3405" s="3">
        <v>40865</v>
      </c>
      <c r="B3405" s="2">
        <v>4.8860000000000001</v>
      </c>
      <c r="C3405" s="2">
        <f t="shared" si="53"/>
        <v>-8.9650152190499863E-3</v>
      </c>
    </row>
    <row r="3406" spans="1:3" x14ac:dyDescent="0.2">
      <c r="A3406" s="3">
        <v>40864</v>
      </c>
      <c r="B3406" s="2">
        <v>4.93</v>
      </c>
      <c r="C3406" s="2">
        <f t="shared" si="53"/>
        <v>-2.6027495244775399E-2</v>
      </c>
    </row>
    <row r="3407" spans="1:3" x14ac:dyDescent="0.2">
      <c r="A3407" s="3">
        <v>40862</v>
      </c>
      <c r="B3407" s="2">
        <v>5.0599999999999996</v>
      </c>
      <c r="C3407" s="2">
        <f t="shared" si="53"/>
        <v>2.1978906718775167E-2</v>
      </c>
    </row>
    <row r="3408" spans="1:3" x14ac:dyDescent="0.2">
      <c r="A3408" s="3">
        <v>40861</v>
      </c>
      <c r="B3408" s="2">
        <v>4.95</v>
      </c>
      <c r="C3408" s="2">
        <f t="shared" si="53"/>
        <v>-1.0050335853501451E-2</v>
      </c>
    </row>
    <row r="3409" spans="1:3" x14ac:dyDescent="0.2">
      <c r="A3409" s="3">
        <v>40858</v>
      </c>
      <c r="B3409" s="2">
        <v>5</v>
      </c>
      <c r="C3409" s="2">
        <f t="shared" si="53"/>
        <v>2.0610953904124547E-2</v>
      </c>
    </row>
    <row r="3410" spans="1:3" x14ac:dyDescent="0.2">
      <c r="A3410" s="3">
        <v>40857</v>
      </c>
      <c r="B3410" s="2">
        <v>4.8979999999999997</v>
      </c>
      <c r="C3410" s="2">
        <f t="shared" si="53"/>
        <v>1.4394655294690743E-2</v>
      </c>
    </row>
    <row r="3411" spans="1:3" x14ac:dyDescent="0.2">
      <c r="A3411" s="3">
        <v>40856</v>
      </c>
      <c r="B3411" s="2">
        <v>4.8280000000000003</v>
      </c>
      <c r="C3411" s="2">
        <f t="shared" si="53"/>
        <v>2.0733990426056023E-3</v>
      </c>
    </row>
    <row r="3412" spans="1:3" x14ac:dyDescent="0.2">
      <c r="A3412" s="3">
        <v>40855</v>
      </c>
      <c r="B3412" s="2">
        <v>4.8179999999999996</v>
      </c>
      <c r="C3412" s="2">
        <f t="shared" si="53"/>
        <v>2.7352851917968126E-2</v>
      </c>
    </row>
    <row r="3413" spans="1:3" x14ac:dyDescent="0.2">
      <c r="A3413" s="3">
        <v>40854</v>
      </c>
      <c r="B3413" s="2">
        <v>4.6879999999999997</v>
      </c>
      <c r="C3413" s="2">
        <f t="shared" si="53"/>
        <v>-4.6818557536148879E-3</v>
      </c>
    </row>
    <row r="3414" spans="1:3" x14ac:dyDescent="0.2">
      <c r="A3414" s="3">
        <v>40851</v>
      </c>
      <c r="B3414" s="2">
        <v>4.71</v>
      </c>
      <c r="C3414" s="2">
        <f t="shared" si="53"/>
        <v>-2.4330059174513561E-2</v>
      </c>
    </row>
    <row r="3415" spans="1:3" x14ac:dyDescent="0.2">
      <c r="A3415" s="3">
        <v>40850</v>
      </c>
      <c r="B3415" s="2">
        <v>4.8259999999999996</v>
      </c>
      <c r="C3415" s="2">
        <f t="shared" si="53"/>
        <v>5.7572921617904269E-2</v>
      </c>
    </row>
    <row r="3416" spans="1:3" x14ac:dyDescent="0.2">
      <c r="A3416" s="3">
        <v>40849</v>
      </c>
      <c r="B3416" s="2">
        <v>4.556</v>
      </c>
      <c r="C3416" s="2">
        <f t="shared" si="53"/>
        <v>1.3256932993545576E-2</v>
      </c>
    </row>
    <row r="3417" spans="1:3" x14ac:dyDescent="0.2">
      <c r="A3417" s="3">
        <v>40848</v>
      </c>
      <c r="B3417" s="2">
        <v>4.4960000000000004</v>
      </c>
      <c r="C3417" s="2">
        <f t="shared" si="53"/>
        <v>-3.4538952288709956E-2</v>
      </c>
    </row>
    <row r="3418" spans="1:3" x14ac:dyDescent="0.2">
      <c r="A3418" s="3">
        <v>40847</v>
      </c>
      <c r="B3418" s="2">
        <v>4.6539999999999999</v>
      </c>
      <c r="C3418" s="2">
        <f t="shared" si="53"/>
        <v>-4.3311373032302543E-2</v>
      </c>
    </row>
    <row r="3419" spans="1:3" x14ac:dyDescent="0.2">
      <c r="A3419" s="3">
        <v>40844</v>
      </c>
      <c r="B3419" s="2">
        <v>4.8600000000000003</v>
      </c>
      <c r="C3419" s="2">
        <f t="shared" si="53"/>
        <v>-1.2270092591814247E-2</v>
      </c>
    </row>
    <row r="3420" spans="1:3" x14ac:dyDescent="0.2">
      <c r="A3420" s="3">
        <v>40843</v>
      </c>
      <c r="B3420" s="2">
        <v>4.92</v>
      </c>
      <c r="C3420" s="2">
        <f t="shared" si="53"/>
        <v>3.0543026268547012E-2</v>
      </c>
    </row>
    <row r="3421" spans="1:3" x14ac:dyDescent="0.2">
      <c r="A3421" s="3">
        <v>40842</v>
      </c>
      <c r="B3421" s="2">
        <v>4.7720000000000002</v>
      </c>
      <c r="C3421" s="2">
        <f t="shared" si="53"/>
        <v>-3.7649071871541568E-3</v>
      </c>
    </row>
    <row r="3422" spans="1:3" x14ac:dyDescent="0.2">
      <c r="A3422" s="3">
        <v>40841</v>
      </c>
      <c r="B3422" s="2">
        <v>4.79</v>
      </c>
      <c r="C3422" s="2">
        <f t="shared" si="53"/>
        <v>1.253394774493337E-3</v>
      </c>
    </row>
    <row r="3423" spans="1:3" x14ac:dyDescent="0.2">
      <c r="A3423" s="3">
        <v>40840</v>
      </c>
      <c r="B3423" s="2">
        <v>4.7839999999999998</v>
      </c>
      <c r="C3423" s="2">
        <f t="shared" si="53"/>
        <v>2.1551647579611442E-2</v>
      </c>
    </row>
    <row r="3424" spans="1:3" x14ac:dyDescent="0.2">
      <c r="A3424" s="3">
        <v>40837</v>
      </c>
      <c r="B3424" s="2">
        <v>4.6820000000000004</v>
      </c>
      <c r="C3424" s="2">
        <f t="shared" si="53"/>
        <v>4.7099209311646335E-3</v>
      </c>
    </row>
    <row r="3425" spans="1:3" x14ac:dyDescent="0.2">
      <c r="A3425" s="3">
        <v>40836</v>
      </c>
      <c r="B3425" s="2">
        <v>4.66</v>
      </c>
      <c r="C3425" s="2">
        <f t="shared" si="53"/>
        <v>-2.5006600766063109E-2</v>
      </c>
    </row>
    <row r="3426" spans="1:3" x14ac:dyDescent="0.2">
      <c r="A3426" s="3">
        <v>40835</v>
      </c>
      <c r="B3426" s="2">
        <v>4.7779999999999996</v>
      </c>
      <c r="C3426" s="2">
        <f t="shared" si="53"/>
        <v>-1.672940582563745E-3</v>
      </c>
    </row>
    <row r="3427" spans="1:3" x14ac:dyDescent="0.2">
      <c r="A3427" s="3">
        <v>40834</v>
      </c>
      <c r="B3427" s="2">
        <v>4.7859999999999996</v>
      </c>
      <c r="C3427" s="2">
        <f t="shared" si="53"/>
        <v>2.1542543750710647E-2</v>
      </c>
    </row>
    <row r="3428" spans="1:3" x14ac:dyDescent="0.2">
      <c r="A3428" s="3">
        <v>40833</v>
      </c>
      <c r="B3428" s="2">
        <v>4.6840000000000002</v>
      </c>
      <c r="C3428" s="2">
        <f t="shared" si="53"/>
        <v>-2.1124570912859634E-2</v>
      </c>
    </row>
    <row r="3429" spans="1:3" x14ac:dyDescent="0.2">
      <c r="A3429" s="3">
        <v>40830</v>
      </c>
      <c r="B3429" s="2">
        <v>4.7839999999999998</v>
      </c>
      <c r="C3429" s="2">
        <f t="shared" si="53"/>
        <v>3.3500868852820269E-3</v>
      </c>
    </row>
    <row r="3430" spans="1:3" x14ac:dyDescent="0.2">
      <c r="A3430" s="3">
        <v>40829</v>
      </c>
      <c r="B3430" s="2">
        <v>4.7679999999999998</v>
      </c>
      <c r="C3430" s="2">
        <f t="shared" si="53"/>
        <v>1.6494347304860418E-2</v>
      </c>
    </row>
    <row r="3431" spans="1:3" x14ac:dyDescent="0.2">
      <c r="A3431" s="3">
        <v>40828</v>
      </c>
      <c r="B3431" s="2">
        <v>4.6900000000000004</v>
      </c>
      <c r="C3431" s="2">
        <f t="shared" si="53"/>
        <v>1.8507091598551798E-2</v>
      </c>
    </row>
    <row r="3432" spans="1:3" x14ac:dyDescent="0.2">
      <c r="A3432" s="3">
        <v>40827</v>
      </c>
      <c r="B3432" s="2">
        <v>4.6040000000000001</v>
      </c>
      <c r="C3432" s="2">
        <f t="shared" si="53"/>
        <v>-1.8933439931592883E-2</v>
      </c>
    </row>
    <row r="3433" spans="1:3" x14ac:dyDescent="0.2">
      <c r="A3433" s="3">
        <v>40826</v>
      </c>
      <c r="B3433" s="2">
        <v>4.6920000000000002</v>
      </c>
      <c r="C3433" s="2">
        <f t="shared" si="53"/>
        <v>-1.5228720701824671E-2</v>
      </c>
    </row>
    <row r="3434" spans="1:3" x14ac:dyDescent="0.2">
      <c r="A3434" s="3">
        <v>40823</v>
      </c>
      <c r="B3434" s="2">
        <v>4.7640000000000002</v>
      </c>
      <c r="C3434" s="2">
        <f t="shared" si="53"/>
        <v>2.1643110879488312E-2</v>
      </c>
    </row>
    <row r="3435" spans="1:3" x14ac:dyDescent="0.2">
      <c r="A3435" s="3">
        <v>40822</v>
      </c>
      <c r="B3435" s="2">
        <v>4.6619999999999999</v>
      </c>
      <c r="C3435" s="2">
        <f t="shared" si="53"/>
        <v>5.1044956556521096E-2</v>
      </c>
    </row>
    <row r="3436" spans="1:3" x14ac:dyDescent="0.2">
      <c r="A3436" s="3">
        <v>40821</v>
      </c>
      <c r="B3436" s="2">
        <v>4.43</v>
      </c>
      <c r="C3436" s="2">
        <f t="shared" si="53"/>
        <v>5.6653960033236306E-2</v>
      </c>
    </row>
    <row r="3437" spans="1:3" x14ac:dyDescent="0.2">
      <c r="A3437" s="3">
        <v>40820</v>
      </c>
      <c r="B3437" s="2">
        <v>4.1859999999999999</v>
      </c>
      <c r="C3437" s="2">
        <f t="shared" si="53"/>
        <v>-2.826377491836329E-2</v>
      </c>
    </row>
    <row r="3438" spans="1:3" x14ac:dyDescent="0.2">
      <c r="A3438" s="3">
        <v>40819</v>
      </c>
      <c r="B3438" s="2">
        <v>4.306</v>
      </c>
      <c r="C3438" s="2">
        <f t="shared" si="53"/>
        <v>1.0740238660892366E-2</v>
      </c>
    </row>
    <row r="3439" spans="1:3" x14ac:dyDescent="0.2">
      <c r="A3439" s="3">
        <v>40816</v>
      </c>
      <c r="B3439" s="2">
        <v>4.26</v>
      </c>
      <c r="C3439" s="2">
        <f t="shared" si="53"/>
        <v>-1.9986721552958917E-2</v>
      </c>
    </row>
    <row r="3440" spans="1:3" x14ac:dyDescent="0.2">
      <c r="A3440" s="3">
        <v>40815</v>
      </c>
      <c r="B3440" s="2">
        <v>4.3460000000000001</v>
      </c>
      <c r="C3440" s="2">
        <f t="shared" si="53"/>
        <v>-2.9026981233700025E-2</v>
      </c>
    </row>
    <row r="3441" spans="1:3" x14ac:dyDescent="0.2">
      <c r="A3441" s="3">
        <v>40814</v>
      </c>
      <c r="B3441" s="2">
        <v>4.4740000000000002</v>
      </c>
      <c r="C3441" s="2">
        <f t="shared" si="53"/>
        <v>1.4408173609183315E-2</v>
      </c>
    </row>
    <row r="3442" spans="1:3" x14ac:dyDescent="0.2">
      <c r="A3442" s="3">
        <v>40813</v>
      </c>
      <c r="B3442" s="2">
        <v>4.41</v>
      </c>
      <c r="C3442" s="2">
        <f t="shared" si="53"/>
        <v>5.0219756979026565E-2</v>
      </c>
    </row>
    <row r="3443" spans="1:3" x14ac:dyDescent="0.2">
      <c r="A3443" s="3">
        <v>40812</v>
      </c>
      <c r="B3443" s="2">
        <v>4.194</v>
      </c>
      <c r="C3443" s="2">
        <f t="shared" si="53"/>
        <v>1.9745404326864151E-2</v>
      </c>
    </row>
    <row r="3444" spans="1:3" x14ac:dyDescent="0.2">
      <c r="A3444" s="3">
        <v>40809</v>
      </c>
      <c r="B3444" s="2">
        <v>4.1120000000000001</v>
      </c>
      <c r="C3444" s="2">
        <f t="shared" si="53"/>
        <v>-6.3030511704872021E-3</v>
      </c>
    </row>
    <row r="3445" spans="1:3" x14ac:dyDescent="0.2">
      <c r="A3445" s="3">
        <v>40808</v>
      </c>
      <c r="B3445" s="2">
        <v>4.1379999999999999</v>
      </c>
      <c r="C3445" s="2">
        <f t="shared" si="53"/>
        <v>-8.074885677466527E-2</v>
      </c>
    </row>
    <row r="3446" spans="1:3" x14ac:dyDescent="0.2">
      <c r="A3446" s="3">
        <v>40807</v>
      </c>
      <c r="B3446" s="2">
        <v>4.4859999999999998</v>
      </c>
      <c r="C3446" s="2">
        <f t="shared" si="53"/>
        <v>-8.9126565614642324E-4</v>
      </c>
    </row>
    <row r="3447" spans="1:3" x14ac:dyDescent="0.2">
      <c r="A3447" s="3">
        <v>40806</v>
      </c>
      <c r="B3447" s="2">
        <v>4.49</v>
      </c>
      <c r="C3447" s="2">
        <f t="shared" si="53"/>
        <v>8.9126565614639603E-4</v>
      </c>
    </row>
    <row r="3448" spans="1:3" x14ac:dyDescent="0.2">
      <c r="A3448" s="3">
        <v>40805</v>
      </c>
      <c r="B3448" s="2">
        <v>4.4859999999999998</v>
      </c>
      <c r="C3448" s="2">
        <f t="shared" si="53"/>
        <v>1.3383896711226103E-3</v>
      </c>
    </row>
    <row r="3449" spans="1:3" x14ac:dyDescent="0.2">
      <c r="A3449" s="3">
        <v>40802</v>
      </c>
      <c r="B3449" s="2">
        <v>4.4800000000000004</v>
      </c>
      <c r="C3449" s="2">
        <f t="shared" si="53"/>
        <v>1.5294945035637861E-2</v>
      </c>
    </row>
    <row r="3450" spans="1:3" x14ac:dyDescent="0.2">
      <c r="A3450" s="3">
        <v>40801</v>
      </c>
      <c r="B3450" s="2">
        <v>4.4119999999999999</v>
      </c>
      <c r="C3450" s="2">
        <f t="shared" si="53"/>
        <v>5.1627367457209646E-2</v>
      </c>
    </row>
    <row r="3451" spans="1:3" x14ac:dyDescent="0.2">
      <c r="A3451" s="3">
        <v>40800</v>
      </c>
      <c r="B3451" s="2">
        <v>4.1900000000000004</v>
      </c>
      <c r="C3451" s="2">
        <f t="shared" si="53"/>
        <v>3.9430759077730734E-2</v>
      </c>
    </row>
    <row r="3452" spans="1:3" x14ac:dyDescent="0.2">
      <c r="A3452" s="3">
        <v>40799</v>
      </c>
      <c r="B3452" s="2">
        <v>4.0279999999999996</v>
      </c>
      <c r="C3452" s="2">
        <f t="shared" si="53"/>
        <v>1.6016358388574115E-2</v>
      </c>
    </row>
    <row r="3453" spans="1:3" x14ac:dyDescent="0.2">
      <c r="A3453" s="3">
        <v>40798</v>
      </c>
      <c r="B3453" s="2">
        <v>3.964</v>
      </c>
      <c r="C3453" s="2">
        <f t="shared" si="53"/>
        <v>-1.4525674882718848E-2</v>
      </c>
    </row>
    <row r="3454" spans="1:3" x14ac:dyDescent="0.2">
      <c r="A3454" s="3">
        <v>40795</v>
      </c>
      <c r="B3454" s="2">
        <v>4.0220000000000002</v>
      </c>
      <c r="C3454" s="2">
        <f t="shared" si="53"/>
        <v>-4.3781311072348353E-2</v>
      </c>
    </row>
    <row r="3455" spans="1:3" x14ac:dyDescent="0.2">
      <c r="A3455" s="3">
        <v>40794</v>
      </c>
      <c r="B3455" s="2">
        <v>4.202</v>
      </c>
      <c r="C3455" s="2">
        <f t="shared" si="53"/>
        <v>6.6857937677995407E-3</v>
      </c>
    </row>
    <row r="3456" spans="1:3" x14ac:dyDescent="0.2">
      <c r="A3456" s="3">
        <v>40793</v>
      </c>
      <c r="B3456" s="2">
        <v>4.1740000000000004</v>
      </c>
      <c r="C3456" s="2">
        <f t="shared" si="53"/>
        <v>4.7090603013004571E-2</v>
      </c>
    </row>
    <row r="3457" spans="1:3" x14ac:dyDescent="0.2">
      <c r="A3457" s="3">
        <v>40792</v>
      </c>
      <c r="B3457" s="2">
        <v>3.9820000000000002</v>
      </c>
      <c r="C3457" s="2">
        <f t="shared" si="53"/>
        <v>-2.8226682095202113E-2</v>
      </c>
    </row>
    <row r="3458" spans="1:3" x14ac:dyDescent="0.2">
      <c r="A3458" s="3">
        <v>40791</v>
      </c>
      <c r="B3458" s="2">
        <v>4.0960000000000001</v>
      </c>
      <c r="C3458" s="2">
        <f t="shared" si="53"/>
        <v>-5.5556654277191836E-2</v>
      </c>
    </row>
    <row r="3459" spans="1:3" x14ac:dyDescent="0.2">
      <c r="A3459" s="3">
        <v>40788</v>
      </c>
      <c r="B3459" s="2">
        <v>4.33</v>
      </c>
      <c r="C3459" s="2">
        <f t="shared" ref="C3459:C3522" si="54">+LN(B3459/B3460)</f>
        <v>-3.8509854761875614E-2</v>
      </c>
    </row>
    <row r="3460" spans="1:3" x14ac:dyDescent="0.2">
      <c r="A3460" s="3">
        <v>40787</v>
      </c>
      <c r="B3460" s="2">
        <v>4.5</v>
      </c>
      <c r="C3460" s="2">
        <f t="shared" si="54"/>
        <v>1.2522524998890503E-2</v>
      </c>
    </row>
    <row r="3461" spans="1:3" x14ac:dyDescent="0.2">
      <c r="A3461" s="3">
        <v>40786</v>
      </c>
      <c r="B3461" s="2">
        <v>4.444</v>
      </c>
      <c r="C3461" s="2">
        <f t="shared" si="54"/>
        <v>2.8762539684767965E-2</v>
      </c>
    </row>
    <row r="3462" spans="1:3" x14ac:dyDescent="0.2">
      <c r="A3462" s="3">
        <v>40785</v>
      </c>
      <c r="B3462" s="2">
        <v>4.3179999999999996</v>
      </c>
      <c r="C3462" s="2">
        <f t="shared" si="54"/>
        <v>1.6344048152977689E-2</v>
      </c>
    </row>
    <row r="3463" spans="1:3" x14ac:dyDescent="0.2">
      <c r="A3463" s="3">
        <v>40784</v>
      </c>
      <c r="B3463" s="2">
        <v>4.2480000000000002</v>
      </c>
      <c r="C3463" s="2">
        <f t="shared" si="54"/>
        <v>9.4608085042288889E-3</v>
      </c>
    </row>
    <row r="3464" spans="1:3" x14ac:dyDescent="0.2">
      <c r="A3464" s="3">
        <v>40781</v>
      </c>
      <c r="B3464" s="2">
        <v>4.2080000000000002</v>
      </c>
      <c r="C3464" s="2">
        <f t="shared" si="54"/>
        <v>2.4538156838666978E-2</v>
      </c>
    </row>
    <row r="3465" spans="1:3" x14ac:dyDescent="0.2">
      <c r="A3465" s="3">
        <v>40780</v>
      </c>
      <c r="B3465" s="2">
        <v>4.1059999999999999</v>
      </c>
      <c r="C3465" s="2">
        <f t="shared" si="54"/>
        <v>2.1665052203999259E-2</v>
      </c>
    </row>
    <row r="3466" spans="1:3" x14ac:dyDescent="0.2">
      <c r="A3466" s="3">
        <v>40779</v>
      </c>
      <c r="B3466" s="2">
        <v>4.0179999999999998</v>
      </c>
      <c r="C3466" s="2">
        <f t="shared" si="54"/>
        <v>4.9900303145342184E-3</v>
      </c>
    </row>
    <row r="3467" spans="1:3" x14ac:dyDescent="0.2">
      <c r="A3467" s="3">
        <v>40778</v>
      </c>
      <c r="B3467" s="2">
        <v>3.9980000000000002</v>
      </c>
      <c r="C3467" s="2">
        <f t="shared" si="54"/>
        <v>5.5179472838807267E-3</v>
      </c>
    </row>
    <row r="3468" spans="1:3" x14ac:dyDescent="0.2">
      <c r="A3468" s="3">
        <v>40777</v>
      </c>
      <c r="B3468" s="2">
        <v>3.976</v>
      </c>
      <c r="C3468" s="2">
        <f t="shared" si="54"/>
        <v>2.4441135159145443E-2</v>
      </c>
    </row>
    <row r="3469" spans="1:3" x14ac:dyDescent="0.2">
      <c r="A3469" s="3">
        <v>40774</v>
      </c>
      <c r="B3469" s="2">
        <v>3.88</v>
      </c>
      <c r="C3469" s="2">
        <f t="shared" si="54"/>
        <v>-1.9903693545192027E-2</v>
      </c>
    </row>
    <row r="3470" spans="1:3" x14ac:dyDescent="0.2">
      <c r="A3470" s="3">
        <v>40773</v>
      </c>
      <c r="B3470" s="2">
        <v>3.9580000000000002</v>
      </c>
      <c r="C3470" s="2">
        <f t="shared" si="54"/>
        <v>-3.8170680972489976E-2</v>
      </c>
    </row>
    <row r="3471" spans="1:3" x14ac:dyDescent="0.2">
      <c r="A3471" s="3">
        <v>40772</v>
      </c>
      <c r="B3471" s="2">
        <v>4.1120000000000001</v>
      </c>
      <c r="C3471" s="2">
        <f t="shared" si="54"/>
        <v>2.4348685026749934E-3</v>
      </c>
    </row>
    <row r="3472" spans="1:3" x14ac:dyDescent="0.2">
      <c r="A3472" s="3">
        <v>40771</v>
      </c>
      <c r="B3472" s="2">
        <v>4.1020000000000003</v>
      </c>
      <c r="C3472" s="2">
        <f t="shared" si="54"/>
        <v>-4.1543333512609776E-2</v>
      </c>
    </row>
    <row r="3473" spans="1:3" x14ac:dyDescent="0.2">
      <c r="A3473" s="3">
        <v>40767</v>
      </c>
      <c r="B3473" s="2">
        <v>4.2759999999999998</v>
      </c>
      <c r="C3473" s="2">
        <f t="shared" si="54"/>
        <v>3.7488328815196595E-3</v>
      </c>
    </row>
    <row r="3474" spans="1:3" x14ac:dyDescent="0.2">
      <c r="A3474" s="3">
        <v>40766</v>
      </c>
      <c r="B3474" s="2">
        <v>4.26</v>
      </c>
      <c r="C3474" s="2">
        <f t="shared" si="54"/>
        <v>-3.2335380642936576E-2</v>
      </c>
    </row>
    <row r="3475" spans="1:3" x14ac:dyDescent="0.2">
      <c r="A3475" s="3">
        <v>40765</v>
      </c>
      <c r="B3475" s="2">
        <v>4.4000000000000004</v>
      </c>
      <c r="C3475" s="2">
        <f t="shared" si="54"/>
        <v>-2.0248160829947424E-2</v>
      </c>
    </row>
    <row r="3476" spans="1:3" x14ac:dyDescent="0.2">
      <c r="A3476" s="3">
        <v>40764</v>
      </c>
      <c r="B3476" s="2">
        <v>4.49</v>
      </c>
      <c r="C3476" s="2">
        <f t="shared" si="54"/>
        <v>0.10610318186351721</v>
      </c>
    </row>
    <row r="3477" spans="1:3" x14ac:dyDescent="0.2">
      <c r="A3477" s="3">
        <v>40763</v>
      </c>
      <c r="B3477" s="2">
        <v>4.0380000000000003</v>
      </c>
      <c r="C3477" s="2">
        <f t="shared" si="54"/>
        <v>-0.12332595246306319</v>
      </c>
    </row>
    <row r="3478" spans="1:3" x14ac:dyDescent="0.2">
      <c r="A3478" s="3">
        <v>40760</v>
      </c>
      <c r="B3478" s="2">
        <v>4.5679999999999996</v>
      </c>
      <c r="C3478" s="2">
        <f t="shared" si="54"/>
        <v>-6.8116831133071598E-2</v>
      </c>
    </row>
    <row r="3479" spans="1:3" x14ac:dyDescent="0.2">
      <c r="A3479" s="3">
        <v>40759</v>
      </c>
      <c r="B3479" s="2">
        <v>4.8899999999999997</v>
      </c>
      <c r="C3479" s="2">
        <f t="shared" si="54"/>
        <v>-0.11025648627003309</v>
      </c>
    </row>
    <row r="3480" spans="1:3" x14ac:dyDescent="0.2">
      <c r="A3480" s="3">
        <v>40758</v>
      </c>
      <c r="B3480" s="2">
        <v>5.46</v>
      </c>
      <c r="C3480" s="2">
        <f t="shared" si="54"/>
        <v>-2.8882874148786052E-2</v>
      </c>
    </row>
    <row r="3481" spans="1:3" x14ac:dyDescent="0.2">
      <c r="A3481" s="3">
        <v>40757</v>
      </c>
      <c r="B3481" s="2">
        <v>5.62</v>
      </c>
      <c r="C3481" s="2">
        <f t="shared" si="54"/>
        <v>-1.8510885534703526E-2</v>
      </c>
    </row>
    <row r="3482" spans="1:3" x14ac:dyDescent="0.2">
      <c r="A3482" s="3">
        <v>40756</v>
      </c>
      <c r="B3482" s="2">
        <v>5.7249999999999996</v>
      </c>
      <c r="C3482" s="2">
        <f t="shared" si="54"/>
        <v>1.2302439872219571E-2</v>
      </c>
    </row>
    <row r="3483" spans="1:3" x14ac:dyDescent="0.2">
      <c r="A3483" s="3">
        <v>40753</v>
      </c>
      <c r="B3483" s="2">
        <v>5.6550000000000002</v>
      </c>
      <c r="C3483" s="2">
        <f t="shared" si="54"/>
        <v>4.4306674164848962E-3</v>
      </c>
    </row>
    <row r="3484" spans="1:3" x14ac:dyDescent="0.2">
      <c r="A3484" s="3">
        <v>40752</v>
      </c>
      <c r="B3484" s="2">
        <v>5.63</v>
      </c>
      <c r="C3484" s="2">
        <f t="shared" si="54"/>
        <v>3.5587226169939328E-3</v>
      </c>
    </row>
    <row r="3485" spans="1:3" x14ac:dyDescent="0.2">
      <c r="A3485" s="3">
        <v>40751</v>
      </c>
      <c r="B3485" s="2">
        <v>5.61</v>
      </c>
      <c r="C3485" s="2">
        <f t="shared" si="54"/>
        <v>-2.5518322639240983E-2</v>
      </c>
    </row>
    <row r="3486" spans="1:3" x14ac:dyDescent="0.2">
      <c r="A3486" s="3">
        <v>40750</v>
      </c>
      <c r="B3486" s="2">
        <v>5.7549999999999999</v>
      </c>
      <c r="C3486" s="2">
        <f t="shared" si="54"/>
        <v>4.3535114471976184E-3</v>
      </c>
    </row>
    <row r="3487" spans="1:3" x14ac:dyDescent="0.2">
      <c r="A3487" s="3">
        <v>40749</v>
      </c>
      <c r="B3487" s="2">
        <v>5.73</v>
      </c>
      <c r="C3487" s="2">
        <f t="shared" si="54"/>
        <v>7.0052825884085925E-3</v>
      </c>
    </row>
    <row r="3488" spans="1:3" x14ac:dyDescent="0.2">
      <c r="A3488" s="3">
        <v>40746</v>
      </c>
      <c r="B3488" s="2">
        <v>5.69</v>
      </c>
      <c r="C3488" s="2">
        <f t="shared" si="54"/>
        <v>1.7730960971231877E-2</v>
      </c>
    </row>
    <row r="3489" spans="1:3" x14ac:dyDescent="0.2">
      <c r="A3489" s="3">
        <v>40745</v>
      </c>
      <c r="B3489" s="2">
        <v>5.59</v>
      </c>
      <c r="C3489" s="2">
        <f t="shared" si="54"/>
        <v>-1.0676257991341868E-2</v>
      </c>
    </row>
    <row r="3490" spans="1:3" x14ac:dyDescent="0.2">
      <c r="A3490" s="3">
        <v>40744</v>
      </c>
      <c r="B3490" s="2">
        <v>5.65</v>
      </c>
      <c r="C3490" s="2">
        <f t="shared" si="54"/>
        <v>1.1571112637185717E-2</v>
      </c>
    </row>
    <row r="3491" spans="1:3" x14ac:dyDescent="0.2">
      <c r="A3491" s="3">
        <v>40743</v>
      </c>
      <c r="B3491" s="2">
        <v>5.585</v>
      </c>
      <c r="C3491" s="2">
        <f t="shared" si="54"/>
        <v>1.7921151749815361E-3</v>
      </c>
    </row>
    <row r="3492" spans="1:3" x14ac:dyDescent="0.2">
      <c r="A3492" s="3">
        <v>40742</v>
      </c>
      <c r="B3492" s="2">
        <v>5.5750000000000002</v>
      </c>
      <c r="C3492" s="2">
        <f t="shared" si="54"/>
        <v>-3.351283637483983E-2</v>
      </c>
    </row>
    <row r="3493" spans="1:3" x14ac:dyDescent="0.2">
      <c r="A3493" s="3">
        <v>40739</v>
      </c>
      <c r="B3493" s="2">
        <v>5.7649999999999997</v>
      </c>
      <c r="C3493" s="2">
        <f t="shared" si="54"/>
        <v>-7.775417142797449E-3</v>
      </c>
    </row>
    <row r="3494" spans="1:3" x14ac:dyDescent="0.2">
      <c r="A3494" s="3">
        <v>40738</v>
      </c>
      <c r="B3494" s="2">
        <v>5.81</v>
      </c>
      <c r="C3494" s="2">
        <f t="shared" si="54"/>
        <v>-3.4364294985812097E-3</v>
      </c>
    </row>
    <row r="3495" spans="1:3" x14ac:dyDescent="0.2">
      <c r="A3495" s="3">
        <v>40737</v>
      </c>
      <c r="B3495" s="2">
        <v>5.83</v>
      </c>
      <c r="C3495" s="2">
        <f t="shared" si="54"/>
        <v>3.5796052271917234E-2</v>
      </c>
    </row>
    <row r="3496" spans="1:3" x14ac:dyDescent="0.2">
      <c r="A3496" s="3">
        <v>40736</v>
      </c>
      <c r="B3496" s="2">
        <v>5.625</v>
      </c>
      <c r="C3496" s="2">
        <f t="shared" si="54"/>
        <v>-3.5492495111414629E-3</v>
      </c>
    </row>
    <row r="3497" spans="1:3" x14ac:dyDescent="0.2">
      <c r="A3497" s="3">
        <v>40735</v>
      </c>
      <c r="B3497" s="2">
        <v>5.6449999999999996</v>
      </c>
      <c r="C3497" s="2">
        <f t="shared" si="54"/>
        <v>-5.5976729802885372E-2</v>
      </c>
    </row>
    <row r="3498" spans="1:3" x14ac:dyDescent="0.2">
      <c r="A3498" s="3">
        <v>40732</v>
      </c>
      <c r="B3498" s="2">
        <v>5.97</v>
      </c>
      <c r="C3498" s="2">
        <f t="shared" si="54"/>
        <v>3.3557078469723151E-3</v>
      </c>
    </row>
    <row r="3499" spans="1:3" x14ac:dyDescent="0.2">
      <c r="A3499" s="3">
        <v>40731</v>
      </c>
      <c r="B3499" s="2">
        <v>5.95</v>
      </c>
      <c r="C3499" s="2">
        <f t="shared" si="54"/>
        <v>1.0984478845298523E-2</v>
      </c>
    </row>
    <row r="3500" spans="1:3" x14ac:dyDescent="0.2">
      <c r="A3500" s="3">
        <v>40730</v>
      </c>
      <c r="B3500" s="2">
        <v>5.8849999999999998</v>
      </c>
      <c r="C3500" s="2">
        <f t="shared" si="54"/>
        <v>-8.4602873493913218E-3</v>
      </c>
    </row>
    <row r="3501" spans="1:3" x14ac:dyDescent="0.2">
      <c r="A3501" s="3">
        <v>40729</v>
      </c>
      <c r="B3501" s="2">
        <v>5.9349999999999996</v>
      </c>
      <c r="C3501" s="2">
        <f t="shared" si="54"/>
        <v>3.3755306312812138E-3</v>
      </c>
    </row>
    <row r="3502" spans="1:3" x14ac:dyDescent="0.2">
      <c r="A3502" s="3">
        <v>40728</v>
      </c>
      <c r="B3502" s="2">
        <v>5.915</v>
      </c>
      <c r="C3502" s="2">
        <f t="shared" si="54"/>
        <v>2.5391465186762377E-3</v>
      </c>
    </row>
    <row r="3503" spans="1:3" x14ac:dyDescent="0.2">
      <c r="A3503" s="3">
        <v>40724</v>
      </c>
      <c r="B3503" s="2">
        <v>5.9</v>
      </c>
      <c r="C3503" s="2">
        <f t="shared" si="54"/>
        <v>4.1528458696582275E-2</v>
      </c>
    </row>
    <row r="3504" spans="1:3" x14ac:dyDescent="0.2">
      <c r="A3504" s="3">
        <v>40723</v>
      </c>
      <c r="B3504" s="2">
        <v>5.66</v>
      </c>
      <c r="C3504" s="2">
        <f t="shared" si="54"/>
        <v>4.9806581606739717E-2</v>
      </c>
    </row>
    <row r="3505" spans="1:3" x14ac:dyDescent="0.2">
      <c r="A3505" s="3">
        <v>40722</v>
      </c>
      <c r="B3505" s="2">
        <v>5.3849999999999998</v>
      </c>
      <c r="C3505" s="2">
        <f t="shared" si="54"/>
        <v>-5.5555698446021051E-3</v>
      </c>
    </row>
    <row r="3506" spans="1:3" x14ac:dyDescent="0.2">
      <c r="A3506" s="3">
        <v>40721</v>
      </c>
      <c r="B3506" s="2">
        <v>5.415</v>
      </c>
      <c r="C3506" s="2">
        <f t="shared" si="54"/>
        <v>-2.8222173486238816E-2</v>
      </c>
    </row>
    <row r="3507" spans="1:3" x14ac:dyDescent="0.2">
      <c r="A3507" s="3">
        <v>40718</v>
      </c>
      <c r="B3507" s="2">
        <v>5.57</v>
      </c>
      <c r="C3507" s="2">
        <f t="shared" si="54"/>
        <v>1.7969456767018563E-3</v>
      </c>
    </row>
    <row r="3508" spans="1:3" x14ac:dyDescent="0.2">
      <c r="A3508" s="3">
        <v>40717</v>
      </c>
      <c r="B3508" s="2">
        <v>5.56</v>
      </c>
      <c r="C3508" s="2">
        <f t="shared" si="54"/>
        <v>-2.0472455104975456E-2</v>
      </c>
    </row>
    <row r="3509" spans="1:3" x14ac:dyDescent="0.2">
      <c r="A3509" s="3">
        <v>40716</v>
      </c>
      <c r="B3509" s="2">
        <v>5.6749999999999998</v>
      </c>
      <c r="C3509" s="2">
        <f t="shared" si="54"/>
        <v>2.6466711523748247E-3</v>
      </c>
    </row>
    <row r="3510" spans="1:3" x14ac:dyDescent="0.2">
      <c r="A3510" s="3">
        <v>40715</v>
      </c>
      <c r="B3510" s="2">
        <v>5.66</v>
      </c>
      <c r="C3510" s="2">
        <f t="shared" si="54"/>
        <v>1.6028838275898991E-2</v>
      </c>
    </row>
    <row r="3511" spans="1:3" x14ac:dyDescent="0.2">
      <c r="A3511" s="3">
        <v>40714</v>
      </c>
      <c r="B3511" s="2">
        <v>5.57</v>
      </c>
      <c r="C3511" s="2">
        <f t="shared" si="54"/>
        <v>-1.6028838275898915E-2</v>
      </c>
    </row>
    <row r="3512" spans="1:3" x14ac:dyDescent="0.2">
      <c r="A3512" s="3">
        <v>40711</v>
      </c>
      <c r="B3512" s="2">
        <v>5.66</v>
      </c>
      <c r="C3512" s="2">
        <f t="shared" si="54"/>
        <v>-9.6704050316823321E-3</v>
      </c>
    </row>
    <row r="3513" spans="1:3" x14ac:dyDescent="0.2">
      <c r="A3513" s="3">
        <v>40710</v>
      </c>
      <c r="B3513" s="2">
        <v>5.7149999999999999</v>
      </c>
      <c r="C3513" s="2">
        <f t="shared" si="54"/>
        <v>2.8395874155180766E-2</v>
      </c>
    </row>
    <row r="3514" spans="1:3" x14ac:dyDescent="0.2">
      <c r="A3514" s="3">
        <v>40709</v>
      </c>
      <c r="B3514" s="2">
        <v>5.5549999999999997</v>
      </c>
      <c r="C3514" s="2">
        <f t="shared" si="54"/>
        <v>-2.6966308475994244E-3</v>
      </c>
    </row>
    <row r="3515" spans="1:3" x14ac:dyDescent="0.2">
      <c r="A3515" s="3">
        <v>40708</v>
      </c>
      <c r="B3515" s="2">
        <v>5.57</v>
      </c>
      <c r="C3515" s="2">
        <f t="shared" si="54"/>
        <v>1.9030932310690876E-2</v>
      </c>
    </row>
    <row r="3516" spans="1:3" x14ac:dyDescent="0.2">
      <c r="A3516" s="3">
        <v>40707</v>
      </c>
      <c r="B3516" s="2">
        <v>5.4649999999999999</v>
      </c>
      <c r="C3516" s="2">
        <f t="shared" si="54"/>
        <v>-2.4402476112601577E-2</v>
      </c>
    </row>
    <row r="3517" spans="1:3" x14ac:dyDescent="0.2">
      <c r="A3517" s="3">
        <v>40704</v>
      </c>
      <c r="B3517" s="2">
        <v>5.6</v>
      </c>
      <c r="C3517" s="2">
        <f t="shared" si="54"/>
        <v>-1.3303965626362815E-2</v>
      </c>
    </row>
    <row r="3518" spans="1:3" x14ac:dyDescent="0.2">
      <c r="A3518" s="3">
        <v>40703</v>
      </c>
      <c r="B3518" s="2">
        <v>5.6749999999999998</v>
      </c>
      <c r="C3518" s="2">
        <f t="shared" si="54"/>
        <v>2.0472455104975348E-2</v>
      </c>
    </row>
    <row r="3519" spans="1:3" x14ac:dyDescent="0.2">
      <c r="A3519" s="3">
        <v>40702</v>
      </c>
      <c r="B3519" s="2">
        <v>5.56</v>
      </c>
      <c r="C3519" s="2">
        <f t="shared" si="54"/>
        <v>-2.4868066578013538E-2</v>
      </c>
    </row>
    <row r="3520" spans="1:3" x14ac:dyDescent="0.2">
      <c r="A3520" s="3">
        <v>40701</v>
      </c>
      <c r="B3520" s="2">
        <v>5.7</v>
      </c>
      <c r="C3520" s="2">
        <f t="shared" si="54"/>
        <v>-9.6028673333414666E-3</v>
      </c>
    </row>
    <row r="3521" spans="1:3" x14ac:dyDescent="0.2">
      <c r="A3521" s="3">
        <v>40700</v>
      </c>
      <c r="B3521" s="2">
        <v>5.7549999999999999</v>
      </c>
      <c r="C3521" s="2">
        <f t="shared" si="54"/>
        <v>-2.603038346162205E-3</v>
      </c>
    </row>
    <row r="3522" spans="1:3" x14ac:dyDescent="0.2">
      <c r="A3522" s="3">
        <v>40697</v>
      </c>
      <c r="B3522" s="2">
        <v>5.77</v>
      </c>
      <c r="C3522" s="2">
        <f t="shared" si="54"/>
        <v>-1.7316021642780463E-3</v>
      </c>
    </row>
    <row r="3523" spans="1:3" x14ac:dyDescent="0.2">
      <c r="A3523" s="3">
        <v>40695</v>
      </c>
      <c r="B3523" s="2">
        <v>5.78</v>
      </c>
      <c r="C3523" s="2">
        <f t="shared" ref="C3523:C3586" si="55">+LN(B3523/B3524)</f>
        <v>5.2038278750270442E-3</v>
      </c>
    </row>
    <row r="3524" spans="1:3" x14ac:dyDescent="0.2">
      <c r="A3524" s="3">
        <v>40694</v>
      </c>
      <c r="B3524" s="2">
        <v>5.75</v>
      </c>
      <c r="C3524" s="2">
        <f t="shared" si="55"/>
        <v>3.4843240826108427E-3</v>
      </c>
    </row>
    <row r="3525" spans="1:3" x14ac:dyDescent="0.2">
      <c r="A3525" s="3">
        <v>40693</v>
      </c>
      <c r="B3525" s="2">
        <v>5.73</v>
      </c>
      <c r="C3525" s="2">
        <f t="shared" si="55"/>
        <v>-6.9565497933598269E-3</v>
      </c>
    </row>
    <row r="3526" spans="1:3" x14ac:dyDescent="0.2">
      <c r="A3526" s="3">
        <v>40690</v>
      </c>
      <c r="B3526" s="2">
        <v>5.77</v>
      </c>
      <c r="C3526" s="2">
        <f t="shared" si="55"/>
        <v>1.2205905679503545E-2</v>
      </c>
    </row>
    <row r="3527" spans="1:3" x14ac:dyDescent="0.2">
      <c r="A3527" s="3">
        <v>40689</v>
      </c>
      <c r="B3527" s="2">
        <v>5.7</v>
      </c>
      <c r="C3527" s="2">
        <f t="shared" si="55"/>
        <v>3.5149421074445919E-3</v>
      </c>
    </row>
    <row r="3528" spans="1:3" x14ac:dyDescent="0.2">
      <c r="A3528" s="3">
        <v>40688</v>
      </c>
      <c r="B3528" s="2">
        <v>5.68</v>
      </c>
      <c r="C3528" s="2">
        <f t="shared" si="55"/>
        <v>-1.1378678567659043E-2</v>
      </c>
    </row>
    <row r="3529" spans="1:3" x14ac:dyDescent="0.2">
      <c r="A3529" s="3">
        <v>40687</v>
      </c>
      <c r="B3529" s="2">
        <v>5.7450000000000001</v>
      </c>
      <c r="C3529" s="2">
        <f t="shared" si="55"/>
        <v>6.1108876328002486E-3</v>
      </c>
    </row>
    <row r="3530" spans="1:3" x14ac:dyDescent="0.2">
      <c r="A3530" s="3">
        <v>40686</v>
      </c>
      <c r="B3530" s="2">
        <v>5.71</v>
      </c>
      <c r="C3530" s="2">
        <f t="shared" si="55"/>
        <v>-2.848703636230376E-2</v>
      </c>
    </row>
    <row r="3531" spans="1:3" x14ac:dyDescent="0.2">
      <c r="A3531" s="3">
        <v>40683</v>
      </c>
      <c r="B3531" s="2">
        <v>5.875</v>
      </c>
      <c r="C3531" s="2">
        <f t="shared" si="55"/>
        <v>2.5564564413013938E-3</v>
      </c>
    </row>
    <row r="3532" spans="1:3" x14ac:dyDescent="0.2">
      <c r="A3532" s="3">
        <v>40682</v>
      </c>
      <c r="B3532" s="2">
        <v>5.86</v>
      </c>
      <c r="C3532" s="2">
        <f t="shared" si="55"/>
        <v>2.3307054148617976E-2</v>
      </c>
    </row>
    <row r="3533" spans="1:3" x14ac:dyDescent="0.2">
      <c r="A3533" s="3">
        <v>40681</v>
      </c>
      <c r="B3533" s="2">
        <v>5.7249999999999996</v>
      </c>
      <c r="C3533" s="2">
        <f t="shared" si="55"/>
        <v>-7.8295310797047817E-3</v>
      </c>
    </row>
    <row r="3534" spans="1:3" x14ac:dyDescent="0.2">
      <c r="A3534" s="3">
        <v>40680</v>
      </c>
      <c r="B3534" s="2">
        <v>5.77</v>
      </c>
      <c r="C3534" s="2">
        <f t="shared" si="55"/>
        <v>6.9565497933599309E-3</v>
      </c>
    </row>
    <row r="3535" spans="1:3" x14ac:dyDescent="0.2">
      <c r="A3535" s="3">
        <v>40679</v>
      </c>
      <c r="B3535" s="2">
        <v>5.73</v>
      </c>
      <c r="C3535" s="2">
        <f t="shared" si="55"/>
        <v>-1.3865040137171564E-2</v>
      </c>
    </row>
    <row r="3536" spans="1:3" x14ac:dyDescent="0.2">
      <c r="A3536" s="3">
        <v>40676</v>
      </c>
      <c r="B3536" s="2">
        <v>5.81</v>
      </c>
      <c r="C3536" s="2">
        <f t="shared" si="55"/>
        <v>-1.5371780047854E-2</v>
      </c>
    </row>
    <row r="3537" spans="1:3" x14ac:dyDescent="0.2">
      <c r="A3537" s="3">
        <v>40675</v>
      </c>
      <c r="B3537" s="2">
        <v>5.9</v>
      </c>
      <c r="C3537" s="2">
        <f t="shared" si="55"/>
        <v>9.3657559876420896E-3</v>
      </c>
    </row>
    <row r="3538" spans="1:3" x14ac:dyDescent="0.2">
      <c r="A3538" s="3">
        <v>40674</v>
      </c>
      <c r="B3538" s="2">
        <v>5.8449999999999998</v>
      </c>
      <c r="C3538" s="2">
        <f t="shared" si="55"/>
        <v>-8.5506631973338747E-4</v>
      </c>
    </row>
    <row r="3539" spans="1:3" x14ac:dyDescent="0.2">
      <c r="A3539" s="3">
        <v>40673</v>
      </c>
      <c r="B3539" s="2">
        <v>5.85</v>
      </c>
      <c r="C3539" s="2">
        <f t="shared" si="55"/>
        <v>8.583743691391435E-3</v>
      </c>
    </row>
    <row r="3540" spans="1:3" x14ac:dyDescent="0.2">
      <c r="A3540" s="3">
        <v>40672</v>
      </c>
      <c r="B3540" s="2">
        <v>5.8</v>
      </c>
      <c r="C3540" s="2">
        <f t="shared" si="55"/>
        <v>-2.3851215822180024E-2</v>
      </c>
    </row>
    <row r="3541" spans="1:3" x14ac:dyDescent="0.2">
      <c r="A3541" s="3">
        <v>40669</v>
      </c>
      <c r="B3541" s="2">
        <v>5.94</v>
      </c>
      <c r="C3541" s="2">
        <f t="shared" si="55"/>
        <v>-6.7114345879868038E-3</v>
      </c>
    </row>
    <row r="3542" spans="1:3" x14ac:dyDescent="0.2">
      <c r="A3542" s="3">
        <v>40668</v>
      </c>
      <c r="B3542" s="2">
        <v>5.98</v>
      </c>
      <c r="C3542" s="2">
        <f t="shared" si="55"/>
        <v>-8.3577104739604663E-4</v>
      </c>
    </row>
    <row r="3543" spans="1:3" x14ac:dyDescent="0.2">
      <c r="A3543" s="3">
        <v>40667</v>
      </c>
      <c r="B3543" s="2">
        <v>5.9850000000000003</v>
      </c>
      <c r="C3543" s="2">
        <f t="shared" si="55"/>
        <v>-1.6694494695410462E-3</v>
      </c>
    </row>
    <row r="3544" spans="1:3" x14ac:dyDescent="0.2">
      <c r="A3544" s="3">
        <v>40666</v>
      </c>
      <c r="B3544" s="2">
        <v>5.9950000000000001</v>
      </c>
      <c r="C3544" s="2">
        <f t="shared" si="55"/>
        <v>-1.2432816591929338E-2</v>
      </c>
    </row>
    <row r="3545" spans="1:3" x14ac:dyDescent="0.2">
      <c r="A3545" s="3">
        <v>40665</v>
      </c>
      <c r="B3545" s="2">
        <v>6.07</v>
      </c>
      <c r="C3545" s="2">
        <f t="shared" si="55"/>
        <v>-4.9301661078586089E-3</v>
      </c>
    </row>
    <row r="3546" spans="1:3" x14ac:dyDescent="0.2">
      <c r="A3546" s="3">
        <v>40662</v>
      </c>
      <c r="B3546" s="2">
        <v>6.1</v>
      </c>
      <c r="C3546" s="2">
        <f t="shared" si="55"/>
        <v>4.9301661078585864E-3</v>
      </c>
    </row>
    <row r="3547" spans="1:3" x14ac:dyDescent="0.2">
      <c r="A3547" s="3">
        <v>40661</v>
      </c>
      <c r="B3547" s="2">
        <v>6.07</v>
      </c>
      <c r="C3547" s="2">
        <f t="shared" si="55"/>
        <v>1.4102266061470478E-2</v>
      </c>
    </row>
    <row r="3548" spans="1:3" x14ac:dyDescent="0.2">
      <c r="A3548" s="3">
        <v>40659</v>
      </c>
      <c r="B3548" s="2">
        <v>5.9850000000000003</v>
      </c>
      <c r="C3548" s="2">
        <f t="shared" si="55"/>
        <v>9.2321260003025551E-3</v>
      </c>
    </row>
    <row r="3549" spans="1:3" x14ac:dyDescent="0.2">
      <c r="A3549" s="3">
        <v>40654</v>
      </c>
      <c r="B3549" s="2">
        <v>5.93</v>
      </c>
      <c r="C3549" s="2">
        <f t="shared" si="55"/>
        <v>-5.046268067624384E-3</v>
      </c>
    </row>
    <row r="3550" spans="1:3" x14ac:dyDescent="0.2">
      <c r="A3550" s="3">
        <v>40653</v>
      </c>
      <c r="B3550" s="2">
        <v>5.96</v>
      </c>
      <c r="C3550" s="2">
        <f t="shared" si="55"/>
        <v>7.5789836469082987E-3</v>
      </c>
    </row>
    <row r="3551" spans="1:3" x14ac:dyDescent="0.2">
      <c r="A3551" s="3">
        <v>40652</v>
      </c>
      <c r="B3551" s="2">
        <v>5.915</v>
      </c>
      <c r="C3551" s="2">
        <f t="shared" si="55"/>
        <v>1.0195500380669346E-2</v>
      </c>
    </row>
    <row r="3552" spans="1:3" x14ac:dyDescent="0.2">
      <c r="A3552" s="3">
        <v>40651</v>
      </c>
      <c r="B3552" s="2">
        <v>5.8550000000000004</v>
      </c>
      <c r="C3552" s="2">
        <f t="shared" si="55"/>
        <v>-9.3498343683261001E-3</v>
      </c>
    </row>
    <row r="3553" spans="1:3" x14ac:dyDescent="0.2">
      <c r="A3553" s="3">
        <v>40648</v>
      </c>
      <c r="B3553" s="2">
        <v>5.91</v>
      </c>
      <c r="C3553" s="2">
        <f t="shared" si="55"/>
        <v>-1.6778917129109366E-2</v>
      </c>
    </row>
    <row r="3554" spans="1:3" x14ac:dyDescent="0.2">
      <c r="A3554" s="3">
        <v>40647</v>
      </c>
      <c r="B3554" s="2">
        <v>6.01</v>
      </c>
      <c r="C3554" s="2">
        <f t="shared" si="55"/>
        <v>5.0041805845757294E-3</v>
      </c>
    </row>
    <row r="3555" spans="1:3" x14ac:dyDescent="0.2">
      <c r="A3555" s="3">
        <v>40646</v>
      </c>
      <c r="B3555" s="2">
        <v>5.98</v>
      </c>
      <c r="C3555" s="2">
        <f t="shared" si="55"/>
        <v>4.1893651552769246E-3</v>
      </c>
    </row>
    <row r="3556" spans="1:3" x14ac:dyDescent="0.2">
      <c r="A3556" s="3">
        <v>40645</v>
      </c>
      <c r="B3556" s="2">
        <v>5.9550000000000001</v>
      </c>
      <c r="C3556" s="2">
        <f t="shared" si="55"/>
        <v>-2.8963547140856628E-2</v>
      </c>
    </row>
    <row r="3557" spans="1:3" x14ac:dyDescent="0.2">
      <c r="A3557" s="3">
        <v>40644</v>
      </c>
      <c r="B3557" s="2">
        <v>6.13</v>
      </c>
      <c r="C3557" s="2">
        <f t="shared" si="55"/>
        <v>2.1435280720065085E-2</v>
      </c>
    </row>
    <row r="3558" spans="1:3" x14ac:dyDescent="0.2">
      <c r="A3558" s="3">
        <v>40640</v>
      </c>
      <c r="B3558" s="2">
        <v>6</v>
      </c>
      <c r="C3558" s="2">
        <f t="shared" si="55"/>
        <v>-1.6529301951210471E-2</v>
      </c>
    </row>
    <row r="3559" spans="1:3" x14ac:dyDescent="0.2">
      <c r="A3559" s="3">
        <v>40639</v>
      </c>
      <c r="B3559" s="2">
        <v>6.1</v>
      </c>
      <c r="C3559" s="2">
        <f t="shared" si="55"/>
        <v>-5.7213069836091653E-3</v>
      </c>
    </row>
    <row r="3560" spans="1:3" x14ac:dyDescent="0.2">
      <c r="A3560" s="3">
        <v>40638</v>
      </c>
      <c r="B3560" s="2">
        <v>6.1349999999999998</v>
      </c>
      <c r="C3560" s="2">
        <f t="shared" si="55"/>
        <v>-6.4988043511661278E-3</v>
      </c>
    </row>
    <row r="3561" spans="1:3" x14ac:dyDescent="0.2">
      <c r="A3561" s="3">
        <v>40637</v>
      </c>
      <c r="B3561" s="2">
        <v>6.1749999999999998</v>
      </c>
      <c r="C3561" s="2">
        <f t="shared" si="55"/>
        <v>1.7974340118027305E-2</v>
      </c>
    </row>
    <row r="3562" spans="1:3" x14ac:dyDescent="0.2">
      <c r="A3562" s="3">
        <v>40634</v>
      </c>
      <c r="B3562" s="2">
        <v>6.0650000000000004</v>
      </c>
      <c r="C3562" s="2">
        <f t="shared" si="55"/>
        <v>1.3278203386076982E-2</v>
      </c>
    </row>
    <row r="3563" spans="1:3" x14ac:dyDescent="0.2">
      <c r="A3563" s="3">
        <v>40633</v>
      </c>
      <c r="B3563" s="2">
        <v>5.9850000000000003</v>
      </c>
      <c r="C3563" s="2">
        <f t="shared" si="55"/>
        <v>3.8318864302136602E-2</v>
      </c>
    </row>
    <row r="3564" spans="1:3" x14ac:dyDescent="0.2">
      <c r="A3564" s="3">
        <v>40626</v>
      </c>
      <c r="B3564" s="2">
        <v>5.76</v>
      </c>
      <c r="C3564" s="2">
        <f t="shared" si="55"/>
        <v>1.7376198985406563E-3</v>
      </c>
    </row>
    <row r="3565" spans="1:3" x14ac:dyDescent="0.2">
      <c r="A3565" s="3">
        <v>40625</v>
      </c>
      <c r="B3565" s="2">
        <v>5.75</v>
      </c>
      <c r="C3565" s="2">
        <f t="shared" si="55"/>
        <v>8.6994350854003536E-4</v>
      </c>
    </row>
    <row r="3566" spans="1:3" x14ac:dyDescent="0.2">
      <c r="A3566" s="3">
        <v>40624</v>
      </c>
      <c r="B3566" s="2">
        <v>5.7450000000000001</v>
      </c>
      <c r="C3566" s="2">
        <f t="shared" si="55"/>
        <v>-8.6994350853999633E-4</v>
      </c>
    </row>
    <row r="3567" spans="1:3" x14ac:dyDescent="0.2">
      <c r="A3567" s="3">
        <v>40623</v>
      </c>
      <c r="B3567" s="2">
        <v>5.75</v>
      </c>
      <c r="C3567" s="2">
        <f t="shared" si="55"/>
        <v>1.6659745241175267E-2</v>
      </c>
    </row>
    <row r="3568" spans="1:3" x14ac:dyDescent="0.2">
      <c r="A3568" s="3">
        <v>40620</v>
      </c>
      <c r="B3568" s="2">
        <v>5.6550000000000002</v>
      </c>
      <c r="C3568" s="2">
        <f t="shared" si="55"/>
        <v>-7.0484873310617388E-3</v>
      </c>
    </row>
    <row r="3569" spans="1:3" x14ac:dyDescent="0.2">
      <c r="A3569" s="3">
        <v>40619</v>
      </c>
      <c r="B3569" s="2">
        <v>5.6950000000000003</v>
      </c>
      <c r="C3569" s="2">
        <f t="shared" si="55"/>
        <v>1.2367648808661669E-2</v>
      </c>
    </row>
    <row r="3570" spans="1:3" x14ac:dyDescent="0.2">
      <c r="A3570" s="3">
        <v>40618</v>
      </c>
      <c r="B3570" s="2">
        <v>5.625</v>
      </c>
      <c r="C3570" s="2">
        <f t="shared" si="55"/>
        <v>-2.197890671877523E-2</v>
      </c>
    </row>
    <row r="3571" spans="1:3" x14ac:dyDescent="0.2">
      <c r="A3571" s="3">
        <v>40617</v>
      </c>
      <c r="B3571" s="2">
        <v>5.75</v>
      </c>
      <c r="C3571" s="2">
        <f t="shared" si="55"/>
        <v>-1.6386740114772633E-2</v>
      </c>
    </row>
    <row r="3572" spans="1:3" x14ac:dyDescent="0.2">
      <c r="A3572" s="3">
        <v>40616</v>
      </c>
      <c r="B3572" s="2">
        <v>5.8449999999999998</v>
      </c>
      <c r="C3572" s="2">
        <f t="shared" si="55"/>
        <v>-1.6122538450521948E-2</v>
      </c>
    </row>
    <row r="3573" spans="1:3" x14ac:dyDescent="0.2">
      <c r="A3573" s="3">
        <v>40613</v>
      </c>
      <c r="B3573" s="2">
        <v>5.94</v>
      </c>
      <c r="C3573" s="2">
        <f t="shared" si="55"/>
        <v>-1.0050335853501338E-2</v>
      </c>
    </row>
    <row r="3574" spans="1:3" x14ac:dyDescent="0.2">
      <c r="A3574" s="3">
        <v>40610</v>
      </c>
      <c r="B3574" s="2">
        <v>6</v>
      </c>
      <c r="C3574" s="2">
        <f t="shared" si="55"/>
        <v>0</v>
      </c>
    </row>
    <row r="3575" spans="1:3" x14ac:dyDescent="0.2">
      <c r="A3575" s="3">
        <v>40605</v>
      </c>
      <c r="B3575" s="2">
        <v>6</v>
      </c>
      <c r="C3575" s="2">
        <f t="shared" si="55"/>
        <v>-2.4968801985871545E-3</v>
      </c>
    </row>
    <row r="3576" spans="1:3" x14ac:dyDescent="0.2">
      <c r="A3576" s="3">
        <v>40604</v>
      </c>
      <c r="B3576" s="2">
        <v>6.0149999999999997</v>
      </c>
      <c r="C3576" s="2">
        <f t="shared" si="55"/>
        <v>-4.975134640113843E-3</v>
      </c>
    </row>
    <row r="3577" spans="1:3" x14ac:dyDescent="0.2">
      <c r="A3577" s="3">
        <v>40603</v>
      </c>
      <c r="B3577" s="2">
        <v>6.0449999999999999</v>
      </c>
      <c r="C3577" s="2">
        <f t="shared" si="55"/>
        <v>2.4844733276619658E-3</v>
      </c>
    </row>
    <row r="3578" spans="1:3" x14ac:dyDescent="0.2">
      <c r="A3578" s="3">
        <v>40602</v>
      </c>
      <c r="B3578" s="2">
        <v>6.03</v>
      </c>
      <c r="C3578" s="2">
        <f t="shared" si="55"/>
        <v>1.2515807931830597E-2</v>
      </c>
    </row>
    <row r="3579" spans="1:3" x14ac:dyDescent="0.2">
      <c r="A3579" s="3">
        <v>40599</v>
      </c>
      <c r="B3579" s="2">
        <v>5.9550000000000001</v>
      </c>
      <c r="C3579" s="2">
        <f t="shared" si="55"/>
        <v>4.2888219493224376E-2</v>
      </c>
    </row>
    <row r="3580" spans="1:3" x14ac:dyDescent="0.2">
      <c r="A3580" s="3">
        <v>40598</v>
      </c>
      <c r="B3580" s="2">
        <v>5.7050000000000001</v>
      </c>
      <c r="C3580" s="2">
        <f t="shared" si="55"/>
        <v>-3.3609367597634894E-2</v>
      </c>
    </row>
    <row r="3581" spans="1:3" x14ac:dyDescent="0.2">
      <c r="A3581" s="3">
        <v>40597</v>
      </c>
      <c r="B3581" s="2">
        <v>5.9</v>
      </c>
      <c r="C3581" s="2">
        <f t="shared" si="55"/>
        <v>7.6563538619931456E-3</v>
      </c>
    </row>
    <row r="3582" spans="1:3" x14ac:dyDescent="0.2">
      <c r="A3582" s="3">
        <v>40596</v>
      </c>
      <c r="B3582" s="2">
        <v>5.8550000000000004</v>
      </c>
      <c r="C3582" s="2">
        <f t="shared" si="55"/>
        <v>-1.6095222507857668E-2</v>
      </c>
    </row>
    <row r="3583" spans="1:3" x14ac:dyDescent="0.2">
      <c r="A3583" s="3">
        <v>40595</v>
      </c>
      <c r="B3583" s="2">
        <v>5.95</v>
      </c>
      <c r="C3583" s="2">
        <f t="shared" si="55"/>
        <v>-2.3256862164267235E-2</v>
      </c>
    </row>
    <row r="3584" spans="1:3" x14ac:dyDescent="0.2">
      <c r="A3584" s="3">
        <v>40592</v>
      </c>
      <c r="B3584" s="2">
        <v>6.09</v>
      </c>
      <c r="C3584" s="2">
        <f t="shared" si="55"/>
        <v>6.5898096790555829E-3</v>
      </c>
    </row>
    <row r="3585" spans="1:3" x14ac:dyDescent="0.2">
      <c r="A3585" s="3">
        <v>40591</v>
      </c>
      <c r="B3585" s="2">
        <v>6.05</v>
      </c>
      <c r="C3585" s="2">
        <f t="shared" si="55"/>
        <v>1.3311344638239287E-2</v>
      </c>
    </row>
    <row r="3586" spans="1:3" x14ac:dyDescent="0.2">
      <c r="A3586" s="3">
        <v>40589</v>
      </c>
      <c r="B3586" s="2">
        <v>5.97</v>
      </c>
      <c r="C3586" s="2">
        <f t="shared" si="55"/>
        <v>1.0101095986503919E-2</v>
      </c>
    </row>
    <row r="3587" spans="1:3" x14ac:dyDescent="0.2">
      <c r="A3587" s="3">
        <v>40588</v>
      </c>
      <c r="B3587" s="2">
        <v>5.91</v>
      </c>
      <c r="C3587" s="2">
        <f t="shared" ref="C3587:C3650" si="56">+LN(B3587/B3588)</f>
        <v>1.7926216268152113E-2</v>
      </c>
    </row>
    <row r="3588" spans="1:3" x14ac:dyDescent="0.2">
      <c r="A3588" s="3">
        <v>40585</v>
      </c>
      <c r="B3588" s="2">
        <v>5.8049999999999997</v>
      </c>
      <c r="C3588" s="2">
        <f t="shared" si="56"/>
        <v>-2.3830914992890483E-2</v>
      </c>
    </row>
    <row r="3589" spans="1:3" x14ac:dyDescent="0.2">
      <c r="A3589" s="3">
        <v>40584</v>
      </c>
      <c r="B3589" s="2">
        <v>5.9450000000000003</v>
      </c>
      <c r="C3589" s="2">
        <f t="shared" si="56"/>
        <v>-1.6806726645182889E-3</v>
      </c>
    </row>
    <row r="3590" spans="1:3" x14ac:dyDescent="0.2">
      <c r="A3590" s="3">
        <v>40583</v>
      </c>
      <c r="B3590" s="2">
        <v>5.9550000000000001</v>
      </c>
      <c r="C3590" s="2">
        <f t="shared" si="56"/>
        <v>-2.5157245972472469E-3</v>
      </c>
    </row>
    <row r="3591" spans="1:3" x14ac:dyDescent="0.2">
      <c r="A3591" s="3">
        <v>40582</v>
      </c>
      <c r="B3591" s="2">
        <v>5.97</v>
      </c>
      <c r="C3591" s="2">
        <f t="shared" si="56"/>
        <v>-1.7435061822101534E-2</v>
      </c>
    </row>
    <row r="3592" spans="1:3" x14ac:dyDescent="0.2">
      <c r="A3592" s="3">
        <v>40581</v>
      </c>
      <c r="B3592" s="2">
        <v>6.0750000000000002</v>
      </c>
      <c r="C3592" s="2">
        <f t="shared" si="56"/>
        <v>2.922963831493831E-2</v>
      </c>
    </row>
    <row r="3593" spans="1:3" x14ac:dyDescent="0.2">
      <c r="A3593" s="3">
        <v>40578</v>
      </c>
      <c r="B3593" s="2">
        <v>5.9</v>
      </c>
      <c r="C3593" s="2">
        <f t="shared" si="56"/>
        <v>1.3652089168327263E-2</v>
      </c>
    </row>
    <row r="3594" spans="1:3" x14ac:dyDescent="0.2">
      <c r="A3594" s="3">
        <v>40577</v>
      </c>
      <c r="B3594" s="2">
        <v>5.82</v>
      </c>
      <c r="C3594" s="2">
        <f t="shared" si="56"/>
        <v>-6.849341845574783E-3</v>
      </c>
    </row>
    <row r="3595" spans="1:3" x14ac:dyDescent="0.2">
      <c r="A3595" s="3">
        <v>40576</v>
      </c>
      <c r="B3595" s="2">
        <v>5.86</v>
      </c>
      <c r="C3595" s="2">
        <f t="shared" si="56"/>
        <v>2.5630086648895482E-3</v>
      </c>
    </row>
    <row r="3596" spans="1:3" x14ac:dyDescent="0.2">
      <c r="A3596" s="3">
        <v>40575</v>
      </c>
      <c r="B3596" s="2">
        <v>5.8449999999999998</v>
      </c>
      <c r="C3596" s="2">
        <f t="shared" si="56"/>
        <v>1.6386740114772525E-2</v>
      </c>
    </row>
    <row r="3597" spans="1:3" x14ac:dyDescent="0.2">
      <c r="A3597" s="3">
        <v>40574</v>
      </c>
      <c r="B3597" s="2">
        <v>5.75</v>
      </c>
      <c r="C3597" s="2">
        <f t="shared" si="56"/>
        <v>4.5361266953674283E-2</v>
      </c>
    </row>
    <row r="3598" spans="1:3" x14ac:dyDescent="0.2">
      <c r="A3598" s="3">
        <v>40571</v>
      </c>
      <c r="B3598" s="2">
        <v>5.4950000000000001</v>
      </c>
      <c r="C3598" s="2">
        <f t="shared" si="56"/>
        <v>-9.0950438284049986E-4</v>
      </c>
    </row>
    <row r="3599" spans="1:3" x14ac:dyDescent="0.2">
      <c r="A3599" s="3">
        <v>40570</v>
      </c>
      <c r="B3599" s="2">
        <v>5.5</v>
      </c>
      <c r="C3599" s="2">
        <f t="shared" si="56"/>
        <v>5.4694758045354761E-3</v>
      </c>
    </row>
    <row r="3600" spans="1:3" x14ac:dyDescent="0.2">
      <c r="A3600" s="3">
        <v>40569</v>
      </c>
      <c r="B3600" s="2">
        <v>5.47</v>
      </c>
      <c r="C3600" s="2">
        <f t="shared" si="56"/>
        <v>-5.4694758045354328E-3</v>
      </c>
    </row>
    <row r="3601" spans="1:3" x14ac:dyDescent="0.2">
      <c r="A3601" s="3">
        <v>40568</v>
      </c>
      <c r="B3601" s="2">
        <v>5.5</v>
      </c>
      <c r="C3601" s="2">
        <f t="shared" si="56"/>
        <v>-1.2646961700767421E-2</v>
      </c>
    </row>
    <row r="3602" spans="1:3" x14ac:dyDescent="0.2">
      <c r="A3602" s="3">
        <v>40567</v>
      </c>
      <c r="B3602" s="2">
        <v>5.57</v>
      </c>
      <c r="C3602" s="2">
        <f t="shared" si="56"/>
        <v>3.8431078856482059E-2</v>
      </c>
    </row>
    <row r="3603" spans="1:3" x14ac:dyDescent="0.2">
      <c r="A3603" s="3">
        <v>40564</v>
      </c>
      <c r="B3603" s="2">
        <v>5.36</v>
      </c>
      <c r="C3603" s="2">
        <f t="shared" si="56"/>
        <v>-1.6651633592442032E-2</v>
      </c>
    </row>
    <row r="3604" spans="1:3" x14ac:dyDescent="0.2">
      <c r="A3604" s="3">
        <v>40563</v>
      </c>
      <c r="B3604" s="2">
        <v>5.45</v>
      </c>
      <c r="C3604" s="2">
        <f t="shared" si="56"/>
        <v>-6.5684653068193738E-2</v>
      </c>
    </row>
    <row r="3605" spans="1:3" x14ac:dyDescent="0.2">
      <c r="A3605" s="3">
        <v>40562</v>
      </c>
      <c r="B3605" s="2">
        <v>5.82</v>
      </c>
      <c r="C3605" s="2">
        <f t="shared" si="56"/>
        <v>-8.587377084177582E-4</v>
      </c>
    </row>
    <row r="3606" spans="1:3" x14ac:dyDescent="0.2">
      <c r="A3606" s="3">
        <v>40561</v>
      </c>
      <c r="B3606" s="2">
        <v>5.8250000000000002</v>
      </c>
      <c r="C3606" s="2">
        <f t="shared" si="56"/>
        <v>1.7182134811365036E-3</v>
      </c>
    </row>
    <row r="3607" spans="1:3" x14ac:dyDescent="0.2">
      <c r="A3607" s="3">
        <v>40560</v>
      </c>
      <c r="B3607" s="2">
        <v>5.8150000000000004</v>
      </c>
      <c r="C3607" s="2">
        <f t="shared" si="56"/>
        <v>-7.7088176182934474E-3</v>
      </c>
    </row>
    <row r="3608" spans="1:3" x14ac:dyDescent="0.2">
      <c r="A3608" s="3">
        <v>40557</v>
      </c>
      <c r="B3608" s="2">
        <v>5.86</v>
      </c>
      <c r="C3608" s="2">
        <f t="shared" si="56"/>
        <v>-2.5564564413013257E-3</v>
      </c>
    </row>
    <row r="3609" spans="1:3" x14ac:dyDescent="0.2">
      <c r="A3609" s="3">
        <v>40556</v>
      </c>
      <c r="B3609" s="2">
        <v>5.875</v>
      </c>
      <c r="C3609" s="2">
        <f t="shared" si="56"/>
        <v>-1.855027897971381E-2</v>
      </c>
    </row>
    <row r="3610" spans="1:3" x14ac:dyDescent="0.2">
      <c r="A3610" s="3">
        <v>40554</v>
      </c>
      <c r="B3610" s="2">
        <v>5.9850000000000003</v>
      </c>
      <c r="C3610" s="2">
        <f t="shared" si="56"/>
        <v>7.3658230747445541E-2</v>
      </c>
    </row>
    <row r="3611" spans="1:3" x14ac:dyDescent="0.2">
      <c r="A3611" s="3">
        <v>40553</v>
      </c>
      <c r="B3611" s="2">
        <v>5.56</v>
      </c>
      <c r="C3611" s="2">
        <f t="shared" si="56"/>
        <v>-1.3399039229248689E-2</v>
      </c>
    </row>
    <row r="3612" spans="1:3" x14ac:dyDescent="0.2">
      <c r="A3612" s="3">
        <v>40550</v>
      </c>
      <c r="B3612" s="2">
        <v>5.6349999999999998</v>
      </c>
      <c r="C3612" s="2">
        <f t="shared" si="56"/>
        <v>7.1238057278511461E-3</v>
      </c>
    </row>
    <row r="3613" spans="1:3" x14ac:dyDescent="0.2">
      <c r="A3613" s="3">
        <v>40549</v>
      </c>
      <c r="B3613" s="2">
        <v>5.5949999999999998</v>
      </c>
      <c r="C3613" s="2">
        <f t="shared" si="56"/>
        <v>3.5810244177060212E-3</v>
      </c>
    </row>
    <row r="3614" spans="1:3" x14ac:dyDescent="0.2">
      <c r="A3614" s="3">
        <v>40548</v>
      </c>
      <c r="B3614" s="2">
        <v>5.5750000000000002</v>
      </c>
      <c r="C3614" s="2">
        <f t="shared" si="56"/>
        <v>-2.2173857494321967E-2</v>
      </c>
    </row>
    <row r="3615" spans="1:3" x14ac:dyDescent="0.2">
      <c r="A3615" s="3">
        <v>40547</v>
      </c>
      <c r="B3615" s="2">
        <v>5.7</v>
      </c>
      <c r="C3615" s="2">
        <f t="shared" si="56"/>
        <v>8.7757794135894223E-4</v>
      </c>
    </row>
    <row r="3616" spans="1:3" x14ac:dyDescent="0.2">
      <c r="A3616" s="3">
        <v>40541</v>
      </c>
      <c r="B3616" s="2">
        <v>5.6950000000000003</v>
      </c>
      <c r="C3616" s="2">
        <f t="shared" si="56"/>
        <v>-1.7543864148934732E-3</v>
      </c>
    </row>
    <row r="3617" spans="1:3" x14ac:dyDescent="0.2">
      <c r="A3617" s="3">
        <v>40540</v>
      </c>
      <c r="B3617" s="2">
        <v>5.7050000000000001</v>
      </c>
      <c r="C3617" s="2">
        <f t="shared" si="56"/>
        <v>3.5118561115396493E-3</v>
      </c>
    </row>
    <row r="3618" spans="1:3" x14ac:dyDescent="0.2">
      <c r="A3618" s="3">
        <v>40539</v>
      </c>
      <c r="B3618" s="2">
        <v>5.6849999999999996</v>
      </c>
      <c r="C3618" s="2">
        <f t="shared" si="56"/>
        <v>1.6851840035491516E-2</v>
      </c>
    </row>
    <row r="3619" spans="1:3" x14ac:dyDescent="0.2">
      <c r="A3619" s="3">
        <v>40535</v>
      </c>
      <c r="B3619" s="2">
        <v>5.59</v>
      </c>
      <c r="C3619" s="2">
        <f t="shared" si="56"/>
        <v>1.0791471632764386E-2</v>
      </c>
    </row>
    <row r="3620" spans="1:3" x14ac:dyDescent="0.2">
      <c r="A3620" s="3">
        <v>40534</v>
      </c>
      <c r="B3620" s="2">
        <v>5.53</v>
      </c>
      <c r="C3620" s="2">
        <f t="shared" si="56"/>
        <v>2.0092000082688646E-2</v>
      </c>
    </row>
    <row r="3621" spans="1:3" x14ac:dyDescent="0.2">
      <c r="A3621" s="3">
        <v>40533</v>
      </c>
      <c r="B3621" s="2">
        <v>5.42</v>
      </c>
      <c r="C3621" s="2">
        <f t="shared" si="56"/>
        <v>-9.1828009823349804E-3</v>
      </c>
    </row>
    <row r="3622" spans="1:3" x14ac:dyDescent="0.2">
      <c r="A3622" s="3">
        <v>40529</v>
      </c>
      <c r="B3622" s="2">
        <v>5.47</v>
      </c>
      <c r="C3622" s="2">
        <f t="shared" si="56"/>
        <v>1.2879662863661019E-2</v>
      </c>
    </row>
    <row r="3623" spans="1:3" x14ac:dyDescent="0.2">
      <c r="A3623" s="3">
        <v>40528</v>
      </c>
      <c r="B3623" s="2">
        <v>5.4</v>
      </c>
      <c r="C3623" s="2">
        <f t="shared" si="56"/>
        <v>5.6178501953599788E-2</v>
      </c>
    </row>
    <row r="3624" spans="1:3" x14ac:dyDescent="0.2">
      <c r="A3624" s="3">
        <v>40527</v>
      </c>
      <c r="B3624" s="2">
        <v>5.1050000000000004</v>
      </c>
      <c r="C3624" s="2">
        <f t="shared" si="56"/>
        <v>4.9091900262383456E-3</v>
      </c>
    </row>
    <row r="3625" spans="1:3" x14ac:dyDescent="0.2">
      <c r="A3625" s="3">
        <v>40526</v>
      </c>
      <c r="B3625" s="2">
        <v>5.08</v>
      </c>
      <c r="C3625" s="2">
        <f t="shared" si="56"/>
        <v>1.9704439872987385E-3</v>
      </c>
    </row>
    <row r="3626" spans="1:3" x14ac:dyDescent="0.2">
      <c r="A3626" s="3">
        <v>40525</v>
      </c>
      <c r="B3626" s="2">
        <v>5.07</v>
      </c>
      <c r="C3626" s="2">
        <f t="shared" si="56"/>
        <v>2.6988144717646975E-2</v>
      </c>
    </row>
    <row r="3627" spans="1:3" x14ac:dyDescent="0.2">
      <c r="A3627" s="3">
        <v>40522</v>
      </c>
      <c r="B3627" s="2">
        <v>4.9349999999999996</v>
      </c>
      <c r="C3627" s="2">
        <f t="shared" si="56"/>
        <v>1.1719879370315539E-2</v>
      </c>
    </row>
    <row r="3628" spans="1:3" x14ac:dyDescent="0.2">
      <c r="A3628" s="3">
        <v>40521</v>
      </c>
      <c r="B3628" s="2">
        <v>4.8775000000000004</v>
      </c>
      <c r="C3628" s="2">
        <f t="shared" si="56"/>
        <v>-1.3744171559546159E-2</v>
      </c>
    </row>
    <row r="3629" spans="1:3" x14ac:dyDescent="0.2">
      <c r="A3629" s="3">
        <v>40519</v>
      </c>
      <c r="B3629" s="2">
        <v>4.9450000000000003</v>
      </c>
      <c r="C3629" s="2">
        <f t="shared" si="56"/>
        <v>1.0116338748442258E-3</v>
      </c>
    </row>
    <row r="3630" spans="1:3" x14ac:dyDescent="0.2">
      <c r="A3630" s="3">
        <v>40518</v>
      </c>
      <c r="B3630" s="2">
        <v>4.9400000000000004</v>
      </c>
      <c r="C3630" s="2">
        <f t="shared" si="56"/>
        <v>-1.1072080900685677E-2</v>
      </c>
    </row>
    <row r="3631" spans="1:3" x14ac:dyDescent="0.2">
      <c r="A3631" s="3">
        <v>40515</v>
      </c>
      <c r="B3631" s="2">
        <v>4.9950000000000001</v>
      </c>
      <c r="C3631" s="2">
        <f t="shared" si="56"/>
        <v>-4.9925216031208707E-3</v>
      </c>
    </row>
    <row r="3632" spans="1:3" x14ac:dyDescent="0.2">
      <c r="A3632" s="3">
        <v>40514</v>
      </c>
      <c r="B3632" s="2">
        <v>5.0199999999999996</v>
      </c>
      <c r="C3632" s="2">
        <f t="shared" si="56"/>
        <v>2.1646956508258233E-2</v>
      </c>
    </row>
    <row r="3633" spans="1:3" x14ac:dyDescent="0.2">
      <c r="A3633" s="3">
        <v>40513</v>
      </c>
      <c r="B3633" s="2">
        <v>4.9124999999999996</v>
      </c>
      <c r="C3633" s="2">
        <f t="shared" si="56"/>
        <v>2.9960918702942436E-2</v>
      </c>
    </row>
    <row r="3634" spans="1:3" x14ac:dyDescent="0.2">
      <c r="A3634" s="3">
        <v>40511</v>
      </c>
      <c r="B3634" s="2">
        <v>4.7675000000000001</v>
      </c>
      <c r="C3634" s="2">
        <f t="shared" si="56"/>
        <v>-2.0244657145531308E-2</v>
      </c>
    </row>
    <row r="3635" spans="1:3" x14ac:dyDescent="0.2">
      <c r="A3635" s="3">
        <v>40508</v>
      </c>
      <c r="B3635" s="2">
        <v>4.8650000000000002</v>
      </c>
      <c r="C3635" s="2">
        <f t="shared" si="56"/>
        <v>6.7027835376195031E-3</v>
      </c>
    </row>
    <row r="3636" spans="1:3" x14ac:dyDescent="0.2">
      <c r="A3636" s="3">
        <v>40507</v>
      </c>
      <c r="B3636" s="2">
        <v>4.8324999999999996</v>
      </c>
      <c r="C3636" s="2">
        <f t="shared" si="56"/>
        <v>3.6278868502599032E-3</v>
      </c>
    </row>
    <row r="3637" spans="1:3" x14ac:dyDescent="0.2">
      <c r="A3637" s="3">
        <v>40506</v>
      </c>
      <c r="B3637" s="2">
        <v>4.8150000000000004</v>
      </c>
      <c r="C3637" s="2">
        <f t="shared" si="56"/>
        <v>2.4173536534075984E-2</v>
      </c>
    </row>
    <row r="3638" spans="1:3" x14ac:dyDescent="0.2">
      <c r="A3638" s="3">
        <v>40505</v>
      </c>
      <c r="B3638" s="2">
        <v>4.7</v>
      </c>
      <c r="C3638" s="2">
        <f t="shared" si="56"/>
        <v>-3.7582711149042894E-2</v>
      </c>
    </row>
    <row r="3639" spans="1:3" x14ac:dyDescent="0.2">
      <c r="A3639" s="3">
        <v>40504</v>
      </c>
      <c r="B3639" s="2">
        <v>4.88</v>
      </c>
      <c r="C3639" s="2">
        <f t="shared" si="56"/>
        <v>-5.1098731522707021E-3</v>
      </c>
    </row>
    <row r="3640" spans="1:3" x14ac:dyDescent="0.2">
      <c r="A3640" s="3">
        <v>40501</v>
      </c>
      <c r="B3640" s="2">
        <v>4.9050000000000002</v>
      </c>
      <c r="C3640" s="2">
        <f t="shared" si="56"/>
        <v>4.5977092486295494E-3</v>
      </c>
    </row>
    <row r="3641" spans="1:3" x14ac:dyDescent="0.2">
      <c r="A3641" s="3">
        <v>40500</v>
      </c>
      <c r="B3641" s="2">
        <v>4.8825000000000003</v>
      </c>
      <c r="C3641" s="2">
        <f t="shared" si="56"/>
        <v>-3.5778213478839666E-3</v>
      </c>
    </row>
    <row r="3642" spans="1:3" x14ac:dyDescent="0.2">
      <c r="A3642" s="3">
        <v>40499</v>
      </c>
      <c r="B3642" s="2">
        <v>4.9000000000000004</v>
      </c>
      <c r="C3642" s="2">
        <f t="shared" si="56"/>
        <v>2.5317807984290001E-2</v>
      </c>
    </row>
    <row r="3643" spans="1:3" x14ac:dyDescent="0.2">
      <c r="A3643" s="3">
        <v>40498</v>
      </c>
      <c r="B3643" s="2">
        <v>4.7774999999999999</v>
      </c>
      <c r="C3643" s="2">
        <f t="shared" si="56"/>
        <v>-9.3750686654560447E-3</v>
      </c>
    </row>
    <row r="3644" spans="1:3" x14ac:dyDescent="0.2">
      <c r="A3644" s="3">
        <v>40497</v>
      </c>
      <c r="B3644" s="2">
        <v>4.8224999999999998</v>
      </c>
      <c r="C3644" s="2">
        <f t="shared" si="56"/>
        <v>5.1853773523815314E-4</v>
      </c>
    </row>
    <row r="3645" spans="1:3" x14ac:dyDescent="0.2">
      <c r="A3645" s="3">
        <v>40494</v>
      </c>
      <c r="B3645" s="2">
        <v>4.82</v>
      </c>
      <c r="C3645" s="2">
        <f t="shared" si="56"/>
        <v>1.2001187609689681E-2</v>
      </c>
    </row>
    <row r="3646" spans="1:3" x14ac:dyDescent="0.2">
      <c r="A3646" s="3">
        <v>40493</v>
      </c>
      <c r="B3646" s="2">
        <v>4.7625000000000002</v>
      </c>
      <c r="C3646" s="2">
        <f t="shared" si="56"/>
        <v>-2.4372479412236435E-2</v>
      </c>
    </row>
    <row r="3647" spans="1:3" x14ac:dyDescent="0.2">
      <c r="A3647" s="3">
        <v>40492</v>
      </c>
      <c r="B3647" s="2">
        <v>4.88</v>
      </c>
      <c r="C3647" s="2">
        <f t="shared" si="56"/>
        <v>-1.3231745209619705E-2</v>
      </c>
    </row>
    <row r="3648" spans="1:3" x14ac:dyDescent="0.2">
      <c r="A3648" s="3">
        <v>40491</v>
      </c>
      <c r="B3648" s="2">
        <v>4.9450000000000003</v>
      </c>
      <c r="C3648" s="2">
        <f t="shared" si="56"/>
        <v>1.6824256130110769E-2</v>
      </c>
    </row>
    <row r="3649" spans="1:3" x14ac:dyDescent="0.2">
      <c r="A3649" s="3">
        <v>40490</v>
      </c>
      <c r="B3649" s="2">
        <v>4.8624999999999998</v>
      </c>
      <c r="C3649" s="2">
        <f t="shared" si="56"/>
        <v>-2.9883206152208693E-2</v>
      </c>
    </row>
    <row r="3650" spans="1:3" x14ac:dyDescent="0.2">
      <c r="A3650" s="3">
        <v>40487</v>
      </c>
      <c r="B3650" s="2">
        <v>5.01</v>
      </c>
      <c r="C3650" s="2">
        <f t="shared" si="56"/>
        <v>4.0738830979103621E-2</v>
      </c>
    </row>
    <row r="3651" spans="1:3" x14ac:dyDescent="0.2">
      <c r="A3651" s="3">
        <v>40486</v>
      </c>
      <c r="B3651" s="2">
        <v>4.8099999999999996</v>
      </c>
      <c r="C3651" s="2">
        <f t="shared" ref="C3651:C3714" si="57">+LN(B3651/B3652)</f>
        <v>2.5797692821140618E-2</v>
      </c>
    </row>
    <row r="3652" spans="1:3" x14ac:dyDescent="0.2">
      <c r="A3652" s="3">
        <v>40480</v>
      </c>
      <c r="B3652" s="2">
        <v>4.6875</v>
      </c>
      <c r="C3652" s="2">
        <f t="shared" si="57"/>
        <v>-2.6631174194837732E-3</v>
      </c>
    </row>
    <row r="3653" spans="1:3" x14ac:dyDescent="0.2">
      <c r="A3653" s="3">
        <v>40479</v>
      </c>
      <c r="B3653" s="2">
        <v>4.7</v>
      </c>
      <c r="C3653" s="2">
        <f t="shared" si="57"/>
        <v>-3.1864073694078689E-3</v>
      </c>
    </row>
    <row r="3654" spans="1:3" x14ac:dyDescent="0.2">
      <c r="A3654" s="3">
        <v>40478</v>
      </c>
      <c r="B3654" s="2">
        <v>4.7149999999999999</v>
      </c>
      <c r="C3654" s="2">
        <f t="shared" si="57"/>
        <v>-8.9734041027468101E-3</v>
      </c>
    </row>
    <row r="3655" spans="1:3" x14ac:dyDescent="0.2">
      <c r="A3655" s="3">
        <v>40477</v>
      </c>
      <c r="B3655" s="2">
        <v>4.7575000000000003</v>
      </c>
      <c r="C3655" s="2">
        <f t="shared" si="57"/>
        <v>-5.2534805516101912E-4</v>
      </c>
    </row>
    <row r="3656" spans="1:3" x14ac:dyDescent="0.2">
      <c r="A3656" s="3">
        <v>40472</v>
      </c>
      <c r="B3656" s="2">
        <v>4.76</v>
      </c>
      <c r="C3656" s="2">
        <f t="shared" si="57"/>
        <v>-5.7606862634356814E-3</v>
      </c>
    </row>
    <row r="3657" spans="1:3" x14ac:dyDescent="0.2">
      <c r="A3657" s="3">
        <v>40471</v>
      </c>
      <c r="B3657" s="2">
        <v>4.7874999999999996</v>
      </c>
      <c r="C3657" s="2">
        <f t="shared" si="57"/>
        <v>-2.6075634070809417E-3</v>
      </c>
    </row>
    <row r="3658" spans="1:3" x14ac:dyDescent="0.2">
      <c r="A3658" s="3">
        <v>40470</v>
      </c>
      <c r="B3658" s="2">
        <v>4.8</v>
      </c>
      <c r="C3658" s="2">
        <f t="shared" si="57"/>
        <v>-1.2422519998557209E-2</v>
      </c>
    </row>
    <row r="3659" spans="1:3" x14ac:dyDescent="0.2">
      <c r="A3659" s="3">
        <v>40469</v>
      </c>
      <c r="B3659" s="2">
        <v>4.8600000000000003</v>
      </c>
      <c r="C3659" s="2">
        <f t="shared" si="57"/>
        <v>-2.5687144871763016E-3</v>
      </c>
    </row>
    <row r="3660" spans="1:3" x14ac:dyDescent="0.2">
      <c r="A3660" s="3">
        <v>40466</v>
      </c>
      <c r="B3660" s="2">
        <v>4.8724999999999996</v>
      </c>
      <c r="C3660" s="2">
        <f t="shared" si="57"/>
        <v>-9.701378104638024E-3</v>
      </c>
    </row>
    <row r="3661" spans="1:3" x14ac:dyDescent="0.2">
      <c r="A3661" s="3">
        <v>40465</v>
      </c>
      <c r="B3661" s="2">
        <v>4.92</v>
      </c>
      <c r="C3661" s="2">
        <f t="shared" si="57"/>
        <v>-6.0790460763822263E-3</v>
      </c>
    </row>
    <row r="3662" spans="1:3" x14ac:dyDescent="0.2">
      <c r="A3662" s="3">
        <v>40464</v>
      </c>
      <c r="B3662" s="2">
        <v>4.95</v>
      </c>
      <c r="C3662" s="2">
        <f t="shared" si="57"/>
        <v>1.0152371464017908E-2</v>
      </c>
    </row>
    <row r="3663" spans="1:3" x14ac:dyDescent="0.2">
      <c r="A3663" s="3">
        <v>40463</v>
      </c>
      <c r="B3663" s="2">
        <v>4.9000000000000004</v>
      </c>
      <c r="C3663" s="2">
        <f t="shared" si="57"/>
        <v>4.0899852515252876E-3</v>
      </c>
    </row>
    <row r="3664" spans="1:3" x14ac:dyDescent="0.2">
      <c r="A3664" s="3">
        <v>40462</v>
      </c>
      <c r="B3664" s="2">
        <v>4.88</v>
      </c>
      <c r="C3664" s="2">
        <f t="shared" si="57"/>
        <v>-5.6194273034231865E-3</v>
      </c>
    </row>
    <row r="3665" spans="1:3" x14ac:dyDescent="0.2">
      <c r="A3665" s="3">
        <v>40459</v>
      </c>
      <c r="B3665" s="2">
        <v>4.9074999999999998</v>
      </c>
      <c r="C3665" s="2">
        <f t="shared" si="57"/>
        <v>-1.265519294005828E-2</v>
      </c>
    </row>
    <row r="3666" spans="1:3" x14ac:dyDescent="0.2">
      <c r="A3666" s="3">
        <v>40458</v>
      </c>
      <c r="B3666" s="2">
        <v>4.97</v>
      </c>
      <c r="C3666" s="2">
        <f t="shared" si="57"/>
        <v>-1.1005613836602242E-2</v>
      </c>
    </row>
    <row r="3667" spans="1:3" x14ac:dyDescent="0.2">
      <c r="A3667" s="3">
        <v>40457</v>
      </c>
      <c r="B3667" s="2">
        <v>5.0250000000000004</v>
      </c>
      <c r="C3667" s="2">
        <f t="shared" si="57"/>
        <v>5.4177785701810838E-2</v>
      </c>
    </row>
    <row r="3668" spans="1:3" x14ac:dyDescent="0.2">
      <c r="A3668" s="3">
        <v>40456</v>
      </c>
      <c r="B3668" s="2">
        <v>4.76</v>
      </c>
      <c r="C3668" s="2">
        <f t="shared" si="57"/>
        <v>4.0734463337215129E-2</v>
      </c>
    </row>
    <row r="3669" spans="1:3" x14ac:dyDescent="0.2">
      <c r="A3669" s="3">
        <v>40455</v>
      </c>
      <c r="B3669" s="2">
        <v>4.57</v>
      </c>
      <c r="C3669" s="2">
        <f t="shared" si="57"/>
        <v>-2.1857932199802082E-3</v>
      </c>
    </row>
    <row r="3670" spans="1:3" x14ac:dyDescent="0.2">
      <c r="A3670" s="3">
        <v>40452</v>
      </c>
      <c r="B3670" s="2">
        <v>4.58</v>
      </c>
      <c r="C3670" s="2">
        <f t="shared" si="57"/>
        <v>-2.1810259463601145E-3</v>
      </c>
    </row>
    <row r="3671" spans="1:3" x14ac:dyDescent="0.2">
      <c r="A3671" s="3">
        <v>40451</v>
      </c>
      <c r="B3671" s="2">
        <v>4.59</v>
      </c>
      <c r="C3671" s="2">
        <f t="shared" si="57"/>
        <v>-1.6326534238853348E-3</v>
      </c>
    </row>
    <row r="3672" spans="1:3" x14ac:dyDescent="0.2">
      <c r="A3672" s="3">
        <v>40450</v>
      </c>
      <c r="B3672" s="2">
        <v>4.5975000000000001</v>
      </c>
      <c r="C3672" s="2">
        <f t="shared" si="57"/>
        <v>-1.457515680296801E-2</v>
      </c>
    </row>
    <row r="3673" spans="1:3" x14ac:dyDescent="0.2">
      <c r="A3673" s="3">
        <v>40448</v>
      </c>
      <c r="B3673" s="2">
        <v>4.665</v>
      </c>
      <c r="C3673" s="2">
        <f t="shared" si="57"/>
        <v>3.3236510640307831E-2</v>
      </c>
    </row>
    <row r="3674" spans="1:3" x14ac:dyDescent="0.2">
      <c r="A3674" s="3">
        <v>40445</v>
      </c>
      <c r="B3674" s="2">
        <v>4.5125000000000002</v>
      </c>
      <c r="C3674" s="2">
        <f t="shared" si="57"/>
        <v>3.0944803849421491E-2</v>
      </c>
    </row>
    <row r="3675" spans="1:3" x14ac:dyDescent="0.2">
      <c r="A3675" s="3">
        <v>40443</v>
      </c>
      <c r="B3675" s="2">
        <v>4.375</v>
      </c>
      <c r="C3675" s="2">
        <f t="shared" si="57"/>
        <v>-1.7128180036748277E-3</v>
      </c>
    </row>
    <row r="3676" spans="1:3" x14ac:dyDescent="0.2">
      <c r="A3676" s="3">
        <v>40442</v>
      </c>
      <c r="B3676" s="2">
        <v>4.3825000000000003</v>
      </c>
      <c r="C3676" s="2">
        <f t="shared" si="57"/>
        <v>-1.2471816988281609E-2</v>
      </c>
    </row>
    <row r="3677" spans="1:3" x14ac:dyDescent="0.2">
      <c r="A3677" s="3">
        <v>40441</v>
      </c>
      <c r="B3677" s="2">
        <v>4.4375</v>
      </c>
      <c r="C3677" s="2">
        <f t="shared" si="57"/>
        <v>1.0761927714454328E-2</v>
      </c>
    </row>
    <row r="3678" spans="1:3" x14ac:dyDescent="0.2">
      <c r="A3678" s="3">
        <v>40438</v>
      </c>
      <c r="B3678" s="2">
        <v>4.3899999999999997</v>
      </c>
      <c r="C3678" s="2">
        <f t="shared" si="57"/>
        <v>-1.0198388674462785E-2</v>
      </c>
    </row>
    <row r="3679" spans="1:3" x14ac:dyDescent="0.2">
      <c r="A3679" s="3">
        <v>40437</v>
      </c>
      <c r="B3679" s="2">
        <v>4.4349999999999996</v>
      </c>
      <c r="C3679" s="2">
        <f t="shared" si="57"/>
        <v>6.2199804716544654E-3</v>
      </c>
    </row>
    <row r="3680" spans="1:3" x14ac:dyDescent="0.2">
      <c r="A3680" s="3">
        <v>40436</v>
      </c>
      <c r="B3680" s="2">
        <v>4.4074999999999998</v>
      </c>
      <c r="C3680" s="2">
        <f t="shared" si="57"/>
        <v>-1.2401511815869404E-2</v>
      </c>
    </row>
    <row r="3681" spans="1:3" x14ac:dyDescent="0.2">
      <c r="A3681" s="3">
        <v>40435</v>
      </c>
      <c r="B3681" s="2">
        <v>4.4625000000000004</v>
      </c>
      <c r="C3681" s="2">
        <f t="shared" si="57"/>
        <v>2.2434109240779166E-3</v>
      </c>
    </row>
    <row r="3682" spans="1:3" x14ac:dyDescent="0.2">
      <c r="A3682" s="3">
        <v>40434</v>
      </c>
      <c r="B3682" s="2">
        <v>4.4524999999999997</v>
      </c>
      <c r="C3682" s="2">
        <f t="shared" si="57"/>
        <v>8.4579021257562038E-3</v>
      </c>
    </row>
    <row r="3683" spans="1:3" x14ac:dyDescent="0.2">
      <c r="A3683" s="3">
        <v>40431</v>
      </c>
      <c r="B3683" s="2">
        <v>4.415</v>
      </c>
      <c r="C3683" s="2">
        <f t="shared" si="57"/>
        <v>1.1331445971686754E-3</v>
      </c>
    </row>
    <row r="3684" spans="1:3" x14ac:dyDescent="0.2">
      <c r="A3684" s="3">
        <v>40430</v>
      </c>
      <c r="B3684" s="2">
        <v>4.41</v>
      </c>
      <c r="C3684" s="2">
        <f t="shared" si="57"/>
        <v>-1.2394524869707721E-2</v>
      </c>
    </row>
    <row r="3685" spans="1:3" x14ac:dyDescent="0.2">
      <c r="A3685" s="3">
        <v>40429</v>
      </c>
      <c r="B3685" s="2">
        <v>4.4649999999999999</v>
      </c>
      <c r="C3685" s="2">
        <f t="shared" si="57"/>
        <v>-6.140125347114697E-3</v>
      </c>
    </row>
    <row r="3686" spans="1:3" x14ac:dyDescent="0.2">
      <c r="A3686" s="3">
        <v>40428</v>
      </c>
      <c r="B3686" s="2">
        <v>4.4924999999999997</v>
      </c>
      <c r="C3686" s="2">
        <f t="shared" si="57"/>
        <v>-1.9835361056145924E-2</v>
      </c>
    </row>
    <row r="3687" spans="1:3" x14ac:dyDescent="0.2">
      <c r="A3687" s="3">
        <v>40427</v>
      </c>
      <c r="B3687" s="2">
        <v>4.5824999999999996</v>
      </c>
      <c r="C3687" s="2">
        <f t="shared" si="57"/>
        <v>4.0640159807507362E-2</v>
      </c>
    </row>
    <row r="3688" spans="1:3" x14ac:dyDescent="0.2">
      <c r="A3688" s="3">
        <v>40422</v>
      </c>
      <c r="B3688" s="2">
        <v>4.4000000000000004</v>
      </c>
      <c r="C3688" s="2">
        <f t="shared" si="57"/>
        <v>2.2989518224698781E-2</v>
      </c>
    </row>
    <row r="3689" spans="1:3" x14ac:dyDescent="0.2">
      <c r="A3689" s="3">
        <v>40421</v>
      </c>
      <c r="B3689" s="2">
        <v>4.3</v>
      </c>
      <c r="C3689" s="2">
        <f t="shared" si="57"/>
        <v>-9.8351964336063306E-3</v>
      </c>
    </row>
    <row r="3690" spans="1:3" x14ac:dyDescent="0.2">
      <c r="A3690" s="3">
        <v>40420</v>
      </c>
      <c r="B3690" s="2">
        <v>4.3425000000000002</v>
      </c>
      <c r="C3690" s="2">
        <f t="shared" si="57"/>
        <v>3.0987571438833055E-2</v>
      </c>
    </row>
    <row r="3691" spans="1:3" x14ac:dyDescent="0.2">
      <c r="A3691" s="3">
        <v>40417</v>
      </c>
      <c r="B3691" s="2">
        <v>4.21</v>
      </c>
      <c r="C3691" s="2">
        <f t="shared" si="57"/>
        <v>-1.9988907741928599E-2</v>
      </c>
    </row>
    <row r="3692" spans="1:3" x14ac:dyDescent="0.2">
      <c r="A3692" s="3">
        <v>40416</v>
      </c>
      <c r="B3692" s="2">
        <v>4.2949999999999999</v>
      </c>
      <c r="C3692" s="2">
        <f t="shared" si="57"/>
        <v>1.1648224962931065E-3</v>
      </c>
    </row>
    <row r="3693" spans="1:3" x14ac:dyDescent="0.2">
      <c r="A3693" s="3">
        <v>40415</v>
      </c>
      <c r="B3693" s="2">
        <v>4.29</v>
      </c>
      <c r="C3693" s="2">
        <f t="shared" si="57"/>
        <v>-3.493054810674371E-2</v>
      </c>
    </row>
    <row r="3694" spans="1:3" x14ac:dyDescent="0.2">
      <c r="A3694" s="3">
        <v>40414</v>
      </c>
      <c r="B3694" s="2">
        <v>4.4424999999999999</v>
      </c>
      <c r="C3694" s="2">
        <f t="shared" si="57"/>
        <v>2.81769698962509E-3</v>
      </c>
    </row>
    <row r="3695" spans="1:3" x14ac:dyDescent="0.2">
      <c r="A3695" s="3">
        <v>40413</v>
      </c>
      <c r="B3695" s="2">
        <v>4.43</v>
      </c>
      <c r="C3695" s="2">
        <f t="shared" si="57"/>
        <v>1.7074973752577931E-2</v>
      </c>
    </row>
    <row r="3696" spans="1:3" x14ac:dyDescent="0.2">
      <c r="A3696" s="3">
        <v>40410</v>
      </c>
      <c r="B3696" s="2">
        <v>4.3550000000000004</v>
      </c>
      <c r="C3696" s="2">
        <f t="shared" si="57"/>
        <v>-1.9329766139667238E-2</v>
      </c>
    </row>
    <row r="3697" spans="1:3" x14ac:dyDescent="0.2">
      <c r="A3697" s="3">
        <v>40409</v>
      </c>
      <c r="B3697" s="2">
        <v>4.4400000000000004</v>
      </c>
      <c r="C3697" s="2">
        <f t="shared" si="57"/>
        <v>-8.9686699827603751E-3</v>
      </c>
    </row>
    <row r="3698" spans="1:3" x14ac:dyDescent="0.2">
      <c r="A3698" s="3">
        <v>40408</v>
      </c>
      <c r="B3698" s="2">
        <v>4.4800000000000004</v>
      </c>
      <c r="C3698" s="2">
        <f t="shared" si="57"/>
        <v>-1.1098893068048803E-2</v>
      </c>
    </row>
    <row r="3699" spans="1:3" x14ac:dyDescent="0.2">
      <c r="A3699" s="3">
        <v>40407</v>
      </c>
      <c r="B3699" s="2">
        <v>4.53</v>
      </c>
      <c r="C3699" s="2">
        <f t="shared" si="57"/>
        <v>4.979263399607364E-3</v>
      </c>
    </row>
    <row r="3700" spans="1:3" x14ac:dyDescent="0.2">
      <c r="A3700" s="3">
        <v>40406</v>
      </c>
      <c r="B3700" s="2">
        <v>4.5075000000000003</v>
      </c>
      <c r="C3700" s="2">
        <f t="shared" si="57"/>
        <v>2.641344900825552E-2</v>
      </c>
    </row>
    <row r="3701" spans="1:3" x14ac:dyDescent="0.2">
      <c r="A3701" s="3">
        <v>40403</v>
      </c>
      <c r="B3701" s="2">
        <v>4.3899999999999997</v>
      </c>
      <c r="C3701" s="2">
        <f t="shared" si="57"/>
        <v>5.7110377955144342E-3</v>
      </c>
    </row>
    <row r="3702" spans="1:3" x14ac:dyDescent="0.2">
      <c r="A3702" s="3">
        <v>40402</v>
      </c>
      <c r="B3702" s="2">
        <v>4.3650000000000002</v>
      </c>
      <c r="C3702" s="2">
        <f t="shared" si="57"/>
        <v>4.5924305742101714E-3</v>
      </c>
    </row>
    <row r="3703" spans="1:3" x14ac:dyDescent="0.2">
      <c r="A3703" s="3">
        <v>40401</v>
      </c>
      <c r="B3703" s="2">
        <v>4.3449999999999998</v>
      </c>
      <c r="C3703" s="2">
        <f t="shared" si="57"/>
        <v>-1.2010438912220913E-2</v>
      </c>
    </row>
    <row r="3704" spans="1:3" x14ac:dyDescent="0.2">
      <c r="A3704" s="3">
        <v>40400</v>
      </c>
      <c r="B3704" s="2">
        <v>4.3975</v>
      </c>
      <c r="C3704" s="2">
        <f t="shared" si="57"/>
        <v>-2.838491829178464E-3</v>
      </c>
    </row>
    <row r="3705" spans="1:3" x14ac:dyDescent="0.2">
      <c r="A3705" s="3">
        <v>40396</v>
      </c>
      <c r="B3705" s="2">
        <v>4.41</v>
      </c>
      <c r="C3705" s="2">
        <f t="shared" si="57"/>
        <v>1.888468139052742E-2</v>
      </c>
    </row>
    <row r="3706" spans="1:3" x14ac:dyDescent="0.2">
      <c r="A3706" s="3">
        <v>40395</v>
      </c>
      <c r="B3706" s="2">
        <v>4.3274999999999997</v>
      </c>
      <c r="C3706" s="2">
        <f t="shared" si="57"/>
        <v>-1.6614532855988327E-2</v>
      </c>
    </row>
    <row r="3707" spans="1:3" x14ac:dyDescent="0.2">
      <c r="A3707" s="3">
        <v>40394</v>
      </c>
      <c r="B3707" s="2">
        <v>4.4000000000000004</v>
      </c>
      <c r="C3707" s="2">
        <f t="shared" si="57"/>
        <v>1.6036998909817104E-2</v>
      </c>
    </row>
    <row r="3708" spans="1:3" x14ac:dyDescent="0.2">
      <c r="A3708" s="3">
        <v>40392</v>
      </c>
      <c r="B3708" s="2">
        <v>4.33</v>
      </c>
      <c r="C3708" s="2">
        <f t="shared" si="57"/>
        <v>4.2459207771791553E-2</v>
      </c>
    </row>
    <row r="3709" spans="1:3" x14ac:dyDescent="0.2">
      <c r="A3709" s="3">
        <v>40389</v>
      </c>
      <c r="B3709" s="2">
        <v>4.1500000000000004</v>
      </c>
      <c r="C3709" s="2">
        <f t="shared" si="57"/>
        <v>-9.5923996914394089E-3</v>
      </c>
    </row>
    <row r="3710" spans="1:3" x14ac:dyDescent="0.2">
      <c r="A3710" s="3">
        <v>40388</v>
      </c>
      <c r="B3710" s="2">
        <v>4.1900000000000004</v>
      </c>
      <c r="C3710" s="2">
        <f t="shared" si="57"/>
        <v>-4.6058854857937821E-2</v>
      </c>
    </row>
    <row r="3711" spans="1:3" x14ac:dyDescent="0.2">
      <c r="A3711" s="3">
        <v>40387</v>
      </c>
      <c r="B3711" s="2">
        <v>4.3875000000000002</v>
      </c>
      <c r="C3711" s="2">
        <f t="shared" si="57"/>
        <v>3.4246608813641747E-3</v>
      </c>
    </row>
    <row r="3712" spans="1:3" x14ac:dyDescent="0.2">
      <c r="A3712" s="3">
        <v>40386</v>
      </c>
      <c r="B3712" s="2">
        <v>4.3724999999999996</v>
      </c>
      <c r="C3712" s="2">
        <f t="shared" si="57"/>
        <v>-2.8546979135262783E-3</v>
      </c>
    </row>
    <row r="3713" spans="1:3" x14ac:dyDescent="0.2">
      <c r="A3713" s="3">
        <v>40385</v>
      </c>
      <c r="B3713" s="2">
        <v>4.3849999999999998</v>
      </c>
      <c r="C3713" s="2">
        <f t="shared" si="57"/>
        <v>2.3069073774403079E-2</v>
      </c>
    </row>
    <row r="3714" spans="1:3" x14ac:dyDescent="0.2">
      <c r="A3714" s="3">
        <v>40382</v>
      </c>
      <c r="B3714" s="2">
        <v>4.2850000000000001</v>
      </c>
      <c r="C3714" s="2">
        <f t="shared" si="57"/>
        <v>-1.7487617397505515E-3</v>
      </c>
    </row>
    <row r="3715" spans="1:3" x14ac:dyDescent="0.2">
      <c r="A3715" s="3">
        <v>40381</v>
      </c>
      <c r="B3715" s="2">
        <v>4.2925000000000004</v>
      </c>
      <c r="C3715" s="2">
        <f t="shared" ref="C3715:C3778" si="58">+LN(B3715/B3716)</f>
        <v>2.1189727488860156E-2</v>
      </c>
    </row>
    <row r="3716" spans="1:3" x14ac:dyDescent="0.2">
      <c r="A3716" s="3">
        <v>40380</v>
      </c>
      <c r="B3716" s="2">
        <v>4.2024999999999997</v>
      </c>
      <c r="C3716" s="2">
        <f t="shared" si="58"/>
        <v>1.4983798463410563E-2</v>
      </c>
    </row>
    <row r="3717" spans="1:3" x14ac:dyDescent="0.2">
      <c r="A3717" s="3">
        <v>40379</v>
      </c>
      <c r="B3717" s="2">
        <v>4.1399999999999997</v>
      </c>
      <c r="C3717" s="2">
        <f t="shared" si="58"/>
        <v>-4.8192864359489947E-3</v>
      </c>
    </row>
    <row r="3718" spans="1:3" x14ac:dyDescent="0.2">
      <c r="A3718" s="3">
        <v>40378</v>
      </c>
      <c r="B3718" s="2">
        <v>4.16</v>
      </c>
      <c r="C3718" s="2">
        <f t="shared" si="58"/>
        <v>1.2092045765028552E-2</v>
      </c>
    </row>
    <row r="3719" spans="1:3" x14ac:dyDescent="0.2">
      <c r="A3719" s="3">
        <v>40375</v>
      </c>
      <c r="B3719" s="2">
        <v>4.1100000000000003</v>
      </c>
      <c r="C3719" s="2">
        <f t="shared" si="58"/>
        <v>-3.1140240735723176E-2</v>
      </c>
    </row>
    <row r="3720" spans="1:3" x14ac:dyDescent="0.2">
      <c r="A3720" s="3">
        <v>40374</v>
      </c>
      <c r="B3720" s="2">
        <v>4.24</v>
      </c>
      <c r="C3720" s="2">
        <f t="shared" si="58"/>
        <v>9.4787439545437387E-3</v>
      </c>
    </row>
    <row r="3721" spans="1:3" x14ac:dyDescent="0.2">
      <c r="A3721" s="3">
        <v>40373</v>
      </c>
      <c r="B3721" s="2">
        <v>4.2</v>
      </c>
      <c r="C3721" s="2">
        <f t="shared" si="58"/>
        <v>1.7412628477176485E-2</v>
      </c>
    </row>
    <row r="3722" spans="1:3" x14ac:dyDescent="0.2">
      <c r="A3722" s="3">
        <v>40372</v>
      </c>
      <c r="B3722" s="2">
        <v>4.1275000000000004</v>
      </c>
      <c r="C3722" s="2">
        <f t="shared" si="58"/>
        <v>3.6407807206558424E-3</v>
      </c>
    </row>
    <row r="3723" spans="1:3" x14ac:dyDescent="0.2">
      <c r="A3723" s="3">
        <v>40371</v>
      </c>
      <c r="B3723" s="2">
        <v>4.1124999999999998</v>
      </c>
      <c r="C3723" s="2">
        <f t="shared" si="58"/>
        <v>-2.7579685699108052E-2</v>
      </c>
    </row>
    <row r="3724" spans="1:3" x14ac:dyDescent="0.2">
      <c r="A3724" s="3">
        <v>40368</v>
      </c>
      <c r="B3724" s="2">
        <v>4.2275</v>
      </c>
      <c r="C3724" s="2">
        <f t="shared" si="58"/>
        <v>-1.7004220908918392E-2</v>
      </c>
    </row>
    <row r="3725" spans="1:3" x14ac:dyDescent="0.2">
      <c r="A3725" s="3">
        <v>40367</v>
      </c>
      <c r="B3725" s="2">
        <v>4.3</v>
      </c>
      <c r="C3725" s="2">
        <f t="shared" si="58"/>
        <v>1.759576189037966E-2</v>
      </c>
    </row>
    <row r="3726" spans="1:3" x14ac:dyDescent="0.2">
      <c r="A3726" s="3">
        <v>40366</v>
      </c>
      <c r="B3726" s="2">
        <v>4.2249999999999996</v>
      </c>
      <c r="C3726" s="2">
        <f t="shared" si="58"/>
        <v>-9.4229201345052607E-3</v>
      </c>
    </row>
    <row r="3727" spans="1:3" x14ac:dyDescent="0.2">
      <c r="A3727" s="3">
        <v>40365</v>
      </c>
      <c r="B3727" s="2">
        <v>4.2649999999999997</v>
      </c>
      <c r="C3727" s="2">
        <f t="shared" si="58"/>
        <v>2.0729199456230682E-2</v>
      </c>
    </row>
    <row r="3728" spans="1:3" x14ac:dyDescent="0.2">
      <c r="A3728" s="3">
        <v>40364</v>
      </c>
      <c r="B3728" s="2">
        <v>4.1775000000000002</v>
      </c>
      <c r="C3728" s="2">
        <f t="shared" si="58"/>
        <v>2.484223479458577E-2</v>
      </c>
    </row>
    <row r="3729" spans="1:3" x14ac:dyDescent="0.2">
      <c r="A3729" s="3">
        <v>40361</v>
      </c>
      <c r="B3729" s="2">
        <v>4.0750000000000002</v>
      </c>
      <c r="C3729" s="2">
        <f t="shared" si="58"/>
        <v>3.4959864823459454E-2</v>
      </c>
    </row>
    <row r="3730" spans="1:3" x14ac:dyDescent="0.2">
      <c r="A3730" s="3">
        <v>40360</v>
      </c>
      <c r="B3730" s="2">
        <v>3.9350000000000001</v>
      </c>
      <c r="C3730" s="2">
        <f t="shared" si="58"/>
        <v>-3.7410846442599587E-2</v>
      </c>
    </row>
    <row r="3731" spans="1:3" x14ac:dyDescent="0.2">
      <c r="A3731" s="3">
        <v>40359</v>
      </c>
      <c r="B3731" s="2">
        <v>4.085</v>
      </c>
      <c r="C3731" s="2">
        <f t="shared" si="58"/>
        <v>7.9877536842720819E-3</v>
      </c>
    </row>
    <row r="3732" spans="1:3" x14ac:dyDescent="0.2">
      <c r="A3732" s="3">
        <v>40358</v>
      </c>
      <c r="B3732" s="2">
        <v>4.0525000000000002</v>
      </c>
      <c r="C3732" s="2">
        <f t="shared" si="58"/>
        <v>-1.5912208441964074E-2</v>
      </c>
    </row>
    <row r="3733" spans="1:3" x14ac:dyDescent="0.2">
      <c r="A3733" s="3">
        <v>40357</v>
      </c>
      <c r="B3733" s="2">
        <v>4.1174999999999997</v>
      </c>
      <c r="C3733" s="2">
        <f t="shared" si="58"/>
        <v>-1.9242926899900505E-2</v>
      </c>
    </row>
    <row r="3734" spans="1:3" x14ac:dyDescent="0.2">
      <c r="A3734" s="3">
        <v>40354</v>
      </c>
      <c r="B3734" s="2">
        <v>4.1974999999999998</v>
      </c>
      <c r="C3734" s="2">
        <f t="shared" si="58"/>
        <v>6.1406642821898838E-2</v>
      </c>
    </row>
    <row r="3735" spans="1:3" x14ac:dyDescent="0.2">
      <c r="A3735" s="3">
        <v>40353</v>
      </c>
      <c r="B3735" s="2">
        <v>3.9474999999999998</v>
      </c>
      <c r="C3735" s="2">
        <f t="shared" si="58"/>
        <v>-4.7613320689562894E-2</v>
      </c>
    </row>
    <row r="3736" spans="1:3" x14ac:dyDescent="0.2">
      <c r="A3736" s="3">
        <v>40352</v>
      </c>
      <c r="B3736" s="2">
        <v>4.1399999999999997</v>
      </c>
      <c r="C3736" s="2">
        <f t="shared" si="58"/>
        <v>-2.8573372444056114E-2</v>
      </c>
    </row>
    <row r="3737" spans="1:3" x14ac:dyDescent="0.2">
      <c r="A3737" s="3">
        <v>40351</v>
      </c>
      <c r="B3737" s="2">
        <v>4.26</v>
      </c>
      <c r="C3737" s="2">
        <f t="shared" si="58"/>
        <v>1.8957913744614207E-2</v>
      </c>
    </row>
    <row r="3738" spans="1:3" x14ac:dyDescent="0.2">
      <c r="A3738" s="3">
        <v>40350</v>
      </c>
      <c r="B3738" s="2">
        <v>4.18</v>
      </c>
      <c r="C3738" s="2">
        <f t="shared" si="58"/>
        <v>1.5065063467006529E-2</v>
      </c>
    </row>
    <row r="3739" spans="1:3" x14ac:dyDescent="0.2">
      <c r="A3739" s="3">
        <v>40346</v>
      </c>
      <c r="B3739" s="2">
        <v>4.1174999999999997</v>
      </c>
      <c r="C3739" s="2">
        <f t="shared" si="58"/>
        <v>1.9001491096599488E-2</v>
      </c>
    </row>
    <row r="3740" spans="1:3" x14ac:dyDescent="0.2">
      <c r="A3740" s="3">
        <v>40344</v>
      </c>
      <c r="B3740" s="2">
        <v>4.04</v>
      </c>
      <c r="C3740" s="2">
        <f t="shared" si="58"/>
        <v>1.8581609558318266E-3</v>
      </c>
    </row>
    <row r="3741" spans="1:3" x14ac:dyDescent="0.2">
      <c r="A3741" s="3">
        <v>40343</v>
      </c>
      <c r="B3741" s="2">
        <v>4.0324999999999998</v>
      </c>
      <c r="C3741" s="2">
        <f t="shared" si="58"/>
        <v>3.1046283862972372E-3</v>
      </c>
    </row>
    <row r="3742" spans="1:3" x14ac:dyDescent="0.2">
      <c r="A3742" s="3">
        <v>40340</v>
      </c>
      <c r="B3742" s="2">
        <v>4.0199999999999996</v>
      </c>
      <c r="C3742" s="2">
        <f t="shared" si="58"/>
        <v>-3.1046283862971816E-3</v>
      </c>
    </row>
    <row r="3743" spans="1:3" x14ac:dyDescent="0.2">
      <c r="A3743" s="3">
        <v>40339</v>
      </c>
      <c r="B3743" s="2">
        <v>4.0324999999999998</v>
      </c>
      <c r="C3743" s="2">
        <f t="shared" si="58"/>
        <v>7.5300919590786233E-2</v>
      </c>
    </row>
    <row r="3744" spans="1:3" x14ac:dyDescent="0.2">
      <c r="A3744" s="3">
        <v>40338</v>
      </c>
      <c r="B3744" s="2">
        <v>3.74</v>
      </c>
      <c r="C3744" s="2">
        <f t="shared" si="58"/>
        <v>-7.98939003347875E-3</v>
      </c>
    </row>
    <row r="3745" spans="1:3" x14ac:dyDescent="0.2">
      <c r="A3745" s="3">
        <v>40337</v>
      </c>
      <c r="B3745" s="2">
        <v>3.77</v>
      </c>
      <c r="C3745" s="2">
        <f t="shared" si="58"/>
        <v>-6.6094093876738523E-3</v>
      </c>
    </row>
    <row r="3746" spans="1:3" x14ac:dyDescent="0.2">
      <c r="A3746" s="3">
        <v>40333</v>
      </c>
      <c r="B3746" s="2">
        <v>3.7949999999999999</v>
      </c>
      <c r="C3746" s="2">
        <f t="shared" si="58"/>
        <v>-3.9398056300066792E-2</v>
      </c>
    </row>
    <row r="3747" spans="1:3" x14ac:dyDescent="0.2">
      <c r="A3747" s="3">
        <v>40332</v>
      </c>
      <c r="B3747" s="2">
        <v>3.9474999999999998</v>
      </c>
      <c r="C3747" s="2">
        <f t="shared" si="58"/>
        <v>3.2832044529176381E-2</v>
      </c>
    </row>
    <row r="3748" spans="1:3" x14ac:dyDescent="0.2">
      <c r="A3748" s="3">
        <v>40331</v>
      </c>
      <c r="B3748" s="2">
        <v>3.82</v>
      </c>
      <c r="C3748" s="2">
        <f t="shared" si="58"/>
        <v>-3.0295581533267685E-2</v>
      </c>
    </row>
    <row r="3749" spans="1:3" x14ac:dyDescent="0.2">
      <c r="A3749" s="3">
        <v>40329</v>
      </c>
      <c r="B3749" s="2">
        <v>3.9375</v>
      </c>
      <c r="C3749" s="2">
        <f t="shared" si="58"/>
        <v>-8.8496152769826121E-3</v>
      </c>
    </row>
    <row r="3750" spans="1:3" x14ac:dyDescent="0.2">
      <c r="A3750" s="3">
        <v>40326</v>
      </c>
      <c r="B3750" s="2">
        <v>3.9725000000000001</v>
      </c>
      <c r="C3750" s="2">
        <f t="shared" si="58"/>
        <v>1.0756193547564097E-2</v>
      </c>
    </row>
    <row r="3751" spans="1:3" x14ac:dyDescent="0.2">
      <c r="A3751" s="3">
        <v>40325</v>
      </c>
      <c r="B3751" s="2">
        <v>3.93</v>
      </c>
      <c r="C3751" s="2">
        <f t="shared" si="58"/>
        <v>1.6677743841784585E-2</v>
      </c>
    </row>
    <row r="3752" spans="1:3" x14ac:dyDescent="0.2">
      <c r="A3752" s="3">
        <v>40324</v>
      </c>
      <c r="B3752" s="2">
        <v>3.8650000000000002</v>
      </c>
      <c r="C3752" s="2">
        <f t="shared" si="58"/>
        <v>1.9423767842065226E-3</v>
      </c>
    </row>
    <row r="3753" spans="1:3" x14ac:dyDescent="0.2">
      <c r="A3753" s="3">
        <v>40323</v>
      </c>
      <c r="B3753" s="2">
        <v>3.8574999999999999</v>
      </c>
      <c r="C3753" s="2">
        <f t="shared" si="58"/>
        <v>6.4829823988603796E-4</v>
      </c>
    </row>
    <row r="3754" spans="1:3" x14ac:dyDescent="0.2">
      <c r="A3754" s="3">
        <v>40322</v>
      </c>
      <c r="B3754" s="2">
        <v>3.855</v>
      </c>
      <c r="C3754" s="2">
        <f t="shared" si="58"/>
        <v>-3.2538755786773725E-2</v>
      </c>
    </row>
    <row r="3755" spans="1:3" x14ac:dyDescent="0.2">
      <c r="A3755" s="3">
        <v>40319</v>
      </c>
      <c r="B3755" s="2">
        <v>3.9824999999999999</v>
      </c>
      <c r="C3755" s="2">
        <f t="shared" si="58"/>
        <v>-4.3845983178240986E-3</v>
      </c>
    </row>
    <row r="3756" spans="1:3" x14ac:dyDescent="0.2">
      <c r="A3756" s="3">
        <v>40318</v>
      </c>
      <c r="B3756" s="2">
        <v>4</v>
      </c>
      <c r="C3756" s="2">
        <f t="shared" si="58"/>
        <v>2.1479031677124231E-2</v>
      </c>
    </row>
    <row r="3757" spans="1:3" x14ac:dyDescent="0.2">
      <c r="A3757" s="3">
        <v>40317</v>
      </c>
      <c r="B3757" s="2">
        <v>3.915</v>
      </c>
      <c r="C3757" s="2">
        <f t="shared" si="58"/>
        <v>-5.0430853626891856E-2</v>
      </c>
    </row>
    <row r="3758" spans="1:3" x14ac:dyDescent="0.2">
      <c r="A3758" s="3">
        <v>40316</v>
      </c>
      <c r="B3758" s="2">
        <v>4.1174999999999997</v>
      </c>
      <c r="C3758" s="2">
        <f t="shared" si="58"/>
        <v>5.8123199250047566E-2</v>
      </c>
    </row>
    <row r="3759" spans="1:3" x14ac:dyDescent="0.2">
      <c r="A3759" s="3">
        <v>40315</v>
      </c>
      <c r="B3759" s="2">
        <v>3.8849999999999998</v>
      </c>
      <c r="C3759" s="2">
        <f t="shared" si="58"/>
        <v>-6.4329368574181877E-4</v>
      </c>
    </row>
    <row r="3760" spans="1:3" x14ac:dyDescent="0.2">
      <c r="A3760" s="3">
        <v>40312</v>
      </c>
      <c r="B3760" s="2">
        <v>3.8875000000000002</v>
      </c>
      <c r="C3760" s="2">
        <f t="shared" si="58"/>
        <v>-2.3515541790993733E-2</v>
      </c>
    </row>
    <row r="3761" spans="1:3" x14ac:dyDescent="0.2">
      <c r="A3761" s="3">
        <v>40311</v>
      </c>
      <c r="B3761" s="2">
        <v>3.98</v>
      </c>
      <c r="C3761" s="2">
        <f t="shared" si="58"/>
        <v>1.5190165493975238E-2</v>
      </c>
    </row>
    <row r="3762" spans="1:3" x14ac:dyDescent="0.2">
      <c r="A3762" s="3">
        <v>40310</v>
      </c>
      <c r="B3762" s="2">
        <v>3.92</v>
      </c>
      <c r="C3762" s="2">
        <f t="shared" si="58"/>
        <v>9.0728853389762193E-2</v>
      </c>
    </row>
    <row r="3763" spans="1:3" x14ac:dyDescent="0.2">
      <c r="A3763" s="3">
        <v>40309</v>
      </c>
      <c r="B3763" s="2">
        <v>3.58</v>
      </c>
      <c r="C3763" s="2">
        <f t="shared" si="58"/>
        <v>-1.386984786415039E-2</v>
      </c>
    </row>
    <row r="3764" spans="1:3" x14ac:dyDescent="0.2">
      <c r="A3764" s="3">
        <v>40308</v>
      </c>
      <c r="B3764" s="2">
        <v>3.63</v>
      </c>
      <c r="C3764" s="2">
        <f t="shared" si="58"/>
        <v>4.7964059207126424E-2</v>
      </c>
    </row>
    <row r="3765" spans="1:3" x14ac:dyDescent="0.2">
      <c r="A3765" s="3">
        <v>40305</v>
      </c>
      <c r="B3765" s="2">
        <v>3.46</v>
      </c>
      <c r="C3765" s="2">
        <f t="shared" si="58"/>
        <v>-4.2439183275156597E-2</v>
      </c>
    </row>
    <row r="3766" spans="1:3" x14ac:dyDescent="0.2">
      <c r="A3766" s="3">
        <v>40304</v>
      </c>
      <c r="B3766" s="2">
        <v>3.61</v>
      </c>
      <c r="C3766" s="2">
        <f t="shared" si="58"/>
        <v>-1.648388972168937E-2</v>
      </c>
    </row>
    <row r="3767" spans="1:3" x14ac:dyDescent="0.2">
      <c r="A3767" s="3">
        <v>40303</v>
      </c>
      <c r="B3767" s="2">
        <v>3.67</v>
      </c>
      <c r="C3767" s="2">
        <f t="shared" si="58"/>
        <v>1.9257816604414519E-2</v>
      </c>
    </row>
    <row r="3768" spans="1:3" x14ac:dyDescent="0.2">
      <c r="A3768" s="3">
        <v>40302</v>
      </c>
      <c r="B3768" s="2">
        <v>3.6</v>
      </c>
      <c r="C3768" s="2">
        <f t="shared" si="58"/>
        <v>-4.7466537238923606E-2</v>
      </c>
    </row>
    <row r="3769" spans="1:3" x14ac:dyDescent="0.2">
      <c r="A3769" s="3">
        <v>40301</v>
      </c>
      <c r="B3769" s="2">
        <v>3.7749999999999999</v>
      </c>
      <c r="C3769" s="2">
        <f t="shared" si="58"/>
        <v>-1.323626930508253E-3</v>
      </c>
    </row>
    <row r="3770" spans="1:3" x14ac:dyDescent="0.2">
      <c r="A3770" s="3">
        <v>40298</v>
      </c>
      <c r="B3770" s="2">
        <v>3.78</v>
      </c>
      <c r="C3770" s="2">
        <f t="shared" si="58"/>
        <v>1.3236269305083458E-3</v>
      </c>
    </row>
    <row r="3771" spans="1:3" x14ac:dyDescent="0.2">
      <c r="A3771" s="3">
        <v>40297</v>
      </c>
      <c r="B3771" s="2">
        <v>3.7749999999999999</v>
      </c>
      <c r="C3771" s="2">
        <f t="shared" si="58"/>
        <v>4.4692610356198585E-2</v>
      </c>
    </row>
    <row r="3772" spans="1:3" x14ac:dyDescent="0.2">
      <c r="A3772" s="3">
        <v>40296</v>
      </c>
      <c r="B3772" s="2">
        <v>3.61</v>
      </c>
      <c r="C3772" s="2">
        <f t="shared" si="58"/>
        <v>-1.3755375068485457E-2</v>
      </c>
    </row>
    <row r="3773" spans="1:3" x14ac:dyDescent="0.2">
      <c r="A3773" s="3">
        <v>40295</v>
      </c>
      <c r="B3773" s="2">
        <v>3.66</v>
      </c>
      <c r="C3773" s="2">
        <f t="shared" si="58"/>
        <v>-2.5625137802823161E-2</v>
      </c>
    </row>
    <row r="3774" spans="1:3" x14ac:dyDescent="0.2">
      <c r="A3774" s="3">
        <v>40294</v>
      </c>
      <c r="B3774" s="2">
        <v>3.7549999999999999</v>
      </c>
      <c r="C3774" s="2">
        <f t="shared" si="58"/>
        <v>6.6800515603737875E-3</v>
      </c>
    </row>
    <row r="3775" spans="1:3" x14ac:dyDescent="0.2">
      <c r="A3775" s="3">
        <v>40291</v>
      </c>
      <c r="B3775" s="2">
        <v>3.73</v>
      </c>
      <c r="C3775" s="2">
        <f t="shared" si="58"/>
        <v>2.6845653706689828E-3</v>
      </c>
    </row>
    <row r="3776" spans="1:3" x14ac:dyDescent="0.2">
      <c r="A3776" s="3">
        <v>40290</v>
      </c>
      <c r="B3776" s="2">
        <v>3.72</v>
      </c>
      <c r="C3776" s="2">
        <f t="shared" si="58"/>
        <v>-2.7834798993443988E-2</v>
      </c>
    </row>
    <row r="3777" spans="1:3" x14ac:dyDescent="0.2">
      <c r="A3777" s="3">
        <v>40289</v>
      </c>
      <c r="B3777" s="2">
        <v>3.8250000000000002</v>
      </c>
      <c r="C3777" s="2">
        <f t="shared" si="58"/>
        <v>-6.5146810211936419E-3</v>
      </c>
    </row>
    <row r="3778" spans="1:3" x14ac:dyDescent="0.2">
      <c r="A3778" s="3">
        <v>40288</v>
      </c>
      <c r="B3778" s="2">
        <v>3.85</v>
      </c>
      <c r="C3778" s="2">
        <f t="shared" si="58"/>
        <v>1.7027261410280801E-2</v>
      </c>
    </row>
    <row r="3779" spans="1:3" x14ac:dyDescent="0.2">
      <c r="A3779" s="3">
        <v>40287</v>
      </c>
      <c r="B3779" s="2">
        <v>3.7850000000000001</v>
      </c>
      <c r="C3779" s="2">
        <f t="shared" ref="C3779:C3842" si="59">+LN(B3779/B3780)</f>
        <v>-2.9930666246188536E-2</v>
      </c>
    </row>
    <row r="3780" spans="1:3" x14ac:dyDescent="0.2">
      <c r="A3780" s="3">
        <v>40284</v>
      </c>
      <c r="B3780" s="2">
        <v>3.9</v>
      </c>
      <c r="C3780" s="2">
        <f t="shared" si="59"/>
        <v>1.3552966404703449E-2</v>
      </c>
    </row>
    <row r="3781" spans="1:3" x14ac:dyDescent="0.2">
      <c r="A3781" s="3">
        <v>40283</v>
      </c>
      <c r="B3781" s="2">
        <v>3.8475000000000001</v>
      </c>
      <c r="C3781" s="2">
        <f t="shared" si="59"/>
        <v>8.4829219944770641E-3</v>
      </c>
    </row>
    <row r="3782" spans="1:3" x14ac:dyDescent="0.2">
      <c r="A3782" s="3">
        <v>40282</v>
      </c>
      <c r="B3782" s="2">
        <v>3.8149999999999999</v>
      </c>
      <c r="C3782" s="2">
        <f t="shared" si="59"/>
        <v>3.2636929313022527E-2</v>
      </c>
    </row>
    <row r="3783" spans="1:3" x14ac:dyDescent="0.2">
      <c r="A3783" s="3">
        <v>40281</v>
      </c>
      <c r="B3783" s="2">
        <v>3.6924999999999999</v>
      </c>
      <c r="C3783" s="2">
        <f t="shared" si="59"/>
        <v>-1.2113203293406948E-2</v>
      </c>
    </row>
    <row r="3784" spans="1:3" x14ac:dyDescent="0.2">
      <c r="A3784" s="3">
        <v>40280</v>
      </c>
      <c r="B3784" s="2">
        <v>3.7374999999999998</v>
      </c>
      <c r="C3784" s="2">
        <f t="shared" si="59"/>
        <v>-1.6584128015535295E-2</v>
      </c>
    </row>
    <row r="3785" spans="1:3" x14ac:dyDescent="0.2">
      <c r="A3785" s="3">
        <v>40277</v>
      </c>
      <c r="B3785" s="2">
        <v>3.8</v>
      </c>
      <c r="C3785" s="2">
        <f t="shared" si="59"/>
        <v>2.2622388562617647E-2</v>
      </c>
    </row>
    <row r="3786" spans="1:3" x14ac:dyDescent="0.2">
      <c r="A3786" s="3">
        <v>40276</v>
      </c>
      <c r="B3786" s="2">
        <v>3.7149999999999999</v>
      </c>
      <c r="C3786" s="2">
        <f t="shared" si="59"/>
        <v>-9.3771618125970436E-3</v>
      </c>
    </row>
    <row r="3787" spans="1:3" x14ac:dyDescent="0.2">
      <c r="A3787" s="3">
        <v>40275</v>
      </c>
      <c r="B3787" s="2">
        <v>3.75</v>
      </c>
      <c r="C3787" s="2">
        <f t="shared" si="59"/>
        <v>-7.3065751824381393E-3</v>
      </c>
    </row>
    <row r="3788" spans="1:3" x14ac:dyDescent="0.2">
      <c r="A3788" s="3">
        <v>40274</v>
      </c>
      <c r="B3788" s="2">
        <v>3.7774999999999999</v>
      </c>
      <c r="C3788" s="2">
        <f t="shared" si="59"/>
        <v>1.3324647508001093E-2</v>
      </c>
    </row>
    <row r="3789" spans="1:3" x14ac:dyDescent="0.2">
      <c r="A3789" s="3">
        <v>40269</v>
      </c>
      <c r="B3789" s="2">
        <v>3.7275</v>
      </c>
      <c r="C3789" s="2">
        <f t="shared" si="59"/>
        <v>1.9641674455014652E-2</v>
      </c>
    </row>
    <row r="3790" spans="1:3" x14ac:dyDescent="0.2">
      <c r="A3790" s="3">
        <v>40268</v>
      </c>
      <c r="B3790" s="2">
        <v>3.6549999999999998</v>
      </c>
      <c r="C3790" s="2">
        <f t="shared" si="59"/>
        <v>-1.762757508331346E-2</v>
      </c>
    </row>
    <row r="3791" spans="1:3" x14ac:dyDescent="0.2">
      <c r="A3791" s="3">
        <v>40267</v>
      </c>
      <c r="B3791" s="2">
        <v>3.72</v>
      </c>
      <c r="C3791" s="2">
        <f t="shared" si="59"/>
        <v>-2.193507686625568E-2</v>
      </c>
    </row>
    <row r="3792" spans="1:3" x14ac:dyDescent="0.2">
      <c r="A3792" s="3">
        <v>40266</v>
      </c>
      <c r="B3792" s="2">
        <v>3.8025000000000002</v>
      </c>
      <c r="C3792" s="2">
        <f t="shared" si="59"/>
        <v>3.2927260569759068E-3</v>
      </c>
    </row>
    <row r="3793" spans="1:3" x14ac:dyDescent="0.2">
      <c r="A3793" s="3">
        <v>40263</v>
      </c>
      <c r="B3793" s="2">
        <v>3.79</v>
      </c>
      <c r="C3793" s="2">
        <f t="shared" si="59"/>
        <v>-3.3725634708036203E-2</v>
      </c>
    </row>
    <row r="3794" spans="1:3" x14ac:dyDescent="0.2">
      <c r="A3794" s="3">
        <v>40261</v>
      </c>
      <c r="B3794" s="2">
        <v>3.92</v>
      </c>
      <c r="C3794" s="2">
        <f t="shared" si="59"/>
        <v>-5.7233860526852212E-3</v>
      </c>
    </row>
    <row r="3795" spans="1:3" x14ac:dyDescent="0.2">
      <c r="A3795" s="3">
        <v>40260</v>
      </c>
      <c r="B3795" s="2">
        <v>3.9424999999999999</v>
      </c>
      <c r="C3795" s="2">
        <f t="shared" si="59"/>
        <v>1.0838486719455614E-2</v>
      </c>
    </row>
    <row r="3796" spans="1:3" x14ac:dyDescent="0.2">
      <c r="A3796" s="3">
        <v>40259</v>
      </c>
      <c r="B3796" s="2">
        <v>3.9</v>
      </c>
      <c r="C3796" s="2">
        <f t="shared" si="59"/>
        <v>-2.4692612590371522E-2</v>
      </c>
    </row>
    <row r="3797" spans="1:3" x14ac:dyDescent="0.2">
      <c r="A3797" s="3">
        <v>40256</v>
      </c>
      <c r="B3797" s="2">
        <v>3.9975000000000001</v>
      </c>
      <c r="C3797" s="2">
        <f t="shared" si="59"/>
        <v>1.2515646189417318E-3</v>
      </c>
    </row>
    <row r="3798" spans="1:3" x14ac:dyDescent="0.2">
      <c r="A3798" s="3">
        <v>40255</v>
      </c>
      <c r="B3798" s="2">
        <v>3.9925000000000002</v>
      </c>
      <c r="C3798" s="2">
        <f t="shared" si="59"/>
        <v>3.7641198772256921E-3</v>
      </c>
    </row>
    <row r="3799" spans="1:3" x14ac:dyDescent="0.2">
      <c r="A3799" s="3">
        <v>40254</v>
      </c>
      <c r="B3799" s="2">
        <v>3.9775</v>
      </c>
      <c r="C3799" s="2">
        <f t="shared" si="59"/>
        <v>1.5199785981765966E-2</v>
      </c>
    </row>
    <row r="3800" spans="1:3" x14ac:dyDescent="0.2">
      <c r="A3800" s="3">
        <v>40253</v>
      </c>
      <c r="B3800" s="2">
        <v>3.9175</v>
      </c>
      <c r="C3800" s="2">
        <f t="shared" si="59"/>
        <v>3.1110739760248054E-2</v>
      </c>
    </row>
    <row r="3801" spans="1:3" x14ac:dyDescent="0.2">
      <c r="A3801" s="3">
        <v>40252</v>
      </c>
      <c r="B3801" s="2">
        <v>3.7974999999999999</v>
      </c>
      <c r="C3801" s="2">
        <f t="shared" si="59"/>
        <v>5.9425727868028513E-3</v>
      </c>
    </row>
    <row r="3802" spans="1:3" x14ac:dyDescent="0.2">
      <c r="A3802" s="3">
        <v>40249</v>
      </c>
      <c r="B3802" s="2">
        <v>3.7749999999999999</v>
      </c>
      <c r="C3802" s="2">
        <f t="shared" si="59"/>
        <v>2.8208720634509157E-2</v>
      </c>
    </row>
    <row r="3803" spans="1:3" x14ac:dyDescent="0.2">
      <c r="A3803" s="3">
        <v>40248</v>
      </c>
      <c r="B3803" s="2">
        <v>3.67</v>
      </c>
      <c r="C3803" s="2">
        <f t="shared" si="59"/>
        <v>6.8143103147919428E-4</v>
      </c>
    </row>
    <row r="3804" spans="1:3" x14ac:dyDescent="0.2">
      <c r="A3804" s="3">
        <v>40247</v>
      </c>
      <c r="B3804" s="2">
        <v>3.6675</v>
      </c>
      <c r="C3804" s="2">
        <f t="shared" si="59"/>
        <v>6.1538655743782859E-3</v>
      </c>
    </row>
    <row r="3805" spans="1:3" x14ac:dyDescent="0.2">
      <c r="A3805" s="3">
        <v>40246</v>
      </c>
      <c r="B3805" s="2">
        <v>3.645</v>
      </c>
      <c r="C3805" s="2">
        <f t="shared" si="59"/>
        <v>1.3812374287611371E-2</v>
      </c>
    </row>
    <row r="3806" spans="1:3" x14ac:dyDescent="0.2">
      <c r="A3806" s="3">
        <v>40245</v>
      </c>
      <c r="B3806" s="2">
        <v>3.5950000000000002</v>
      </c>
      <c r="C3806" s="2">
        <f t="shared" si="59"/>
        <v>-1.3898542890543016E-3</v>
      </c>
    </row>
    <row r="3807" spans="1:3" x14ac:dyDescent="0.2">
      <c r="A3807" s="3">
        <v>40242</v>
      </c>
      <c r="B3807" s="2">
        <v>3.6</v>
      </c>
      <c r="C3807" s="2">
        <f t="shared" si="59"/>
        <v>-1.789448987655053E-2</v>
      </c>
    </row>
    <row r="3808" spans="1:3" x14ac:dyDescent="0.2">
      <c r="A3808" s="3">
        <v>40241</v>
      </c>
      <c r="B3808" s="2">
        <v>3.665</v>
      </c>
      <c r="C3808" s="2">
        <f t="shared" si="59"/>
        <v>-1.6909432318141654E-2</v>
      </c>
    </row>
    <row r="3809" spans="1:3" x14ac:dyDescent="0.2">
      <c r="A3809" s="3">
        <v>40240</v>
      </c>
      <c r="B3809" s="2">
        <v>3.7275</v>
      </c>
      <c r="C3809" s="2">
        <f t="shared" si="59"/>
        <v>8.7572132565914788E-3</v>
      </c>
    </row>
    <row r="3810" spans="1:3" x14ac:dyDescent="0.2">
      <c r="A3810" s="3">
        <v>40239</v>
      </c>
      <c r="B3810" s="2">
        <v>3.6949999999999998</v>
      </c>
      <c r="C3810" s="2">
        <f t="shared" si="59"/>
        <v>2.710028758865158E-3</v>
      </c>
    </row>
    <row r="3811" spans="1:3" x14ac:dyDescent="0.2">
      <c r="A3811" s="3">
        <v>40238</v>
      </c>
      <c r="B3811" s="2">
        <v>3.6850000000000001</v>
      </c>
      <c r="C3811" s="2">
        <f t="shared" si="59"/>
        <v>-1.3559324111358441E-3</v>
      </c>
    </row>
    <row r="3812" spans="1:3" x14ac:dyDescent="0.2">
      <c r="A3812" s="3">
        <v>40235</v>
      </c>
      <c r="B3812" s="2">
        <v>3.69</v>
      </c>
      <c r="C3812" s="2">
        <f t="shared" si="59"/>
        <v>-1.4127379259210565E-2</v>
      </c>
    </row>
    <row r="3813" spans="1:3" x14ac:dyDescent="0.2">
      <c r="A3813" s="3">
        <v>40234</v>
      </c>
      <c r="B3813" s="2">
        <v>3.7425000000000002</v>
      </c>
      <c r="C3813" s="2">
        <f t="shared" si="59"/>
        <v>1.6841085130806732E-2</v>
      </c>
    </row>
    <row r="3814" spans="1:3" x14ac:dyDescent="0.2">
      <c r="A3814" s="3">
        <v>40233</v>
      </c>
      <c r="B3814" s="2">
        <v>3.68</v>
      </c>
      <c r="C3814" s="2">
        <f t="shared" si="59"/>
        <v>5.4496047675646848E-3</v>
      </c>
    </row>
    <row r="3815" spans="1:3" x14ac:dyDescent="0.2">
      <c r="A3815" s="3">
        <v>40232</v>
      </c>
      <c r="B3815" s="2">
        <v>3.66</v>
      </c>
      <c r="C3815" s="2">
        <f t="shared" si="59"/>
        <v>4.4700178917906987E-2</v>
      </c>
    </row>
    <row r="3816" spans="1:3" x14ac:dyDescent="0.2">
      <c r="A3816" s="3">
        <v>40231</v>
      </c>
      <c r="B3816" s="2">
        <v>3.5</v>
      </c>
      <c r="C3816" s="2">
        <f t="shared" si="59"/>
        <v>1.8746042821055412E-2</v>
      </c>
    </row>
    <row r="3817" spans="1:3" x14ac:dyDescent="0.2">
      <c r="A3817" s="3">
        <v>40228</v>
      </c>
      <c r="B3817" s="2">
        <v>3.4350000000000001</v>
      </c>
      <c r="C3817" s="2">
        <f t="shared" si="59"/>
        <v>-7.2753731837697886E-4</v>
      </c>
    </row>
    <row r="3818" spans="1:3" x14ac:dyDescent="0.2">
      <c r="A3818" s="3">
        <v>40227</v>
      </c>
      <c r="B3818" s="2">
        <v>3.4375</v>
      </c>
      <c r="C3818" s="2">
        <f t="shared" si="59"/>
        <v>3.5532975768464169E-2</v>
      </c>
    </row>
    <row r="3819" spans="1:3" x14ac:dyDescent="0.2">
      <c r="A3819" s="3">
        <v>40226</v>
      </c>
      <c r="B3819" s="2">
        <v>3.3174999999999999</v>
      </c>
      <c r="C3819" s="2">
        <f t="shared" si="59"/>
        <v>3.138412953464273E-2</v>
      </c>
    </row>
    <row r="3820" spans="1:3" x14ac:dyDescent="0.2">
      <c r="A3820" s="3">
        <v>40225</v>
      </c>
      <c r="B3820" s="2">
        <v>3.2149999999999999</v>
      </c>
      <c r="C3820" s="2">
        <f t="shared" si="59"/>
        <v>2.2013467537178907E-2</v>
      </c>
    </row>
    <row r="3821" spans="1:3" x14ac:dyDescent="0.2">
      <c r="A3821" s="3">
        <v>40224</v>
      </c>
      <c r="B3821" s="2">
        <v>3.145</v>
      </c>
      <c r="C3821" s="2">
        <f t="shared" si="59"/>
        <v>-1.1067306639681673E-2</v>
      </c>
    </row>
    <row r="3822" spans="1:3" x14ac:dyDescent="0.2">
      <c r="A3822" s="3">
        <v>40221</v>
      </c>
      <c r="B3822" s="2">
        <v>3.18</v>
      </c>
      <c r="C3822" s="2">
        <f t="shared" si="59"/>
        <v>-3.1724130402728694E-2</v>
      </c>
    </row>
    <row r="3823" spans="1:3" x14ac:dyDescent="0.2">
      <c r="A3823" s="3">
        <v>40220</v>
      </c>
      <c r="B3823" s="2">
        <v>3.2825000000000002</v>
      </c>
      <c r="C3823" s="2">
        <f t="shared" si="59"/>
        <v>-5.9145099477009404E-2</v>
      </c>
    </row>
    <row r="3824" spans="1:3" x14ac:dyDescent="0.2">
      <c r="A3824" s="3">
        <v>40219</v>
      </c>
      <c r="B3824" s="2">
        <v>3.4824999999999999</v>
      </c>
      <c r="C3824" s="2">
        <f t="shared" si="59"/>
        <v>-1.0710562938181978E-2</v>
      </c>
    </row>
    <row r="3825" spans="1:3" x14ac:dyDescent="0.2">
      <c r="A3825" s="3">
        <v>40218</v>
      </c>
      <c r="B3825" s="2">
        <v>3.52</v>
      </c>
      <c r="C3825" s="2">
        <f t="shared" si="59"/>
        <v>1.7192400540372771E-2</v>
      </c>
    </row>
    <row r="3826" spans="1:3" x14ac:dyDescent="0.2">
      <c r="A3826" s="3">
        <v>40214</v>
      </c>
      <c r="B3826" s="2">
        <v>3.46</v>
      </c>
      <c r="C3826" s="2">
        <f t="shared" si="59"/>
        <v>-3.8275402103377217E-2</v>
      </c>
    </row>
    <row r="3827" spans="1:3" x14ac:dyDescent="0.2">
      <c r="A3827" s="3">
        <v>40213</v>
      </c>
      <c r="B3827" s="2">
        <v>3.5950000000000002</v>
      </c>
      <c r="C3827" s="2">
        <f t="shared" si="59"/>
        <v>-1.2439690475639236E-2</v>
      </c>
    </row>
    <row r="3828" spans="1:3" x14ac:dyDescent="0.2">
      <c r="A3828" s="3">
        <v>40212</v>
      </c>
      <c r="B3828" s="2">
        <v>3.64</v>
      </c>
      <c r="C3828" s="2">
        <f t="shared" si="59"/>
        <v>-1.4996872751515691E-2</v>
      </c>
    </row>
    <row r="3829" spans="1:3" x14ac:dyDescent="0.2">
      <c r="A3829" s="3">
        <v>40211</v>
      </c>
      <c r="B3829" s="2">
        <v>3.6949999999999998</v>
      </c>
      <c r="C3829" s="2">
        <f t="shared" si="59"/>
        <v>4.0678022193255271E-3</v>
      </c>
    </row>
    <row r="3830" spans="1:3" x14ac:dyDescent="0.2">
      <c r="A3830" s="3">
        <v>40210</v>
      </c>
      <c r="B3830" s="2">
        <v>3.68</v>
      </c>
      <c r="C3830" s="2">
        <f t="shared" si="59"/>
        <v>-1.6172859245601072E-2</v>
      </c>
    </row>
    <row r="3831" spans="1:3" x14ac:dyDescent="0.2">
      <c r="A3831" s="3">
        <v>40207</v>
      </c>
      <c r="B3831" s="2">
        <v>3.74</v>
      </c>
      <c r="C3831" s="2">
        <f t="shared" si="59"/>
        <v>-3.3366730990393727E-3</v>
      </c>
    </row>
    <row r="3832" spans="1:3" x14ac:dyDescent="0.2">
      <c r="A3832" s="3">
        <v>40206</v>
      </c>
      <c r="B3832" s="2">
        <v>3.7524999999999999</v>
      </c>
      <c r="C3832" s="2">
        <f t="shared" si="59"/>
        <v>-1.2578782206860073E-2</v>
      </c>
    </row>
    <row r="3833" spans="1:3" x14ac:dyDescent="0.2">
      <c r="A3833" s="3">
        <v>40205</v>
      </c>
      <c r="B3833" s="2">
        <v>3.8</v>
      </c>
      <c r="C3833" s="2">
        <f t="shared" si="59"/>
        <v>9.9174366573459242E-3</v>
      </c>
    </row>
    <row r="3834" spans="1:3" x14ac:dyDescent="0.2">
      <c r="A3834" s="3">
        <v>40204</v>
      </c>
      <c r="B3834" s="2">
        <v>3.7625000000000002</v>
      </c>
      <c r="C3834" s="2">
        <f t="shared" si="59"/>
        <v>-6.6423117686278325E-4</v>
      </c>
    </row>
    <row r="3835" spans="1:3" x14ac:dyDescent="0.2">
      <c r="A3835" s="3">
        <v>40203</v>
      </c>
      <c r="B3835" s="2">
        <v>3.7650000000000001</v>
      </c>
      <c r="C3835" s="2">
        <f t="shared" si="59"/>
        <v>-6.6181578424780053E-3</v>
      </c>
    </row>
    <row r="3836" spans="1:3" x14ac:dyDescent="0.2">
      <c r="A3836" s="3">
        <v>40200</v>
      </c>
      <c r="B3836" s="2">
        <v>3.79</v>
      </c>
      <c r="C3836" s="2">
        <f t="shared" si="59"/>
        <v>-2.4113256946370072E-2</v>
      </c>
    </row>
    <row r="3837" spans="1:3" x14ac:dyDescent="0.2">
      <c r="A3837" s="3">
        <v>40199</v>
      </c>
      <c r="B3837" s="2">
        <v>3.8824999999999998</v>
      </c>
      <c r="C3837" s="2">
        <f t="shared" si="59"/>
        <v>-6.4370777890564255E-4</v>
      </c>
    </row>
    <row r="3838" spans="1:3" x14ac:dyDescent="0.2">
      <c r="A3838" s="3">
        <v>40198</v>
      </c>
      <c r="B3838" s="2">
        <v>3.8849999999999998</v>
      </c>
      <c r="C3838" s="2">
        <f t="shared" si="59"/>
        <v>1.0349380862003292E-2</v>
      </c>
    </row>
    <row r="3839" spans="1:3" x14ac:dyDescent="0.2">
      <c r="A3839" s="3">
        <v>40197</v>
      </c>
      <c r="B3839" s="2">
        <v>3.8450000000000002</v>
      </c>
      <c r="C3839" s="2">
        <f t="shared" si="59"/>
        <v>2.7019765645960918E-2</v>
      </c>
    </row>
    <row r="3840" spans="1:3" x14ac:dyDescent="0.2">
      <c r="A3840" s="3">
        <v>40196</v>
      </c>
      <c r="B3840" s="2">
        <v>3.7425000000000002</v>
      </c>
      <c r="C3840" s="2">
        <f t="shared" si="59"/>
        <v>-7.3211641482730187E-3</v>
      </c>
    </row>
    <row r="3841" spans="1:3" x14ac:dyDescent="0.2">
      <c r="A3841" s="3">
        <v>40193</v>
      </c>
      <c r="B3841" s="2">
        <v>3.77</v>
      </c>
      <c r="C3841" s="2">
        <f t="shared" si="59"/>
        <v>-2.2296005555373449E-2</v>
      </c>
    </row>
    <row r="3842" spans="1:3" x14ac:dyDescent="0.2">
      <c r="A3842" s="3">
        <v>40192</v>
      </c>
      <c r="B3842" s="2">
        <v>3.855</v>
      </c>
      <c r="C3842" s="2">
        <f t="shared" si="59"/>
        <v>3.6992328845570292E-2</v>
      </c>
    </row>
    <row r="3843" spans="1:3" x14ac:dyDescent="0.2">
      <c r="A3843" s="3">
        <v>40191</v>
      </c>
      <c r="B3843" s="2">
        <v>3.7149999999999999</v>
      </c>
      <c r="C3843" s="2">
        <f t="shared" ref="C3843:C3906" si="60">+LN(B3843/B3844)</f>
        <v>6.7317404090441182E-4</v>
      </c>
    </row>
    <row r="3844" spans="1:3" x14ac:dyDescent="0.2">
      <c r="A3844" s="3">
        <v>40190</v>
      </c>
      <c r="B3844" s="2">
        <v>3.7124999999999999</v>
      </c>
      <c r="C3844" s="2">
        <f t="shared" si="60"/>
        <v>-1.1382781087280068E-2</v>
      </c>
    </row>
    <row r="3845" spans="1:3" x14ac:dyDescent="0.2">
      <c r="A3845" s="3">
        <v>40189</v>
      </c>
      <c r="B3845" s="2">
        <v>3.7549999999999999</v>
      </c>
      <c r="C3845" s="2">
        <f t="shared" si="60"/>
        <v>-2.2384081383537386E-2</v>
      </c>
    </row>
    <row r="3846" spans="1:3" x14ac:dyDescent="0.2">
      <c r="A3846" s="3">
        <v>40185</v>
      </c>
      <c r="B3846" s="2">
        <v>3.84</v>
      </c>
      <c r="C3846" s="2">
        <f t="shared" si="60"/>
        <v>-6.5082983097836968E-4</v>
      </c>
    </row>
    <row r="3847" spans="1:3" x14ac:dyDescent="0.2">
      <c r="A3847" s="3">
        <v>40184</v>
      </c>
      <c r="B3847" s="2">
        <v>3.8424999999999998</v>
      </c>
      <c r="C3847" s="2">
        <f t="shared" si="60"/>
        <v>4.5931534364135024E-2</v>
      </c>
    </row>
    <row r="3848" spans="1:3" x14ac:dyDescent="0.2">
      <c r="A3848" s="3">
        <v>40183</v>
      </c>
      <c r="B3848" s="2">
        <v>3.67</v>
      </c>
      <c r="C3848" s="2">
        <f t="shared" si="60"/>
        <v>-1.0840214552864833E-2</v>
      </c>
    </row>
    <row r="3849" spans="1:3" x14ac:dyDescent="0.2">
      <c r="A3849" s="3">
        <v>40177</v>
      </c>
      <c r="B3849" s="2">
        <v>3.71</v>
      </c>
      <c r="C3849" s="2">
        <f t="shared" si="60"/>
        <v>-1.0723963362975724E-2</v>
      </c>
    </row>
    <row r="3850" spans="1:3" x14ac:dyDescent="0.2">
      <c r="A3850" s="3">
        <v>40176</v>
      </c>
      <c r="B3850" s="2">
        <v>3.75</v>
      </c>
      <c r="C3850" s="2">
        <f t="shared" si="60"/>
        <v>1.0723963362975642E-2</v>
      </c>
    </row>
    <row r="3851" spans="1:3" x14ac:dyDescent="0.2">
      <c r="A3851" s="3">
        <v>40175</v>
      </c>
      <c r="B3851" s="2">
        <v>3.71</v>
      </c>
      <c r="C3851" s="2">
        <f t="shared" si="60"/>
        <v>-4.0349752121791056E-3</v>
      </c>
    </row>
    <row r="3852" spans="1:3" x14ac:dyDescent="0.2">
      <c r="A3852" s="3">
        <v>40170</v>
      </c>
      <c r="B3852" s="2">
        <v>3.7250000000000001</v>
      </c>
      <c r="C3852" s="2">
        <f t="shared" si="60"/>
        <v>-7.3554326939571099E-3</v>
      </c>
    </row>
    <row r="3853" spans="1:3" x14ac:dyDescent="0.2">
      <c r="A3853" s="3">
        <v>40169</v>
      </c>
      <c r="B3853" s="2">
        <v>3.7524999999999999</v>
      </c>
      <c r="C3853" s="2">
        <f t="shared" si="60"/>
        <v>6.0140508697558532E-3</v>
      </c>
    </row>
    <row r="3854" spans="1:3" x14ac:dyDescent="0.2">
      <c r="A3854" s="3">
        <v>40168</v>
      </c>
      <c r="B3854" s="2">
        <v>3.73</v>
      </c>
      <c r="C3854" s="2">
        <f t="shared" si="60"/>
        <v>2.3737974568501317E-2</v>
      </c>
    </row>
    <row r="3855" spans="1:3" x14ac:dyDescent="0.2">
      <c r="A3855" s="3">
        <v>40165</v>
      </c>
      <c r="B3855" s="2">
        <v>3.6425000000000001</v>
      </c>
      <c r="C3855" s="2">
        <f t="shared" si="60"/>
        <v>-2.9752025438257043E-2</v>
      </c>
    </row>
    <row r="3856" spans="1:3" x14ac:dyDescent="0.2">
      <c r="A3856" s="3">
        <v>40164</v>
      </c>
      <c r="B3856" s="2">
        <v>3.7524999999999999</v>
      </c>
      <c r="C3856" s="2">
        <f t="shared" si="60"/>
        <v>-2.9539397513905372E-2</v>
      </c>
    </row>
    <row r="3857" spans="1:3" x14ac:dyDescent="0.2">
      <c r="A3857" s="3">
        <v>40163</v>
      </c>
      <c r="B3857" s="2">
        <v>3.8650000000000002</v>
      </c>
      <c r="C3857" s="2">
        <f t="shared" si="60"/>
        <v>6.5487656201705727E-2</v>
      </c>
    </row>
    <row r="3858" spans="1:3" x14ac:dyDescent="0.2">
      <c r="A3858" s="3">
        <v>40161</v>
      </c>
      <c r="B3858" s="2">
        <v>3.62</v>
      </c>
      <c r="C3858" s="2">
        <f t="shared" si="60"/>
        <v>5.9761734542254218E-2</v>
      </c>
    </row>
    <row r="3859" spans="1:3" x14ac:dyDescent="0.2">
      <c r="A3859" s="3">
        <v>40158</v>
      </c>
      <c r="B3859" s="2">
        <v>3.41</v>
      </c>
      <c r="C3859" s="2">
        <f t="shared" si="60"/>
        <v>2.7500804071200032E-2</v>
      </c>
    </row>
    <row r="3860" spans="1:3" x14ac:dyDescent="0.2">
      <c r="A3860" s="3">
        <v>40157</v>
      </c>
      <c r="B3860" s="2">
        <v>3.3174999999999999</v>
      </c>
      <c r="C3860" s="2">
        <f t="shared" si="60"/>
        <v>1.0606160029411298E-2</v>
      </c>
    </row>
    <row r="3861" spans="1:3" x14ac:dyDescent="0.2">
      <c r="A3861" s="3">
        <v>40156</v>
      </c>
      <c r="B3861" s="2">
        <v>3.2825000000000002</v>
      </c>
      <c r="C3861" s="2">
        <f t="shared" si="60"/>
        <v>-1.7365479793794776E-2</v>
      </c>
    </row>
    <row r="3862" spans="1:3" x14ac:dyDescent="0.2">
      <c r="A3862" s="3">
        <v>40155</v>
      </c>
      <c r="B3862" s="2">
        <v>3.34</v>
      </c>
      <c r="C3862" s="2">
        <f t="shared" si="60"/>
        <v>-1.1904902506318427E-2</v>
      </c>
    </row>
    <row r="3863" spans="1:3" x14ac:dyDescent="0.2">
      <c r="A3863" s="3">
        <v>40154</v>
      </c>
      <c r="B3863" s="2">
        <v>3.38</v>
      </c>
      <c r="C3863" s="2">
        <f t="shared" si="60"/>
        <v>-2.9542118974315201E-3</v>
      </c>
    </row>
    <row r="3864" spans="1:3" x14ac:dyDescent="0.2">
      <c r="A3864" s="3">
        <v>40151</v>
      </c>
      <c r="B3864" s="2">
        <v>3.39</v>
      </c>
      <c r="C3864" s="2">
        <f t="shared" si="60"/>
        <v>-2.9455102297568031E-3</v>
      </c>
    </row>
    <row r="3865" spans="1:3" x14ac:dyDescent="0.2">
      <c r="A3865" s="3">
        <v>40150</v>
      </c>
      <c r="B3865" s="2">
        <v>3.4</v>
      </c>
      <c r="C3865" s="2">
        <f t="shared" si="60"/>
        <v>-1.8215439891341216E-2</v>
      </c>
    </row>
    <row r="3866" spans="1:3" x14ac:dyDescent="0.2">
      <c r="A3866" s="3">
        <v>40149</v>
      </c>
      <c r="B3866" s="2">
        <v>3.4624999999999999</v>
      </c>
      <c r="C3866" s="2">
        <f t="shared" si="60"/>
        <v>4.8068403041022403E-2</v>
      </c>
    </row>
    <row r="3867" spans="1:3" x14ac:dyDescent="0.2">
      <c r="A3867" s="3">
        <v>40147</v>
      </c>
      <c r="B3867" s="2">
        <v>3.3</v>
      </c>
      <c r="C3867" s="2">
        <f t="shared" si="60"/>
        <v>-2.0990275891835858E-2</v>
      </c>
    </row>
    <row r="3868" spans="1:3" x14ac:dyDescent="0.2">
      <c r="A3868" s="3">
        <v>40144</v>
      </c>
      <c r="B3868" s="2">
        <v>3.37</v>
      </c>
      <c r="C3868" s="2">
        <f t="shared" si="60"/>
        <v>2.099027589183583E-2</v>
      </c>
    </row>
    <row r="3869" spans="1:3" x14ac:dyDescent="0.2">
      <c r="A3869" s="3">
        <v>40143</v>
      </c>
      <c r="B3869" s="2">
        <v>3.3</v>
      </c>
      <c r="C3869" s="2">
        <f t="shared" si="60"/>
        <v>-2.7644644254452677E-2</v>
      </c>
    </row>
    <row r="3870" spans="1:3" x14ac:dyDescent="0.2">
      <c r="A3870" s="3">
        <v>40142</v>
      </c>
      <c r="B3870" s="2">
        <v>3.3925000000000001</v>
      </c>
      <c r="C3870" s="2">
        <f t="shared" si="60"/>
        <v>-2.6183313944936479E-2</v>
      </c>
    </row>
    <row r="3871" spans="1:3" x14ac:dyDescent="0.2">
      <c r="A3871" s="3">
        <v>40141</v>
      </c>
      <c r="B3871" s="2">
        <v>3.4824999999999999</v>
      </c>
      <c r="C3871" s="2">
        <f t="shared" si="60"/>
        <v>-1.2838978073008265E-2</v>
      </c>
    </row>
    <row r="3872" spans="1:3" x14ac:dyDescent="0.2">
      <c r="A3872" s="3">
        <v>40140</v>
      </c>
      <c r="B3872" s="2">
        <v>3.5274999999999999</v>
      </c>
      <c r="C3872" s="2">
        <f t="shared" si="60"/>
        <v>3.4610520156281202E-2</v>
      </c>
    </row>
    <row r="3873" spans="1:3" x14ac:dyDescent="0.2">
      <c r="A3873" s="3">
        <v>40137</v>
      </c>
      <c r="B3873" s="2">
        <v>3.4075000000000002</v>
      </c>
      <c r="C3873" s="2">
        <f t="shared" si="60"/>
        <v>-1.3119721712759437E-2</v>
      </c>
    </row>
    <row r="3874" spans="1:3" x14ac:dyDescent="0.2">
      <c r="A3874" s="3">
        <v>40136</v>
      </c>
      <c r="B3874" s="2">
        <v>3.4525000000000001</v>
      </c>
      <c r="C3874" s="2">
        <f t="shared" si="60"/>
        <v>-1.5091914185243192E-2</v>
      </c>
    </row>
    <row r="3875" spans="1:3" x14ac:dyDescent="0.2">
      <c r="A3875" s="3">
        <v>40135</v>
      </c>
      <c r="B3875" s="2">
        <v>3.5049999999999999</v>
      </c>
      <c r="C3875" s="2">
        <f t="shared" si="60"/>
        <v>4.2887842722174989E-3</v>
      </c>
    </row>
    <row r="3876" spans="1:3" x14ac:dyDescent="0.2">
      <c r="A3876" s="3">
        <v>40134</v>
      </c>
      <c r="B3876" s="2">
        <v>3.49</v>
      </c>
      <c r="C3876" s="2">
        <f t="shared" si="60"/>
        <v>-4.5510128428381598E-2</v>
      </c>
    </row>
    <row r="3877" spans="1:3" x14ac:dyDescent="0.2">
      <c r="A3877" s="3">
        <v>40133</v>
      </c>
      <c r="B3877" s="2">
        <v>3.6524999999999999</v>
      </c>
      <c r="C3877" s="2">
        <f t="shared" si="60"/>
        <v>-3.8931090845073436E-2</v>
      </c>
    </row>
    <row r="3878" spans="1:3" x14ac:dyDescent="0.2">
      <c r="A3878" s="3">
        <v>40130</v>
      </c>
      <c r="B3878" s="2">
        <v>3.7974999999999999</v>
      </c>
      <c r="C3878" s="2">
        <f t="shared" si="60"/>
        <v>-1.1780240942822949E-2</v>
      </c>
    </row>
    <row r="3879" spans="1:3" x14ac:dyDescent="0.2">
      <c r="A3879" s="3">
        <v>40129</v>
      </c>
      <c r="B3879" s="2">
        <v>3.8424999999999998</v>
      </c>
      <c r="C3879" s="2">
        <f t="shared" si="60"/>
        <v>-7.1313106110766139E-3</v>
      </c>
    </row>
    <row r="3880" spans="1:3" x14ac:dyDescent="0.2">
      <c r="A3880" s="3">
        <v>40128</v>
      </c>
      <c r="B3880" s="2">
        <v>3.87</v>
      </c>
      <c r="C3880" s="2">
        <f t="shared" si="60"/>
        <v>2.286934036131642E-2</v>
      </c>
    </row>
    <row r="3881" spans="1:3" x14ac:dyDescent="0.2">
      <c r="A3881" s="3">
        <v>40127</v>
      </c>
      <c r="B3881" s="2">
        <v>3.7825000000000002</v>
      </c>
      <c r="C3881" s="2">
        <f t="shared" si="60"/>
        <v>-5.9308246332752486E-3</v>
      </c>
    </row>
    <row r="3882" spans="1:3" x14ac:dyDescent="0.2">
      <c r="A3882" s="3">
        <v>40126</v>
      </c>
      <c r="B3882" s="2">
        <v>3.8050000000000002</v>
      </c>
      <c r="C3882" s="2">
        <f t="shared" si="60"/>
        <v>-7.8012909070552571E-3</v>
      </c>
    </row>
    <row r="3883" spans="1:3" x14ac:dyDescent="0.2">
      <c r="A3883" s="3">
        <v>40123</v>
      </c>
      <c r="B3883" s="2">
        <v>3.8348</v>
      </c>
      <c r="C3883" s="2">
        <f t="shared" si="60"/>
        <v>6.2655798206568997E-2</v>
      </c>
    </row>
    <row r="3884" spans="1:3" x14ac:dyDescent="0.2">
      <c r="A3884" s="3">
        <v>40122</v>
      </c>
      <c r="B3884" s="2">
        <v>3.6019000000000001</v>
      </c>
      <c r="C3884" s="2">
        <f t="shared" si="60"/>
        <v>-1.4196756846310953E-2</v>
      </c>
    </row>
    <row r="3885" spans="1:3" x14ac:dyDescent="0.2">
      <c r="A3885" s="3">
        <v>40121</v>
      </c>
      <c r="B3885" s="2">
        <v>3.6534</v>
      </c>
      <c r="C3885" s="2">
        <f t="shared" si="60"/>
        <v>6.0622911082692667E-2</v>
      </c>
    </row>
    <row r="3886" spans="1:3" x14ac:dyDescent="0.2">
      <c r="A3886" s="3">
        <v>40120</v>
      </c>
      <c r="B3886" s="2">
        <v>3.4384999999999999</v>
      </c>
      <c r="C3886" s="2">
        <f t="shared" si="60"/>
        <v>-4.0830137572748185E-2</v>
      </c>
    </row>
    <row r="3887" spans="1:3" x14ac:dyDescent="0.2">
      <c r="A3887" s="3">
        <v>40119</v>
      </c>
      <c r="B3887" s="2">
        <v>3.5817999999999999</v>
      </c>
      <c r="C3887" s="2">
        <f t="shared" si="60"/>
        <v>-3.8019478251248323E-2</v>
      </c>
    </row>
    <row r="3888" spans="1:3" x14ac:dyDescent="0.2">
      <c r="A3888" s="3">
        <v>40116</v>
      </c>
      <c r="B3888" s="2">
        <v>3.7206000000000001</v>
      </c>
      <c r="C3888" s="2">
        <f t="shared" si="60"/>
        <v>-7.1773205805247993E-3</v>
      </c>
    </row>
    <row r="3889" spans="1:3" x14ac:dyDescent="0.2">
      <c r="A3889" s="3">
        <v>40115</v>
      </c>
      <c r="B3889" s="2">
        <v>3.7473999999999998</v>
      </c>
      <c r="C3889" s="2">
        <f t="shared" si="60"/>
        <v>-2.3987857660464551E-3</v>
      </c>
    </row>
    <row r="3890" spans="1:3" x14ac:dyDescent="0.2">
      <c r="A3890" s="3">
        <v>40114</v>
      </c>
      <c r="B3890" s="2">
        <v>3.7564000000000002</v>
      </c>
      <c r="C3890" s="2">
        <f t="shared" si="60"/>
        <v>-4.8835799527715433E-2</v>
      </c>
    </row>
    <row r="3891" spans="1:3" x14ac:dyDescent="0.2">
      <c r="A3891" s="3">
        <v>40113</v>
      </c>
      <c r="B3891" s="2">
        <v>3.9443999999999999</v>
      </c>
      <c r="C3891" s="2">
        <f t="shared" si="60"/>
        <v>9.6806177107234964E-3</v>
      </c>
    </row>
    <row r="3892" spans="1:3" x14ac:dyDescent="0.2">
      <c r="A3892" s="3">
        <v>40112</v>
      </c>
      <c r="B3892" s="2">
        <v>3.9064000000000001</v>
      </c>
      <c r="C3892" s="2">
        <f t="shared" si="60"/>
        <v>-2.4327916196074214E-2</v>
      </c>
    </row>
    <row r="3893" spans="1:3" x14ac:dyDescent="0.2">
      <c r="A3893" s="3">
        <v>40109</v>
      </c>
      <c r="B3893" s="2">
        <v>4.0026000000000002</v>
      </c>
      <c r="C3893" s="2">
        <f t="shared" si="60"/>
        <v>-1.1130549694034117E-2</v>
      </c>
    </row>
    <row r="3894" spans="1:3" x14ac:dyDescent="0.2">
      <c r="A3894" s="3">
        <v>40108</v>
      </c>
      <c r="B3894" s="2">
        <v>4.0473999999999997</v>
      </c>
      <c r="C3894" s="2">
        <f t="shared" si="60"/>
        <v>1.1124434110164881E-3</v>
      </c>
    </row>
    <row r="3895" spans="1:3" x14ac:dyDescent="0.2">
      <c r="A3895" s="3">
        <v>40107</v>
      </c>
      <c r="B3895" s="2">
        <v>4.0429000000000004</v>
      </c>
      <c r="C3895" s="2">
        <f t="shared" si="60"/>
        <v>3.3199574619764954E-3</v>
      </c>
    </row>
    <row r="3896" spans="1:3" x14ac:dyDescent="0.2">
      <c r="A3896" s="3">
        <v>40106</v>
      </c>
      <c r="B3896" s="2">
        <v>4.0294999999999996</v>
      </c>
      <c r="C3896" s="2">
        <f t="shared" si="60"/>
        <v>-1.1161407495911115E-3</v>
      </c>
    </row>
    <row r="3897" spans="1:3" x14ac:dyDescent="0.2">
      <c r="A3897" s="3">
        <v>40105</v>
      </c>
      <c r="B3897" s="2">
        <v>4.0339999999999998</v>
      </c>
      <c r="C3897" s="2">
        <f t="shared" si="60"/>
        <v>-2.7725535138584021E-3</v>
      </c>
    </row>
    <row r="3898" spans="1:3" x14ac:dyDescent="0.2">
      <c r="A3898" s="3">
        <v>40102</v>
      </c>
      <c r="B3898" s="2">
        <v>4.0452000000000004</v>
      </c>
      <c r="C3898" s="2">
        <f t="shared" si="60"/>
        <v>-6.0628651520733268E-3</v>
      </c>
    </row>
    <row r="3899" spans="1:3" x14ac:dyDescent="0.2">
      <c r="A3899" s="3">
        <v>40101</v>
      </c>
      <c r="B3899" s="2">
        <v>4.0697999999999999</v>
      </c>
      <c r="C3899" s="2">
        <f t="shared" si="60"/>
        <v>9.9515594155229602E-3</v>
      </c>
    </row>
    <row r="3900" spans="1:3" x14ac:dyDescent="0.2">
      <c r="A3900" s="3">
        <v>40099</v>
      </c>
      <c r="B3900" s="2">
        <v>4.0294999999999996</v>
      </c>
      <c r="C3900" s="2">
        <f t="shared" si="60"/>
        <v>-2.1992394114130277E-2</v>
      </c>
    </row>
    <row r="3901" spans="1:3" x14ac:dyDescent="0.2">
      <c r="A3901" s="3">
        <v>40098</v>
      </c>
      <c r="B3901" s="2">
        <v>4.1191000000000004</v>
      </c>
      <c r="C3901" s="2">
        <f t="shared" si="60"/>
        <v>1.0395915775730688E-2</v>
      </c>
    </row>
    <row r="3902" spans="1:3" x14ac:dyDescent="0.2">
      <c r="A3902" s="3">
        <v>40095</v>
      </c>
      <c r="B3902" s="2">
        <v>4.0765000000000002</v>
      </c>
      <c r="C3902" s="2">
        <f t="shared" si="60"/>
        <v>1.3807631895785584E-2</v>
      </c>
    </row>
    <row r="3903" spans="1:3" x14ac:dyDescent="0.2">
      <c r="A3903" s="3">
        <v>40094</v>
      </c>
      <c r="B3903" s="2">
        <v>4.0206</v>
      </c>
      <c r="C3903" s="2">
        <f t="shared" si="60"/>
        <v>1.065196479326249E-2</v>
      </c>
    </row>
    <row r="3904" spans="1:3" x14ac:dyDescent="0.2">
      <c r="A3904" s="3">
        <v>40093</v>
      </c>
      <c r="B3904" s="2">
        <v>3.9780000000000002</v>
      </c>
      <c r="C3904" s="2">
        <f t="shared" si="60"/>
        <v>8.4823289557435753E-3</v>
      </c>
    </row>
    <row r="3905" spans="1:3" x14ac:dyDescent="0.2">
      <c r="A3905" s="3">
        <v>40092</v>
      </c>
      <c r="B3905" s="2">
        <v>3.9443999999999999</v>
      </c>
      <c r="C3905" s="2">
        <f t="shared" si="60"/>
        <v>2.2381245699861222E-2</v>
      </c>
    </row>
    <row r="3906" spans="1:3" x14ac:dyDescent="0.2">
      <c r="A3906" s="3">
        <v>40091</v>
      </c>
      <c r="B3906" s="2">
        <v>3.8571</v>
      </c>
      <c r="C3906" s="2">
        <f t="shared" si="60"/>
        <v>-1.8418429966721994E-2</v>
      </c>
    </row>
    <row r="3907" spans="1:3" x14ac:dyDescent="0.2">
      <c r="A3907" s="3">
        <v>40088</v>
      </c>
      <c r="B3907" s="2">
        <v>3.9287999999999998</v>
      </c>
      <c r="C3907" s="2">
        <f t="shared" ref="C3907:C3970" si="61">+LN(B3907/B3908)</f>
        <v>3.4420808834431725E-3</v>
      </c>
    </row>
    <row r="3908" spans="1:3" x14ac:dyDescent="0.2">
      <c r="A3908" s="3">
        <v>40087</v>
      </c>
      <c r="B3908" s="2">
        <v>3.9152999999999998</v>
      </c>
      <c r="C3908" s="2">
        <f t="shared" si="61"/>
        <v>-1.1486772331680654E-3</v>
      </c>
    </row>
    <row r="3909" spans="1:3" x14ac:dyDescent="0.2">
      <c r="A3909" s="3">
        <v>40086</v>
      </c>
      <c r="B3909" s="2">
        <v>3.9198</v>
      </c>
      <c r="C3909" s="2">
        <f t="shared" si="61"/>
        <v>3.9602438126097622E-2</v>
      </c>
    </row>
    <row r="3910" spans="1:3" x14ac:dyDescent="0.2">
      <c r="A3910" s="3">
        <v>40085</v>
      </c>
      <c r="B3910" s="2">
        <v>3.7675999999999998</v>
      </c>
      <c r="C3910" s="2">
        <f t="shared" si="61"/>
        <v>-4.4742529343317489E-2</v>
      </c>
    </row>
    <row r="3911" spans="1:3" x14ac:dyDescent="0.2">
      <c r="A3911" s="3">
        <v>40084</v>
      </c>
      <c r="B3911" s="2">
        <v>3.94</v>
      </c>
      <c r="C3911" s="2">
        <f t="shared" si="61"/>
        <v>4.058407866204089E-2</v>
      </c>
    </row>
    <row r="3912" spans="1:3" x14ac:dyDescent="0.2">
      <c r="A3912" s="3">
        <v>40081</v>
      </c>
      <c r="B3912" s="2">
        <v>3.7833000000000001</v>
      </c>
      <c r="C3912" s="2">
        <f t="shared" si="61"/>
        <v>-6.4812114323026561E-3</v>
      </c>
    </row>
    <row r="3913" spans="1:3" x14ac:dyDescent="0.2">
      <c r="A3913" s="3">
        <v>40080</v>
      </c>
      <c r="B3913" s="2">
        <v>3.8079000000000001</v>
      </c>
      <c r="C3913" s="2">
        <f t="shared" si="61"/>
        <v>1.7190427157812233E-2</v>
      </c>
    </row>
    <row r="3914" spans="1:3" x14ac:dyDescent="0.2">
      <c r="A3914" s="3">
        <v>40078</v>
      </c>
      <c r="B3914" s="2">
        <v>3.7429999999999999</v>
      </c>
      <c r="C3914" s="2">
        <f t="shared" si="61"/>
        <v>7.8048915023542957E-3</v>
      </c>
    </row>
    <row r="3915" spans="1:3" x14ac:dyDescent="0.2">
      <c r="A3915" s="3">
        <v>40077</v>
      </c>
      <c r="B3915" s="2">
        <v>3.7139000000000002</v>
      </c>
      <c r="C3915" s="2">
        <f t="shared" si="61"/>
        <v>-4.305649769229699E-2</v>
      </c>
    </row>
    <row r="3916" spans="1:3" x14ac:dyDescent="0.2">
      <c r="A3916" s="3">
        <v>40074</v>
      </c>
      <c r="B3916" s="2">
        <v>3.8773</v>
      </c>
      <c r="C3916" s="2">
        <f t="shared" si="61"/>
        <v>5.092278502795082E-2</v>
      </c>
    </row>
    <row r="3917" spans="1:3" x14ac:dyDescent="0.2">
      <c r="A3917" s="3">
        <v>40073</v>
      </c>
      <c r="B3917" s="2">
        <v>3.6848000000000001</v>
      </c>
      <c r="C3917" s="2">
        <f t="shared" si="61"/>
        <v>9.689904450795804E-2</v>
      </c>
    </row>
    <row r="3918" spans="1:3" x14ac:dyDescent="0.2">
      <c r="A3918" s="3">
        <v>40072</v>
      </c>
      <c r="B3918" s="2">
        <v>3.3445</v>
      </c>
      <c r="C3918" s="2">
        <f t="shared" si="61"/>
        <v>2.1640763533506462E-2</v>
      </c>
    </row>
    <row r="3919" spans="1:3" x14ac:dyDescent="0.2">
      <c r="A3919" s="3">
        <v>40071</v>
      </c>
      <c r="B3919" s="2">
        <v>3.2728999999999999</v>
      </c>
      <c r="C3919" s="2">
        <f t="shared" si="61"/>
        <v>1.6574624660365331E-2</v>
      </c>
    </row>
    <row r="3920" spans="1:3" x14ac:dyDescent="0.2">
      <c r="A3920" s="3">
        <v>40070</v>
      </c>
      <c r="B3920" s="2">
        <v>3.2191000000000001</v>
      </c>
      <c r="C3920" s="2">
        <f t="shared" si="61"/>
        <v>-2.7919114797358706E-3</v>
      </c>
    </row>
    <row r="3921" spans="1:3" x14ac:dyDescent="0.2">
      <c r="A3921" s="3">
        <v>40067</v>
      </c>
      <c r="B3921" s="2">
        <v>3.2281</v>
      </c>
      <c r="C3921" s="2">
        <f t="shared" si="61"/>
        <v>1.5389961778302574E-2</v>
      </c>
    </row>
    <row r="3922" spans="1:3" x14ac:dyDescent="0.2">
      <c r="A3922" s="3">
        <v>40065</v>
      </c>
      <c r="B3922" s="2">
        <v>3.1787999999999998</v>
      </c>
      <c r="C3922" s="2">
        <f t="shared" si="61"/>
        <v>2.2781767969018558E-2</v>
      </c>
    </row>
    <row r="3923" spans="1:3" x14ac:dyDescent="0.2">
      <c r="A3923" s="3">
        <v>40064</v>
      </c>
      <c r="B3923" s="2">
        <v>3.1072000000000002</v>
      </c>
      <c r="C3923" s="2">
        <f t="shared" si="61"/>
        <v>-1.7134798059829454E-2</v>
      </c>
    </row>
    <row r="3924" spans="1:3" x14ac:dyDescent="0.2">
      <c r="A3924" s="3">
        <v>40063</v>
      </c>
      <c r="B3924" s="2">
        <v>3.1608999999999998</v>
      </c>
      <c r="C3924" s="2">
        <f t="shared" si="61"/>
        <v>5.6790393592676056E-3</v>
      </c>
    </row>
    <row r="3925" spans="1:3" x14ac:dyDescent="0.2">
      <c r="A3925" s="3">
        <v>40060</v>
      </c>
      <c r="B3925" s="2">
        <v>3.1429999999999998</v>
      </c>
      <c r="C3925" s="2">
        <f t="shared" si="61"/>
        <v>-7.1016721016152759E-3</v>
      </c>
    </row>
    <row r="3926" spans="1:3" x14ac:dyDescent="0.2">
      <c r="A3926" s="3">
        <v>40059</v>
      </c>
      <c r="B3926" s="2">
        <v>3.1654</v>
      </c>
      <c r="C3926" s="2">
        <f t="shared" si="61"/>
        <v>-1.8219317551173394E-2</v>
      </c>
    </row>
    <row r="3927" spans="1:3" x14ac:dyDescent="0.2">
      <c r="A3927" s="3">
        <v>40058</v>
      </c>
      <c r="B3927" s="2">
        <v>3.2235999999999998</v>
      </c>
      <c r="C3927" s="2">
        <f t="shared" si="61"/>
        <v>3.4804261360490314E-3</v>
      </c>
    </row>
    <row r="3928" spans="1:3" x14ac:dyDescent="0.2">
      <c r="A3928" s="3">
        <v>40057</v>
      </c>
      <c r="B3928" s="2">
        <v>3.2124000000000001</v>
      </c>
      <c r="C3928" s="2">
        <f t="shared" si="61"/>
        <v>-6.2684456614011778E-3</v>
      </c>
    </row>
    <row r="3929" spans="1:3" x14ac:dyDescent="0.2">
      <c r="A3929" s="3">
        <v>40056</v>
      </c>
      <c r="B3929" s="2">
        <v>3.2326000000000001</v>
      </c>
      <c r="C3929" s="2">
        <f t="shared" si="61"/>
        <v>-9.6360323840570441E-3</v>
      </c>
    </row>
    <row r="3930" spans="1:3" x14ac:dyDescent="0.2">
      <c r="A3930" s="3">
        <v>40053</v>
      </c>
      <c r="B3930" s="2">
        <v>3.2639</v>
      </c>
      <c r="C3930" s="2">
        <f t="shared" si="61"/>
        <v>1.2424051909409114E-2</v>
      </c>
    </row>
    <row r="3931" spans="1:3" x14ac:dyDescent="0.2">
      <c r="A3931" s="3">
        <v>40052</v>
      </c>
      <c r="B3931" s="2">
        <v>3.2235999999999998</v>
      </c>
      <c r="C3931" s="2">
        <f t="shared" si="61"/>
        <v>-2.1968116671514791E-2</v>
      </c>
    </row>
    <row r="3932" spans="1:3" x14ac:dyDescent="0.2">
      <c r="A3932" s="3">
        <v>40051</v>
      </c>
      <c r="B3932" s="2">
        <v>3.2951999999999999</v>
      </c>
      <c r="C3932" s="2">
        <f t="shared" si="61"/>
        <v>-1.0835715635897377E-2</v>
      </c>
    </row>
    <row r="3933" spans="1:3" x14ac:dyDescent="0.2">
      <c r="A3933" s="3">
        <v>40050</v>
      </c>
      <c r="B3933" s="2">
        <v>3.3311000000000002</v>
      </c>
      <c r="C3933" s="2">
        <f t="shared" si="61"/>
        <v>5.3880900336592454E-3</v>
      </c>
    </row>
    <row r="3934" spans="1:3" x14ac:dyDescent="0.2">
      <c r="A3934" s="3">
        <v>40049</v>
      </c>
      <c r="B3934" s="2">
        <v>3.3132000000000001</v>
      </c>
      <c r="C3934" s="2">
        <f t="shared" si="61"/>
        <v>3.0180449003481134E-2</v>
      </c>
    </row>
    <row r="3935" spans="1:3" x14ac:dyDescent="0.2">
      <c r="A3935" s="3">
        <v>40046</v>
      </c>
      <c r="B3935" s="2">
        <v>3.2147000000000001</v>
      </c>
      <c r="C3935" s="2">
        <f t="shared" si="61"/>
        <v>3.4900786415516965E-3</v>
      </c>
    </row>
    <row r="3936" spans="1:3" x14ac:dyDescent="0.2">
      <c r="A3936" s="3">
        <v>40045</v>
      </c>
      <c r="B3936" s="2">
        <v>3.2035</v>
      </c>
      <c r="C3936" s="2">
        <f t="shared" si="61"/>
        <v>2.1249343953926108E-3</v>
      </c>
    </row>
    <row r="3937" spans="1:3" x14ac:dyDescent="0.2">
      <c r="A3937" s="3">
        <v>40044</v>
      </c>
      <c r="B3937" s="2">
        <v>3.1966999999999999</v>
      </c>
      <c r="C3937" s="2">
        <f t="shared" si="61"/>
        <v>-2.8114475597206265E-3</v>
      </c>
    </row>
    <row r="3938" spans="1:3" x14ac:dyDescent="0.2">
      <c r="A3938" s="3">
        <v>40043</v>
      </c>
      <c r="B3938" s="2">
        <v>3.2057000000000002</v>
      </c>
      <c r="C3938" s="2">
        <f t="shared" si="61"/>
        <v>1.7623265054398842E-2</v>
      </c>
    </row>
    <row r="3939" spans="1:3" x14ac:dyDescent="0.2">
      <c r="A3939" s="3">
        <v>40042</v>
      </c>
      <c r="B3939" s="2">
        <v>3.1497000000000002</v>
      </c>
      <c r="C3939" s="2">
        <f t="shared" si="61"/>
        <v>-8.5042322120493733E-3</v>
      </c>
    </row>
    <row r="3940" spans="1:3" x14ac:dyDescent="0.2">
      <c r="A3940" s="3">
        <v>40039</v>
      </c>
      <c r="B3940" s="2">
        <v>3.1766000000000001</v>
      </c>
      <c r="C3940" s="2">
        <f t="shared" si="61"/>
        <v>-6.9232466496958061E-4</v>
      </c>
    </row>
    <row r="3941" spans="1:3" x14ac:dyDescent="0.2">
      <c r="A3941" s="3">
        <v>40038</v>
      </c>
      <c r="B3941" s="2">
        <v>3.1787999999999998</v>
      </c>
      <c r="C3941" s="2">
        <f t="shared" si="61"/>
        <v>1.703748440751145E-2</v>
      </c>
    </row>
    <row r="3942" spans="1:3" x14ac:dyDescent="0.2">
      <c r="A3942" s="3">
        <v>40037</v>
      </c>
      <c r="B3942" s="2">
        <v>3.1251000000000002</v>
      </c>
      <c r="C3942" s="2">
        <f t="shared" si="61"/>
        <v>2.0267360399877879E-2</v>
      </c>
    </row>
    <row r="3943" spans="1:3" x14ac:dyDescent="0.2">
      <c r="A3943" s="3">
        <v>40036</v>
      </c>
      <c r="B3943" s="2">
        <v>3.0623999999999998</v>
      </c>
      <c r="C3943" s="2">
        <f t="shared" si="61"/>
        <v>5.8622382100062299E-3</v>
      </c>
    </row>
    <row r="3944" spans="1:3" x14ac:dyDescent="0.2">
      <c r="A3944" s="3">
        <v>40035</v>
      </c>
      <c r="B3944" s="2">
        <v>3.0445000000000002</v>
      </c>
      <c r="C3944" s="2">
        <f t="shared" si="61"/>
        <v>2.0038490222150769E-2</v>
      </c>
    </row>
    <row r="3945" spans="1:3" x14ac:dyDescent="0.2">
      <c r="A3945" s="3">
        <v>40032</v>
      </c>
      <c r="B3945" s="2">
        <v>2.9841000000000002</v>
      </c>
      <c r="C3945" s="2">
        <f t="shared" si="61"/>
        <v>3.7602864519392272E-3</v>
      </c>
    </row>
    <row r="3946" spans="1:3" x14ac:dyDescent="0.2">
      <c r="A3946" s="3">
        <v>40031</v>
      </c>
      <c r="B3946" s="2">
        <v>2.9729000000000001</v>
      </c>
      <c r="C3946" s="2">
        <f t="shared" si="61"/>
        <v>1.211520740689544E-2</v>
      </c>
    </row>
    <row r="3947" spans="1:3" x14ac:dyDescent="0.2">
      <c r="A3947" s="3">
        <v>40030</v>
      </c>
      <c r="B3947" s="2">
        <v>2.9371</v>
      </c>
      <c r="C3947" s="2">
        <f t="shared" si="61"/>
        <v>3.1754189811820634E-2</v>
      </c>
    </row>
    <row r="3948" spans="1:3" x14ac:dyDescent="0.2">
      <c r="A3948" s="3">
        <v>40029</v>
      </c>
      <c r="B3948" s="2">
        <v>2.8452999999999999</v>
      </c>
      <c r="C3948" s="2">
        <f t="shared" si="61"/>
        <v>5.5331512645518319E-3</v>
      </c>
    </row>
    <row r="3949" spans="1:3" x14ac:dyDescent="0.2">
      <c r="A3949" s="3">
        <v>40028</v>
      </c>
      <c r="B3949" s="2">
        <v>2.8296000000000001</v>
      </c>
      <c r="C3949" s="2">
        <f t="shared" si="61"/>
        <v>1.9160339968176683E-2</v>
      </c>
    </row>
    <row r="3950" spans="1:3" x14ac:dyDescent="0.2">
      <c r="A3950" s="3">
        <v>40025</v>
      </c>
      <c r="B3950" s="2">
        <v>2.7759</v>
      </c>
      <c r="C3950" s="2">
        <f t="shared" si="61"/>
        <v>1.1376109933150417E-2</v>
      </c>
    </row>
    <row r="3951" spans="1:3" x14ac:dyDescent="0.2">
      <c r="A3951" s="3">
        <v>40024</v>
      </c>
      <c r="B3951" s="2">
        <v>2.7444999999999999</v>
      </c>
      <c r="C3951" s="2">
        <f t="shared" si="61"/>
        <v>8.1585320919706147E-3</v>
      </c>
    </row>
    <row r="3952" spans="1:3" x14ac:dyDescent="0.2">
      <c r="A3952" s="3">
        <v>40022</v>
      </c>
      <c r="B3952" s="2">
        <v>2.7222</v>
      </c>
      <c r="C3952" s="2">
        <f t="shared" si="61"/>
        <v>6.6342569733154801E-3</v>
      </c>
    </row>
    <row r="3953" spans="1:3" x14ac:dyDescent="0.2">
      <c r="A3953" s="3">
        <v>40018</v>
      </c>
      <c r="B3953" s="2">
        <v>2.7042000000000002</v>
      </c>
      <c r="C3953" s="2">
        <f t="shared" si="61"/>
        <v>-1.3188296141847631E-2</v>
      </c>
    </row>
    <row r="3954" spans="1:3" x14ac:dyDescent="0.2">
      <c r="A3954" s="3">
        <v>40017</v>
      </c>
      <c r="B3954" s="2">
        <v>2.7401</v>
      </c>
      <c r="C3954" s="2">
        <f t="shared" si="61"/>
        <v>-3.2427930987405157E-3</v>
      </c>
    </row>
    <row r="3955" spans="1:3" x14ac:dyDescent="0.2">
      <c r="A3955" s="3">
        <v>40016</v>
      </c>
      <c r="B3955" s="2">
        <v>2.7490000000000001</v>
      </c>
      <c r="C3955" s="2">
        <f t="shared" si="61"/>
        <v>-1.6952615188455075E-2</v>
      </c>
    </row>
    <row r="3956" spans="1:3" x14ac:dyDescent="0.2">
      <c r="A3956" s="3">
        <v>40015</v>
      </c>
      <c r="B3956" s="2">
        <v>2.7959999999999998</v>
      </c>
      <c r="C3956" s="2">
        <f t="shared" si="61"/>
        <v>1.368404500045378E-2</v>
      </c>
    </row>
    <row r="3957" spans="1:3" x14ac:dyDescent="0.2">
      <c r="A3957" s="3">
        <v>40014</v>
      </c>
      <c r="B3957" s="2">
        <v>2.758</v>
      </c>
      <c r="C3957" s="2">
        <f t="shared" si="61"/>
        <v>9.801320925966913E-3</v>
      </c>
    </row>
    <row r="3958" spans="1:3" x14ac:dyDescent="0.2">
      <c r="A3958" s="3">
        <v>40011</v>
      </c>
      <c r="B3958" s="2">
        <v>2.7311000000000001</v>
      </c>
      <c r="C3958" s="2">
        <f t="shared" si="61"/>
        <v>1.5683846407127777E-2</v>
      </c>
    </row>
    <row r="3959" spans="1:3" x14ac:dyDescent="0.2">
      <c r="A3959" s="3">
        <v>40010</v>
      </c>
      <c r="B3959" s="2">
        <v>2.6886000000000001</v>
      </c>
      <c r="C3959" s="2">
        <f t="shared" si="61"/>
        <v>-6.602285748330132E-2</v>
      </c>
    </row>
    <row r="3960" spans="1:3" x14ac:dyDescent="0.2">
      <c r="A3960" s="3">
        <v>40009</v>
      </c>
      <c r="B3960" s="2">
        <v>2.8721000000000001</v>
      </c>
      <c r="C3960" s="2">
        <f t="shared" si="61"/>
        <v>1.8874121476425847E-2</v>
      </c>
    </row>
    <row r="3961" spans="1:3" x14ac:dyDescent="0.2">
      <c r="A3961" s="3">
        <v>40008</v>
      </c>
      <c r="B3961" s="2">
        <v>2.8184</v>
      </c>
      <c r="C3961" s="2">
        <f t="shared" si="61"/>
        <v>3.1464889599747782E-2</v>
      </c>
    </row>
    <row r="3962" spans="1:3" x14ac:dyDescent="0.2">
      <c r="A3962" s="3">
        <v>40007</v>
      </c>
      <c r="B3962" s="2">
        <v>2.7311000000000001</v>
      </c>
      <c r="C3962" s="2">
        <f t="shared" si="61"/>
        <v>1.653967633526976E-2</v>
      </c>
    </row>
    <row r="3963" spans="1:3" x14ac:dyDescent="0.2">
      <c r="A3963" s="3">
        <v>40004</v>
      </c>
      <c r="B3963" s="2">
        <v>2.6863000000000001</v>
      </c>
      <c r="C3963" s="2">
        <f t="shared" si="61"/>
        <v>-9.9639679799141279E-3</v>
      </c>
    </row>
    <row r="3964" spans="1:3" x14ac:dyDescent="0.2">
      <c r="A3964" s="3">
        <v>40003</v>
      </c>
      <c r="B3964" s="2">
        <v>2.7132000000000001</v>
      </c>
      <c r="C3964" s="2">
        <f t="shared" si="61"/>
        <v>-1.6571842714271886E-3</v>
      </c>
    </row>
    <row r="3965" spans="1:3" x14ac:dyDescent="0.2">
      <c r="A3965" s="3">
        <v>40002</v>
      </c>
      <c r="B3965" s="2">
        <v>2.7176999999999998</v>
      </c>
      <c r="C3965" s="2">
        <f t="shared" si="61"/>
        <v>-3.6383413683676202E-2</v>
      </c>
    </row>
    <row r="3966" spans="1:3" x14ac:dyDescent="0.2">
      <c r="A3966" s="3">
        <v>40001</v>
      </c>
      <c r="B3966" s="2">
        <v>2.8184</v>
      </c>
      <c r="C3966" s="2">
        <f t="shared" si="61"/>
        <v>-2.3744141570994004E-3</v>
      </c>
    </row>
    <row r="3967" spans="1:3" x14ac:dyDescent="0.2">
      <c r="A3967" s="3">
        <v>40000</v>
      </c>
      <c r="B3967" s="2">
        <v>2.8250999999999999</v>
      </c>
      <c r="C3967" s="2">
        <f t="shared" si="61"/>
        <v>-4.2684970855238903E-2</v>
      </c>
    </row>
    <row r="3968" spans="1:3" x14ac:dyDescent="0.2">
      <c r="A3968" s="3">
        <v>39997</v>
      </c>
      <c r="B3968" s="2">
        <v>2.9483000000000001</v>
      </c>
      <c r="C3968" s="2">
        <f t="shared" si="61"/>
        <v>-2.027935872290625E-2</v>
      </c>
    </row>
    <row r="3969" spans="1:3" x14ac:dyDescent="0.2">
      <c r="A3969" s="3">
        <v>39996</v>
      </c>
      <c r="B3969" s="2">
        <v>3.0087000000000002</v>
      </c>
      <c r="C3969" s="2">
        <f t="shared" si="61"/>
        <v>-2.0625391929320256E-2</v>
      </c>
    </row>
    <row r="3970" spans="1:3" x14ac:dyDescent="0.2">
      <c r="A3970" s="3">
        <v>39995</v>
      </c>
      <c r="B3970" s="2">
        <v>3.0714000000000001</v>
      </c>
      <c r="C3970" s="2">
        <f t="shared" si="61"/>
        <v>-5.8110443199389152E-3</v>
      </c>
    </row>
    <row r="3971" spans="1:3" x14ac:dyDescent="0.2">
      <c r="A3971" s="3">
        <v>39994</v>
      </c>
      <c r="B3971" s="2">
        <v>3.0893000000000002</v>
      </c>
      <c r="C3971" s="2">
        <f t="shared" ref="C3971:C4034" si="62">+LN(B3971/B3972)</f>
        <v>-1.7233229786035965E-2</v>
      </c>
    </row>
    <row r="3972" spans="1:3" x14ac:dyDescent="0.2">
      <c r="A3972" s="3">
        <v>39993</v>
      </c>
      <c r="B3972" s="2">
        <v>3.1429999999999998</v>
      </c>
      <c r="C3972" s="2">
        <f t="shared" si="62"/>
        <v>2.8889284134378062E-2</v>
      </c>
    </row>
    <row r="3973" spans="1:3" x14ac:dyDescent="0.2">
      <c r="A3973" s="3">
        <v>39990</v>
      </c>
      <c r="B3973" s="2">
        <v>3.0535000000000001</v>
      </c>
      <c r="C3973" s="2">
        <f t="shared" si="62"/>
        <v>2.9782505007990321E-2</v>
      </c>
    </row>
    <row r="3974" spans="1:3" x14ac:dyDescent="0.2">
      <c r="A3974" s="3">
        <v>39988</v>
      </c>
      <c r="B3974" s="2">
        <v>2.9639000000000002</v>
      </c>
      <c r="C3974" s="2">
        <f t="shared" si="62"/>
        <v>5.5922730402423883E-2</v>
      </c>
    </row>
    <row r="3975" spans="1:3" x14ac:dyDescent="0.2">
      <c r="A3975" s="3">
        <v>39987</v>
      </c>
      <c r="B3975" s="2">
        <v>2.8027000000000002</v>
      </c>
      <c r="C3975" s="2">
        <f t="shared" si="62"/>
        <v>-2.9911728284343582E-2</v>
      </c>
    </row>
    <row r="3976" spans="1:3" x14ac:dyDescent="0.2">
      <c r="A3976" s="3">
        <v>39986</v>
      </c>
      <c r="B3976" s="2">
        <v>2.8877999999999999</v>
      </c>
      <c r="C3976" s="2">
        <f t="shared" si="62"/>
        <v>-2.2225039444266834E-2</v>
      </c>
    </row>
    <row r="3977" spans="1:3" x14ac:dyDescent="0.2">
      <c r="A3977" s="3">
        <v>39983</v>
      </c>
      <c r="B3977" s="2">
        <v>2.9527000000000001</v>
      </c>
      <c r="C3977" s="2">
        <f t="shared" si="62"/>
        <v>1.0657052564675255E-2</v>
      </c>
    </row>
    <row r="3978" spans="1:3" x14ac:dyDescent="0.2">
      <c r="A3978" s="3">
        <v>39982</v>
      </c>
      <c r="B3978" s="2">
        <v>2.9214000000000002</v>
      </c>
      <c r="C3978" s="2">
        <f t="shared" si="62"/>
        <v>1.5415449329892947E-3</v>
      </c>
    </row>
    <row r="3979" spans="1:3" x14ac:dyDescent="0.2">
      <c r="A3979" s="3">
        <v>39981</v>
      </c>
      <c r="B3979" s="2">
        <v>2.9169</v>
      </c>
      <c r="C3979" s="2">
        <f t="shared" si="62"/>
        <v>-2.5754820368977829E-2</v>
      </c>
    </row>
    <row r="3980" spans="1:3" x14ac:dyDescent="0.2">
      <c r="A3980" s="3">
        <v>39980</v>
      </c>
      <c r="B3980" s="2">
        <v>2.9929999999999999</v>
      </c>
      <c r="C3980" s="2">
        <f t="shared" si="62"/>
        <v>-1.7060455195929924E-2</v>
      </c>
    </row>
    <row r="3981" spans="1:3" x14ac:dyDescent="0.2">
      <c r="A3981" s="3">
        <v>39979</v>
      </c>
      <c r="B3981" s="2">
        <v>3.0445000000000002</v>
      </c>
      <c r="C3981" s="2">
        <f t="shared" si="62"/>
        <v>-6.1310290877615525E-2</v>
      </c>
    </row>
    <row r="3982" spans="1:3" x14ac:dyDescent="0.2">
      <c r="A3982" s="3">
        <v>39976</v>
      </c>
      <c r="B3982" s="2">
        <v>3.2370000000000001</v>
      </c>
      <c r="C3982" s="2">
        <f t="shared" si="62"/>
        <v>-1.9881370553828933E-2</v>
      </c>
    </row>
    <row r="3983" spans="1:3" x14ac:dyDescent="0.2">
      <c r="A3983" s="3">
        <v>39975</v>
      </c>
      <c r="B3983" s="2">
        <v>3.302</v>
      </c>
      <c r="C3983" s="2">
        <f t="shared" si="62"/>
        <v>-1.0783561829229219E-2</v>
      </c>
    </row>
    <row r="3984" spans="1:3" x14ac:dyDescent="0.2">
      <c r="A3984" s="3">
        <v>39974</v>
      </c>
      <c r="B3984" s="2">
        <v>3.3378000000000001</v>
      </c>
      <c r="C3984" s="2">
        <f t="shared" si="62"/>
        <v>1.2845043187431527E-2</v>
      </c>
    </row>
    <row r="3985" spans="1:3" x14ac:dyDescent="0.2">
      <c r="A3985" s="3">
        <v>39973</v>
      </c>
      <c r="B3985" s="2">
        <v>3.2951999999999999</v>
      </c>
      <c r="C3985" s="2">
        <f t="shared" si="62"/>
        <v>-5.4476256022381779E-3</v>
      </c>
    </row>
    <row r="3986" spans="1:3" x14ac:dyDescent="0.2">
      <c r="A3986" s="3">
        <v>39972</v>
      </c>
      <c r="B3986" s="2">
        <v>3.3132000000000001</v>
      </c>
      <c r="C3986" s="2">
        <f t="shared" si="62"/>
        <v>-8.0563172466369664E-3</v>
      </c>
    </row>
    <row r="3987" spans="1:3" x14ac:dyDescent="0.2">
      <c r="A3987" s="3">
        <v>39969</v>
      </c>
      <c r="B3987" s="2">
        <v>3.34</v>
      </c>
      <c r="C3987" s="2">
        <f t="shared" si="62"/>
        <v>8.0563172466370375E-3</v>
      </c>
    </row>
    <row r="3988" spans="1:3" x14ac:dyDescent="0.2">
      <c r="A3988" s="3">
        <v>39968</v>
      </c>
      <c r="B3988" s="2">
        <v>3.3132000000000001</v>
      </c>
      <c r="C3988" s="2">
        <f t="shared" si="62"/>
        <v>1.3613921213556738E-2</v>
      </c>
    </row>
    <row r="3989" spans="1:3" x14ac:dyDescent="0.2">
      <c r="A3989" s="3">
        <v>39967</v>
      </c>
      <c r="B3989" s="2">
        <v>3.2684000000000002</v>
      </c>
      <c r="C3989" s="2">
        <f t="shared" si="62"/>
        <v>-1.0893817985938309E-2</v>
      </c>
    </row>
    <row r="3990" spans="1:3" x14ac:dyDescent="0.2">
      <c r="A3990" s="3">
        <v>39966</v>
      </c>
      <c r="B3990" s="2">
        <v>3.3041999999999998</v>
      </c>
      <c r="C3990" s="2">
        <f t="shared" si="62"/>
        <v>3.5173469717600409E-2</v>
      </c>
    </row>
    <row r="3991" spans="1:3" x14ac:dyDescent="0.2">
      <c r="A3991" s="3">
        <v>39965</v>
      </c>
      <c r="B3991" s="2">
        <v>3.19</v>
      </c>
      <c r="C3991" s="2">
        <f t="shared" si="62"/>
        <v>3.2076388767358778E-2</v>
      </c>
    </row>
    <row r="3992" spans="1:3" x14ac:dyDescent="0.2">
      <c r="A3992" s="3">
        <v>39962</v>
      </c>
      <c r="B3992" s="2">
        <v>3.0893000000000002</v>
      </c>
      <c r="C3992" s="2">
        <f t="shared" si="62"/>
        <v>-2.1664276980862336E-3</v>
      </c>
    </row>
    <row r="3993" spans="1:3" x14ac:dyDescent="0.2">
      <c r="A3993" s="3">
        <v>39961</v>
      </c>
      <c r="B3993" s="2">
        <v>3.0960000000000001</v>
      </c>
      <c r="C3993" s="2">
        <f t="shared" si="62"/>
        <v>7.9774720180252334E-3</v>
      </c>
    </row>
    <row r="3994" spans="1:3" x14ac:dyDescent="0.2">
      <c r="A3994" s="3">
        <v>39960</v>
      </c>
      <c r="B3994" s="2">
        <v>3.0714000000000001</v>
      </c>
      <c r="C3994" s="2">
        <f t="shared" si="62"/>
        <v>6.598527845437901E-3</v>
      </c>
    </row>
    <row r="3995" spans="1:3" x14ac:dyDescent="0.2">
      <c r="A3995" s="3">
        <v>39959</v>
      </c>
      <c r="B3995" s="2">
        <v>3.0512000000000001</v>
      </c>
      <c r="C3995" s="2">
        <f t="shared" si="62"/>
        <v>2.9211475600943032E-3</v>
      </c>
    </row>
    <row r="3996" spans="1:3" x14ac:dyDescent="0.2">
      <c r="A3996" s="3">
        <v>39958</v>
      </c>
      <c r="B3996" s="2">
        <v>3.0423</v>
      </c>
      <c r="C3996" s="2">
        <f t="shared" si="62"/>
        <v>8.1188564776581533E-3</v>
      </c>
    </row>
    <row r="3997" spans="1:3" x14ac:dyDescent="0.2">
      <c r="A3997" s="3">
        <v>39954</v>
      </c>
      <c r="B3997" s="2">
        <v>3.0177</v>
      </c>
      <c r="C3997" s="2">
        <f t="shared" si="62"/>
        <v>-7.287664294978695E-4</v>
      </c>
    </row>
    <row r="3998" spans="1:3" x14ac:dyDescent="0.2">
      <c r="A3998" s="3">
        <v>39953</v>
      </c>
      <c r="B3998" s="2">
        <v>3.0198999999999998</v>
      </c>
      <c r="C3998" s="2">
        <f t="shared" si="62"/>
        <v>1.5685810863361422E-2</v>
      </c>
    </row>
    <row r="3999" spans="1:3" x14ac:dyDescent="0.2">
      <c r="A3999" s="3">
        <v>39952</v>
      </c>
      <c r="B3999" s="2">
        <v>2.9729000000000001</v>
      </c>
      <c r="C3999" s="2">
        <f t="shared" si="62"/>
        <v>1.0618252070028072E-2</v>
      </c>
    </row>
    <row r="4000" spans="1:3" x14ac:dyDescent="0.2">
      <c r="A4000" s="3">
        <v>39951</v>
      </c>
      <c r="B4000" s="2">
        <v>2.9415</v>
      </c>
      <c r="C4000" s="2">
        <f t="shared" si="62"/>
        <v>3.2478238983173403E-2</v>
      </c>
    </row>
    <row r="4001" spans="1:3" x14ac:dyDescent="0.2">
      <c r="A4001" s="3">
        <v>39948</v>
      </c>
      <c r="B4001" s="2">
        <v>2.8475000000000001</v>
      </c>
      <c r="C4001" s="2">
        <f t="shared" si="62"/>
        <v>3.9410304712584037E-3</v>
      </c>
    </row>
    <row r="4002" spans="1:3" x14ac:dyDescent="0.2">
      <c r="A4002" s="3">
        <v>39947</v>
      </c>
      <c r="B4002" s="2">
        <v>2.8363</v>
      </c>
      <c r="C4002" s="2">
        <f t="shared" si="62"/>
        <v>-6.6425204075232017E-2</v>
      </c>
    </row>
    <row r="4003" spans="1:3" x14ac:dyDescent="0.2">
      <c r="A4003" s="3">
        <v>39946</v>
      </c>
      <c r="B4003" s="2">
        <v>3.0310999999999999</v>
      </c>
      <c r="C4003" s="2">
        <f t="shared" si="62"/>
        <v>-5.319343775837277E-2</v>
      </c>
    </row>
    <row r="4004" spans="1:3" x14ac:dyDescent="0.2">
      <c r="A4004" s="3">
        <v>39945</v>
      </c>
      <c r="B4004" s="2">
        <v>3.1966999999999999</v>
      </c>
      <c r="C4004" s="2">
        <f t="shared" si="62"/>
        <v>3.417449967215197E-2</v>
      </c>
    </row>
    <row r="4005" spans="1:3" x14ac:dyDescent="0.2">
      <c r="A4005" s="3">
        <v>39944</v>
      </c>
      <c r="B4005" s="2">
        <v>3.0893000000000002</v>
      </c>
      <c r="C4005" s="2">
        <f t="shared" si="62"/>
        <v>-3.5581211481359537E-2</v>
      </c>
    </row>
    <row r="4006" spans="1:3" x14ac:dyDescent="0.2">
      <c r="A4006" s="3">
        <v>39941</v>
      </c>
      <c r="B4006" s="2">
        <v>3.2012</v>
      </c>
      <c r="C4006" s="2">
        <f t="shared" si="62"/>
        <v>-1.4047357505130816E-3</v>
      </c>
    </row>
    <row r="4007" spans="1:3" x14ac:dyDescent="0.2">
      <c r="A4007" s="3">
        <v>39940</v>
      </c>
      <c r="B4007" s="2">
        <v>3.2057000000000002</v>
      </c>
      <c r="C4007" s="2">
        <f t="shared" si="62"/>
        <v>-1.4554945413397887E-2</v>
      </c>
    </row>
    <row r="4008" spans="1:3" x14ac:dyDescent="0.2">
      <c r="A4008" s="3">
        <v>39939</v>
      </c>
      <c r="B4008" s="2">
        <v>3.2526999999999999</v>
      </c>
      <c r="C4008" s="2">
        <f t="shared" si="62"/>
        <v>8.9866732064457829E-3</v>
      </c>
    </row>
    <row r="4009" spans="1:3" x14ac:dyDescent="0.2">
      <c r="A4009" s="3">
        <v>39938</v>
      </c>
      <c r="B4009" s="2">
        <v>3.2235999999999998</v>
      </c>
      <c r="C4009" s="2">
        <f t="shared" si="62"/>
        <v>9.9189141328118346E-2</v>
      </c>
    </row>
    <row r="4010" spans="1:3" x14ac:dyDescent="0.2">
      <c r="A4010" s="3">
        <v>39937</v>
      </c>
      <c r="B4010" s="2">
        <v>2.9192</v>
      </c>
      <c r="C4010" s="2">
        <f t="shared" si="62"/>
        <v>6.1851616329807509E-3</v>
      </c>
    </row>
    <row r="4011" spans="1:3" x14ac:dyDescent="0.2">
      <c r="A4011" s="3">
        <v>39932</v>
      </c>
      <c r="B4011" s="2">
        <v>2.9011999999999998</v>
      </c>
      <c r="C4011" s="2">
        <f t="shared" si="62"/>
        <v>2.1813471624099908E-2</v>
      </c>
    </row>
    <row r="4012" spans="1:3" x14ac:dyDescent="0.2">
      <c r="A4012" s="3">
        <v>39931</v>
      </c>
      <c r="B4012" s="2">
        <v>2.8386</v>
      </c>
      <c r="C4012" s="2">
        <f t="shared" si="62"/>
        <v>-2.9504760741079248E-2</v>
      </c>
    </row>
    <row r="4013" spans="1:3" x14ac:dyDescent="0.2">
      <c r="A4013" s="3">
        <v>39930</v>
      </c>
      <c r="B4013" s="2">
        <v>2.9236</v>
      </c>
      <c r="C4013" s="2">
        <f t="shared" si="62"/>
        <v>2.0107777146964607E-2</v>
      </c>
    </row>
    <row r="4014" spans="1:3" x14ac:dyDescent="0.2">
      <c r="A4014" s="3">
        <v>39927</v>
      </c>
      <c r="B4014" s="2">
        <v>2.8654000000000002</v>
      </c>
      <c r="C4014" s="2">
        <f t="shared" si="62"/>
        <v>6.4543174367261522E-2</v>
      </c>
    </row>
    <row r="4015" spans="1:3" x14ac:dyDescent="0.2">
      <c r="A4015" s="3">
        <v>39926</v>
      </c>
      <c r="B4015" s="2">
        <v>2.6863000000000001</v>
      </c>
      <c r="C4015" s="2">
        <f t="shared" si="62"/>
        <v>1.002664690963812E-2</v>
      </c>
    </row>
    <row r="4016" spans="1:3" x14ac:dyDescent="0.2">
      <c r="A4016" s="3">
        <v>39925</v>
      </c>
      <c r="B4016" s="2">
        <v>2.6595</v>
      </c>
      <c r="C4016" s="2">
        <f t="shared" si="62"/>
        <v>1.0166184191064855E-2</v>
      </c>
    </row>
    <row r="4017" spans="1:3" x14ac:dyDescent="0.2">
      <c r="A4017" s="3">
        <v>39924</v>
      </c>
      <c r="B4017" s="2">
        <v>2.6326000000000001</v>
      </c>
      <c r="C4017" s="2">
        <f t="shared" si="62"/>
        <v>-7.6437349496684759E-3</v>
      </c>
    </row>
    <row r="4018" spans="1:3" x14ac:dyDescent="0.2">
      <c r="A4018" s="3">
        <v>39923</v>
      </c>
      <c r="B4018" s="2">
        <v>2.6528</v>
      </c>
      <c r="C4018" s="2">
        <f t="shared" si="62"/>
        <v>-1.1729790280684155E-2</v>
      </c>
    </row>
    <row r="4019" spans="1:3" x14ac:dyDescent="0.2">
      <c r="A4019" s="3">
        <v>39920</v>
      </c>
      <c r="B4019" s="2">
        <v>2.6840999999999999</v>
      </c>
      <c r="C4019" s="2">
        <f t="shared" si="62"/>
        <v>5.0048659038684773E-3</v>
      </c>
    </row>
    <row r="4020" spans="1:3" x14ac:dyDescent="0.2">
      <c r="A4020" s="3">
        <v>39919</v>
      </c>
      <c r="B4020" s="2">
        <v>2.6707000000000001</v>
      </c>
      <c r="C4020" s="2">
        <f t="shared" si="62"/>
        <v>2.8060692557464888E-2</v>
      </c>
    </row>
    <row r="4021" spans="1:3" x14ac:dyDescent="0.2">
      <c r="A4021" s="3">
        <v>39918</v>
      </c>
      <c r="B4021" s="2">
        <v>2.5968</v>
      </c>
      <c r="C4021" s="2">
        <f t="shared" si="62"/>
        <v>-1.2856008101533912E-2</v>
      </c>
    </row>
    <row r="4022" spans="1:3" x14ac:dyDescent="0.2">
      <c r="A4022" s="3">
        <v>39917</v>
      </c>
      <c r="B4022" s="2">
        <v>2.6303999999999998</v>
      </c>
      <c r="C4022" s="2">
        <f t="shared" si="62"/>
        <v>5.9865576973418891E-3</v>
      </c>
    </row>
    <row r="4023" spans="1:3" x14ac:dyDescent="0.2">
      <c r="A4023" s="3">
        <v>39912</v>
      </c>
      <c r="B4023" s="2">
        <v>2.6147</v>
      </c>
      <c r="C4023" s="2">
        <f t="shared" si="62"/>
        <v>2.7765558882049273E-2</v>
      </c>
    </row>
    <row r="4024" spans="1:3" x14ac:dyDescent="0.2">
      <c r="A4024" s="3">
        <v>39911</v>
      </c>
      <c r="B4024" s="2">
        <v>2.5430999999999999</v>
      </c>
      <c r="C4024" s="2">
        <f t="shared" si="62"/>
        <v>3.9502298939307207E-2</v>
      </c>
    </row>
    <row r="4025" spans="1:3" x14ac:dyDescent="0.2">
      <c r="A4025" s="3">
        <v>39910</v>
      </c>
      <c r="B4025" s="2">
        <v>2.4445999999999999</v>
      </c>
      <c r="C4025" s="2">
        <f t="shared" si="62"/>
        <v>-1.8120036094699969E-2</v>
      </c>
    </row>
    <row r="4026" spans="1:3" x14ac:dyDescent="0.2">
      <c r="A4026" s="3">
        <v>39909</v>
      </c>
      <c r="B4026" s="2">
        <v>2.4893000000000001</v>
      </c>
      <c r="C4026" s="2">
        <f t="shared" si="62"/>
        <v>-1.3407487062957654E-2</v>
      </c>
    </row>
    <row r="4027" spans="1:3" x14ac:dyDescent="0.2">
      <c r="A4027" s="3">
        <v>39906</v>
      </c>
      <c r="B4027" s="2">
        <v>2.5228999999999999</v>
      </c>
      <c r="C4027" s="2">
        <f t="shared" si="62"/>
        <v>2.0624241830729768E-2</v>
      </c>
    </row>
    <row r="4028" spans="1:3" x14ac:dyDescent="0.2">
      <c r="A4028" s="3">
        <v>39905</v>
      </c>
      <c r="B4028" s="2">
        <v>2.4714</v>
      </c>
      <c r="C4028" s="2">
        <f t="shared" si="62"/>
        <v>2.8483068030161124E-2</v>
      </c>
    </row>
    <row r="4029" spans="1:3" x14ac:dyDescent="0.2">
      <c r="A4029" s="3">
        <v>39904</v>
      </c>
      <c r="B4029" s="2">
        <v>2.4020000000000001</v>
      </c>
      <c r="C4029" s="2">
        <f t="shared" si="62"/>
        <v>-2.3046287486051337E-2</v>
      </c>
    </row>
    <row r="4030" spans="1:3" x14ac:dyDescent="0.2">
      <c r="A4030" s="3">
        <v>39903</v>
      </c>
      <c r="B4030" s="2">
        <v>2.4580000000000002</v>
      </c>
      <c r="C4030" s="2">
        <f t="shared" si="62"/>
        <v>8.3540817848010249E-2</v>
      </c>
    </row>
    <row r="4031" spans="1:3" x14ac:dyDescent="0.2">
      <c r="A4031" s="3">
        <v>39902</v>
      </c>
      <c r="B4031" s="2">
        <v>2.2610000000000001</v>
      </c>
      <c r="C4031" s="2">
        <f t="shared" si="62"/>
        <v>-6.9776877799159961E-2</v>
      </c>
    </row>
    <row r="4032" spans="1:3" x14ac:dyDescent="0.2">
      <c r="A4032" s="3">
        <v>39899</v>
      </c>
      <c r="B4032" s="2">
        <v>2.4243999999999999</v>
      </c>
      <c r="C4032" s="2">
        <f t="shared" si="62"/>
        <v>5.4067221270275578E-2</v>
      </c>
    </row>
    <row r="4033" spans="1:3" x14ac:dyDescent="0.2">
      <c r="A4033" s="3">
        <v>39898</v>
      </c>
      <c r="B4033" s="2">
        <v>2.2968000000000002</v>
      </c>
      <c r="C4033" s="2">
        <f t="shared" si="62"/>
        <v>6.0251890000819895E-2</v>
      </c>
    </row>
    <row r="4034" spans="1:3" x14ac:dyDescent="0.2">
      <c r="A4034" s="3">
        <v>39897</v>
      </c>
      <c r="B4034" s="2">
        <v>2.1625000000000001</v>
      </c>
      <c r="C4034" s="2">
        <f t="shared" si="62"/>
        <v>4.6619112204581065E-2</v>
      </c>
    </row>
    <row r="4035" spans="1:3" x14ac:dyDescent="0.2">
      <c r="A4035" s="3">
        <v>39896</v>
      </c>
      <c r="B4035" s="2">
        <v>2.0640000000000001</v>
      </c>
      <c r="C4035" s="2">
        <f t="shared" ref="C4035:C4098" si="63">+LN(B4035/B4036)</f>
        <v>9.5503997035283547E-2</v>
      </c>
    </row>
    <row r="4036" spans="1:3" x14ac:dyDescent="0.2">
      <c r="A4036" s="3">
        <v>39895</v>
      </c>
      <c r="B4036" s="2">
        <v>1.8759999999999999</v>
      </c>
      <c r="C4036" s="2">
        <f t="shared" si="63"/>
        <v>2.4016022216862458E-3</v>
      </c>
    </row>
    <row r="4037" spans="1:3" x14ac:dyDescent="0.2">
      <c r="A4037" s="3">
        <v>39892</v>
      </c>
      <c r="B4037" s="2">
        <v>1.8714999999999999</v>
      </c>
      <c r="C4037" s="2">
        <f t="shared" si="63"/>
        <v>5.4067221270275793E-2</v>
      </c>
    </row>
    <row r="4038" spans="1:3" x14ac:dyDescent="0.2">
      <c r="A4038" s="3">
        <v>39891</v>
      </c>
      <c r="B4038" s="2">
        <v>1.7729999999999999</v>
      </c>
      <c r="C4038" s="2">
        <f t="shared" si="63"/>
        <v>-4.4456667043958509E-2</v>
      </c>
    </row>
    <row r="4039" spans="1:3" x14ac:dyDescent="0.2">
      <c r="A4039" s="3">
        <v>39890</v>
      </c>
      <c r="B4039" s="2">
        <v>1.8535999999999999</v>
      </c>
      <c r="C4039" s="2">
        <f t="shared" si="63"/>
        <v>-4.2564110164696398E-2</v>
      </c>
    </row>
    <row r="4040" spans="1:3" x14ac:dyDescent="0.2">
      <c r="A4040" s="3">
        <v>39889</v>
      </c>
      <c r="B4040" s="2">
        <v>1.9341999999999999</v>
      </c>
      <c r="C4040" s="2">
        <f t="shared" si="63"/>
        <v>-3.5251758200598941E-2</v>
      </c>
    </row>
    <row r="4041" spans="1:3" x14ac:dyDescent="0.2">
      <c r="A4041" s="3">
        <v>39888</v>
      </c>
      <c r="B4041" s="2">
        <v>2.0036</v>
      </c>
      <c r="C4041" s="2">
        <f t="shared" si="63"/>
        <v>2.6039846314413688E-2</v>
      </c>
    </row>
    <row r="4042" spans="1:3" x14ac:dyDescent="0.2">
      <c r="A4042" s="3">
        <v>39885</v>
      </c>
      <c r="B4042" s="2">
        <v>1.9520999999999999</v>
      </c>
      <c r="C4042" s="2">
        <f t="shared" si="63"/>
        <v>-7.9596317987514435E-3</v>
      </c>
    </row>
    <row r="4043" spans="1:3" x14ac:dyDescent="0.2">
      <c r="A4043" s="3">
        <v>39884</v>
      </c>
      <c r="B4043" s="2">
        <v>1.9677</v>
      </c>
      <c r="C4043" s="2">
        <f t="shared" si="63"/>
        <v>-3.2499610597116826E-2</v>
      </c>
    </row>
    <row r="4044" spans="1:3" x14ac:dyDescent="0.2">
      <c r="A4044" s="3">
        <v>39883</v>
      </c>
      <c r="B4044" s="2">
        <v>2.0327000000000002</v>
      </c>
      <c r="C4044" s="2">
        <f t="shared" si="63"/>
        <v>-8.7674746710746532E-3</v>
      </c>
    </row>
    <row r="4045" spans="1:3" x14ac:dyDescent="0.2">
      <c r="A4045" s="3">
        <v>39882</v>
      </c>
      <c r="B4045" s="2">
        <v>2.0506000000000002</v>
      </c>
      <c r="C4045" s="2">
        <f t="shared" si="63"/>
        <v>-2.5850437008586656E-2</v>
      </c>
    </row>
    <row r="4046" spans="1:3" x14ac:dyDescent="0.2">
      <c r="A4046" s="3">
        <v>39881</v>
      </c>
      <c r="B4046" s="2">
        <v>2.1042999999999998</v>
      </c>
      <c r="C4046" s="2">
        <f t="shared" si="63"/>
        <v>-1.2702331101492445E-2</v>
      </c>
    </row>
    <row r="4047" spans="1:3" x14ac:dyDescent="0.2">
      <c r="A4047" s="3">
        <v>39878</v>
      </c>
      <c r="B4047" s="2">
        <v>2.1312000000000002</v>
      </c>
      <c r="C4047" s="2">
        <f t="shared" si="63"/>
        <v>-7.483164846078412E-2</v>
      </c>
    </row>
    <row r="4048" spans="1:3" x14ac:dyDescent="0.2">
      <c r="A4048" s="3">
        <v>39877</v>
      </c>
      <c r="B4048" s="2">
        <v>2.2968000000000002</v>
      </c>
      <c r="C4048" s="2">
        <f t="shared" si="63"/>
        <v>-3.9190570427472156E-2</v>
      </c>
    </row>
    <row r="4049" spans="1:3" x14ac:dyDescent="0.2">
      <c r="A4049" s="3">
        <v>39876</v>
      </c>
      <c r="B4049" s="2">
        <v>2.3885999999999998</v>
      </c>
      <c r="C4049" s="2">
        <f t="shared" si="63"/>
        <v>-8.3572497526000294E-2</v>
      </c>
    </row>
    <row r="4050" spans="1:3" x14ac:dyDescent="0.2">
      <c r="A4050" s="3">
        <v>39875</v>
      </c>
      <c r="B4050" s="2">
        <v>2.5968</v>
      </c>
      <c r="C4050" s="2">
        <f t="shared" si="63"/>
        <v>-8.1108540722884398E-2</v>
      </c>
    </row>
    <row r="4051" spans="1:3" x14ac:dyDescent="0.2">
      <c r="A4051" s="3">
        <v>39874</v>
      </c>
      <c r="B4051" s="2">
        <v>2.8161999999999998</v>
      </c>
      <c r="C4051" s="2">
        <f t="shared" si="63"/>
        <v>-3.3589025037344795E-2</v>
      </c>
    </row>
    <row r="4052" spans="1:3" x14ac:dyDescent="0.2">
      <c r="A4052" s="3">
        <v>39871</v>
      </c>
      <c r="B4052" s="2">
        <v>2.9123999999999999</v>
      </c>
      <c r="C4052" s="2">
        <f t="shared" si="63"/>
        <v>-1.7528485134643071E-2</v>
      </c>
    </row>
    <row r="4053" spans="1:3" x14ac:dyDescent="0.2">
      <c r="A4053" s="3">
        <v>39870</v>
      </c>
      <c r="B4053" s="2">
        <v>2.9639000000000002</v>
      </c>
      <c r="C4053" s="2">
        <f t="shared" si="63"/>
        <v>2.1381524165941763E-2</v>
      </c>
    </row>
    <row r="4054" spans="1:3" x14ac:dyDescent="0.2">
      <c r="A4054" s="3">
        <v>39869</v>
      </c>
      <c r="B4054" s="2">
        <v>2.9011999999999998</v>
      </c>
      <c r="C4054" s="2">
        <f t="shared" si="63"/>
        <v>3.133516188301997E-2</v>
      </c>
    </row>
    <row r="4055" spans="1:3" x14ac:dyDescent="0.2">
      <c r="A4055" s="3">
        <v>39868</v>
      </c>
      <c r="B4055" s="2">
        <v>2.8117000000000001</v>
      </c>
      <c r="C4055" s="2">
        <f t="shared" si="63"/>
        <v>1.4436674941622459E-2</v>
      </c>
    </row>
    <row r="4056" spans="1:3" x14ac:dyDescent="0.2">
      <c r="A4056" s="3">
        <v>39867</v>
      </c>
      <c r="B4056" s="2">
        <v>2.7713999999999999</v>
      </c>
      <c r="C4056" s="2">
        <f t="shared" si="63"/>
        <v>1.8757492756292297E-2</v>
      </c>
    </row>
    <row r="4057" spans="1:3" x14ac:dyDescent="0.2">
      <c r="A4057" s="3">
        <v>39864</v>
      </c>
      <c r="B4057" s="2">
        <v>2.7199</v>
      </c>
      <c r="C4057" s="2">
        <f t="shared" si="63"/>
        <v>-2.6807561385128298E-2</v>
      </c>
    </row>
    <row r="4058" spans="1:3" x14ac:dyDescent="0.2">
      <c r="A4058" s="3">
        <v>39863</v>
      </c>
      <c r="B4058" s="2">
        <v>2.7938000000000001</v>
      </c>
      <c r="C4058" s="2">
        <f t="shared" si="63"/>
        <v>1.9408260226945209E-2</v>
      </c>
    </row>
    <row r="4059" spans="1:3" x14ac:dyDescent="0.2">
      <c r="A4059" s="3">
        <v>39862</v>
      </c>
      <c r="B4059" s="2">
        <v>2.7401</v>
      </c>
      <c r="C4059" s="2">
        <f t="shared" si="63"/>
        <v>-2.5794866539731932E-2</v>
      </c>
    </row>
    <row r="4060" spans="1:3" x14ac:dyDescent="0.2">
      <c r="A4060" s="3">
        <v>39861</v>
      </c>
      <c r="B4060" s="2">
        <v>2.8117000000000001</v>
      </c>
      <c r="C4060" s="2">
        <f t="shared" si="63"/>
        <v>-1.8918673853034806E-2</v>
      </c>
    </row>
    <row r="4061" spans="1:3" x14ac:dyDescent="0.2">
      <c r="A4061" s="3">
        <v>39860</v>
      </c>
      <c r="B4061" s="2">
        <v>2.8654000000000002</v>
      </c>
      <c r="C4061" s="2">
        <f t="shared" si="63"/>
        <v>9.3969835941145469E-3</v>
      </c>
    </row>
    <row r="4062" spans="1:3" x14ac:dyDescent="0.2">
      <c r="A4062" s="3">
        <v>39857</v>
      </c>
      <c r="B4062" s="2">
        <v>2.8386</v>
      </c>
      <c r="C4062" s="2">
        <f t="shared" si="63"/>
        <v>-4.0187677975041247E-2</v>
      </c>
    </row>
    <row r="4063" spans="1:3" x14ac:dyDescent="0.2">
      <c r="A4063" s="3">
        <v>39856</v>
      </c>
      <c r="B4063" s="2">
        <v>2.9550000000000001</v>
      </c>
      <c r="C4063" s="2">
        <f t="shared" si="63"/>
        <v>4.9709368233961375E-2</v>
      </c>
    </row>
    <row r="4064" spans="1:3" x14ac:dyDescent="0.2">
      <c r="A4064" s="3">
        <v>39854</v>
      </c>
      <c r="B4064" s="2">
        <v>2.8117000000000001</v>
      </c>
      <c r="C4064" s="2">
        <f t="shared" si="63"/>
        <v>-3.1957984730645959E-3</v>
      </c>
    </row>
    <row r="4065" spans="1:3" x14ac:dyDescent="0.2">
      <c r="A4065" s="3">
        <v>39853</v>
      </c>
      <c r="B4065" s="2">
        <v>2.8207</v>
      </c>
      <c r="C4065" s="2">
        <f t="shared" si="63"/>
        <v>7.9729911590101631E-3</v>
      </c>
    </row>
    <row r="4066" spans="1:3" x14ac:dyDescent="0.2">
      <c r="A4066" s="3">
        <v>39850</v>
      </c>
      <c r="B4066" s="2">
        <v>2.7982999999999998</v>
      </c>
      <c r="C4066" s="2">
        <f t="shared" si="63"/>
        <v>-4.7771926859455308E-3</v>
      </c>
    </row>
    <row r="4067" spans="1:3" x14ac:dyDescent="0.2">
      <c r="A4067" s="3">
        <v>39847</v>
      </c>
      <c r="B4067" s="2">
        <v>2.8117000000000001</v>
      </c>
      <c r="C4067" s="2">
        <f t="shared" si="63"/>
        <v>-1.4231219927949365E-2</v>
      </c>
    </row>
    <row r="4068" spans="1:3" x14ac:dyDescent="0.2">
      <c r="A4068" s="3">
        <v>39846</v>
      </c>
      <c r="B4068" s="2">
        <v>2.8519999999999999</v>
      </c>
      <c r="C4068" s="2">
        <f t="shared" si="63"/>
        <v>-4.6874539250854998E-3</v>
      </c>
    </row>
    <row r="4069" spans="1:3" x14ac:dyDescent="0.2">
      <c r="A4069" s="3">
        <v>39843</v>
      </c>
      <c r="B4069" s="2">
        <v>2.8654000000000002</v>
      </c>
      <c r="C4069" s="2">
        <f t="shared" si="63"/>
        <v>-3.0790694380926579E-2</v>
      </c>
    </row>
    <row r="4070" spans="1:3" x14ac:dyDescent="0.2">
      <c r="A4070" s="3">
        <v>39842</v>
      </c>
      <c r="B4070" s="2">
        <v>2.9550000000000001</v>
      </c>
      <c r="C4070" s="2">
        <f t="shared" si="63"/>
        <v>-2.6152484925264508E-2</v>
      </c>
    </row>
    <row r="4071" spans="1:3" x14ac:dyDescent="0.2">
      <c r="A4071" s="3">
        <v>39841</v>
      </c>
      <c r="B4071" s="2">
        <v>3.0333000000000001</v>
      </c>
      <c r="C4071" s="2">
        <f t="shared" si="63"/>
        <v>2.6152484925264487E-2</v>
      </c>
    </row>
    <row r="4072" spans="1:3" x14ac:dyDescent="0.2">
      <c r="A4072" s="3">
        <v>39840</v>
      </c>
      <c r="B4072" s="2">
        <v>2.9550000000000001</v>
      </c>
      <c r="C4072" s="2">
        <f t="shared" si="63"/>
        <v>-4.524436255779851E-3</v>
      </c>
    </row>
    <row r="4073" spans="1:3" x14ac:dyDescent="0.2">
      <c r="A4073" s="3">
        <v>39839</v>
      </c>
      <c r="B4073" s="2">
        <v>2.9683999999999999</v>
      </c>
      <c r="C4073" s="2">
        <f t="shared" si="63"/>
        <v>-6.7819632113142051E-3</v>
      </c>
    </row>
    <row r="4074" spans="1:3" x14ac:dyDescent="0.2">
      <c r="A4074" s="3">
        <v>39836</v>
      </c>
      <c r="B4074" s="2">
        <v>2.9885999999999999</v>
      </c>
      <c r="C4074" s="2">
        <f t="shared" si="63"/>
        <v>1.7382350339649355E-2</v>
      </c>
    </row>
    <row r="4075" spans="1:3" x14ac:dyDescent="0.2">
      <c r="A4075" s="3">
        <v>39835</v>
      </c>
      <c r="B4075" s="2">
        <v>2.9371</v>
      </c>
      <c r="C4075" s="2">
        <f t="shared" si="63"/>
        <v>-5.7007081547996989E-2</v>
      </c>
    </row>
    <row r="4076" spans="1:3" x14ac:dyDescent="0.2">
      <c r="A4076" s="3">
        <v>39834</v>
      </c>
      <c r="B4076" s="2">
        <v>3.1093999999999999</v>
      </c>
      <c r="C4076" s="2">
        <f t="shared" si="63"/>
        <v>-5.8037082606230597E-2</v>
      </c>
    </row>
    <row r="4077" spans="1:3" x14ac:dyDescent="0.2">
      <c r="A4077" s="3">
        <v>39833</v>
      </c>
      <c r="B4077" s="2">
        <v>3.2951999999999999</v>
      </c>
      <c r="C4077" s="2">
        <f t="shared" si="63"/>
        <v>-3.2102369984852136E-2</v>
      </c>
    </row>
    <row r="4078" spans="1:3" x14ac:dyDescent="0.2">
      <c r="A4078" s="3">
        <v>39829</v>
      </c>
      <c r="B4078" s="2">
        <v>3.4026999999999998</v>
      </c>
      <c r="C4078" s="2">
        <f t="shared" si="63"/>
        <v>5.4070486656366934E-2</v>
      </c>
    </row>
    <row r="4079" spans="1:3" x14ac:dyDescent="0.2">
      <c r="A4079" s="3">
        <v>39828</v>
      </c>
      <c r="B4079" s="2">
        <v>3.2235999999999998</v>
      </c>
      <c r="C4079" s="2">
        <f t="shared" si="63"/>
        <v>-7.9402988746116718E-2</v>
      </c>
    </row>
    <row r="4080" spans="1:3" x14ac:dyDescent="0.2">
      <c r="A4080" s="3">
        <v>39827</v>
      </c>
      <c r="B4080" s="2">
        <v>3.49</v>
      </c>
      <c r="C4080" s="2">
        <f t="shared" si="63"/>
        <v>-4.7588733230060472E-2</v>
      </c>
    </row>
    <row r="4081" spans="1:3" x14ac:dyDescent="0.2">
      <c r="A4081" s="3">
        <v>39826</v>
      </c>
      <c r="B4081" s="2">
        <v>3.6600999999999999</v>
      </c>
      <c r="C4081" s="2">
        <f t="shared" si="63"/>
        <v>2.4140867340639974E-2</v>
      </c>
    </row>
    <row r="4082" spans="1:3" x14ac:dyDescent="0.2">
      <c r="A4082" s="3">
        <v>39825</v>
      </c>
      <c r="B4082" s="2">
        <v>3.5728</v>
      </c>
      <c r="C4082" s="2">
        <f t="shared" si="63"/>
        <v>-2.5158652467455519E-3</v>
      </c>
    </row>
    <row r="4083" spans="1:3" x14ac:dyDescent="0.2">
      <c r="A4083" s="3">
        <v>39821</v>
      </c>
      <c r="B4083" s="2">
        <v>3.5817999999999999</v>
      </c>
      <c r="C4083" s="2">
        <f t="shared" si="63"/>
        <v>-6.0608198785432728E-2</v>
      </c>
    </row>
    <row r="4084" spans="1:3" x14ac:dyDescent="0.2">
      <c r="A4084" s="3">
        <v>39820</v>
      </c>
      <c r="B4084" s="2">
        <v>3.8056000000000001</v>
      </c>
      <c r="C4084" s="2">
        <f t="shared" si="63"/>
        <v>-4.261983088057144E-2</v>
      </c>
    </row>
    <row r="4085" spans="1:3" x14ac:dyDescent="0.2">
      <c r="A4085" s="3">
        <v>39819</v>
      </c>
      <c r="B4085" s="2">
        <v>3.9712999999999998</v>
      </c>
      <c r="C4085" s="2">
        <f t="shared" si="63"/>
        <v>3.3799154408025193E-3</v>
      </c>
    </row>
    <row r="4086" spans="1:3" x14ac:dyDescent="0.2">
      <c r="A4086" s="3">
        <v>39818</v>
      </c>
      <c r="B4086" s="2">
        <v>3.9579</v>
      </c>
      <c r="C4086" s="2">
        <f t="shared" si="63"/>
        <v>1.5968555689349396E-2</v>
      </c>
    </row>
    <row r="4087" spans="1:3" x14ac:dyDescent="0.2">
      <c r="A4087" s="3">
        <v>39812</v>
      </c>
      <c r="B4087" s="2">
        <v>3.8952</v>
      </c>
      <c r="C4087" s="2">
        <f t="shared" si="63"/>
        <v>8.2623995529988781E-2</v>
      </c>
    </row>
    <row r="4088" spans="1:3" x14ac:dyDescent="0.2">
      <c r="A4088" s="3">
        <v>39811</v>
      </c>
      <c r="B4088" s="2">
        <v>3.5863</v>
      </c>
      <c r="C4088" s="2">
        <f t="shared" si="63"/>
        <v>2.4015263480219488E-2</v>
      </c>
    </row>
    <row r="4089" spans="1:3" x14ac:dyDescent="0.2">
      <c r="A4089" s="3">
        <v>39805</v>
      </c>
      <c r="B4089" s="2">
        <v>3.5011999999999999</v>
      </c>
      <c r="C4089" s="2">
        <f t="shared" si="63"/>
        <v>-1.0173143347197718E-2</v>
      </c>
    </row>
    <row r="4090" spans="1:3" x14ac:dyDescent="0.2">
      <c r="A4090" s="3">
        <v>39804</v>
      </c>
      <c r="B4090" s="2">
        <v>3.5369999999999999</v>
      </c>
      <c r="C4090" s="2">
        <f t="shared" si="63"/>
        <v>-2.5623104887897645E-2</v>
      </c>
    </row>
    <row r="4091" spans="1:3" x14ac:dyDescent="0.2">
      <c r="A4091" s="3">
        <v>39801</v>
      </c>
      <c r="B4091" s="2">
        <v>3.6288</v>
      </c>
      <c r="C4091" s="2">
        <f t="shared" si="63"/>
        <v>6.0644487345302837E-4</v>
      </c>
    </row>
    <row r="4092" spans="1:3" x14ac:dyDescent="0.2">
      <c r="A4092" s="3">
        <v>39800</v>
      </c>
      <c r="B4092" s="2">
        <v>3.6265999999999998</v>
      </c>
      <c r="C4092" s="2">
        <f t="shared" si="63"/>
        <v>-8.5936420144036192E-3</v>
      </c>
    </row>
    <row r="4093" spans="1:3" x14ac:dyDescent="0.2">
      <c r="A4093" s="3">
        <v>39799</v>
      </c>
      <c r="B4093" s="2">
        <v>3.6579000000000002</v>
      </c>
      <c r="C4093" s="2">
        <f t="shared" si="63"/>
        <v>-2.2998216670100168E-2</v>
      </c>
    </row>
    <row r="4094" spans="1:3" x14ac:dyDescent="0.2">
      <c r="A4094" s="3">
        <v>39798</v>
      </c>
      <c r="B4094" s="2">
        <v>3.7429999999999999</v>
      </c>
      <c r="C4094" s="2">
        <f t="shared" si="63"/>
        <v>-4.7708615391971543E-3</v>
      </c>
    </row>
    <row r="4095" spans="1:3" x14ac:dyDescent="0.2">
      <c r="A4095" s="3">
        <v>39797</v>
      </c>
      <c r="B4095" s="2">
        <v>3.7608999999999999</v>
      </c>
      <c r="C4095" s="2">
        <f t="shared" si="63"/>
        <v>3.023253815112582E-2</v>
      </c>
    </row>
    <row r="4096" spans="1:3" x14ac:dyDescent="0.2">
      <c r="A4096" s="3">
        <v>39794</v>
      </c>
      <c r="B4096" s="2">
        <v>3.6488999999999998</v>
      </c>
      <c r="C4096" s="2">
        <f t="shared" si="63"/>
        <v>-9.7904977739203813E-3</v>
      </c>
    </row>
    <row r="4097" spans="1:3" x14ac:dyDescent="0.2">
      <c r="A4097" s="3">
        <v>39793</v>
      </c>
      <c r="B4097" s="2">
        <v>3.6848000000000001</v>
      </c>
      <c r="C4097" s="2">
        <f t="shared" si="63"/>
        <v>2.445454035047027E-3</v>
      </c>
    </row>
    <row r="4098" spans="1:3" x14ac:dyDescent="0.2">
      <c r="A4098" s="3">
        <v>39792</v>
      </c>
      <c r="B4098" s="2">
        <v>3.6758000000000002</v>
      </c>
      <c r="C4098" s="2">
        <f t="shared" si="63"/>
        <v>-1.3322901059532277E-2</v>
      </c>
    </row>
    <row r="4099" spans="1:3" x14ac:dyDescent="0.2">
      <c r="A4099" s="3">
        <v>39791</v>
      </c>
      <c r="B4099" s="2">
        <v>3.7250999999999999</v>
      </c>
      <c r="C4099" s="2">
        <f t="shared" ref="C4099:C4162" si="64">+LN(B4099/B4100)</f>
        <v>2.4189658626422141E-3</v>
      </c>
    </row>
    <row r="4100" spans="1:3" x14ac:dyDescent="0.2">
      <c r="A4100" s="3">
        <v>39787</v>
      </c>
      <c r="B4100" s="2">
        <v>3.7161</v>
      </c>
      <c r="C4100" s="2">
        <f t="shared" si="64"/>
        <v>-5.9184334020718164E-4</v>
      </c>
    </row>
    <row r="4101" spans="1:3" x14ac:dyDescent="0.2">
      <c r="A4101" s="3">
        <v>39786</v>
      </c>
      <c r="B4101" s="2">
        <v>3.7183000000000002</v>
      </c>
      <c r="C4101" s="2">
        <f t="shared" si="64"/>
        <v>-8.9958037504357762E-3</v>
      </c>
    </row>
    <row r="4102" spans="1:3" x14ac:dyDescent="0.2">
      <c r="A4102" s="3">
        <v>39785</v>
      </c>
      <c r="B4102" s="2">
        <v>3.7519</v>
      </c>
      <c r="C4102" s="2">
        <f t="shared" si="64"/>
        <v>1.1985503640795188E-2</v>
      </c>
    </row>
    <row r="4103" spans="1:3" x14ac:dyDescent="0.2">
      <c r="A4103" s="3">
        <v>39784</v>
      </c>
      <c r="B4103" s="2">
        <v>3.7071999999999998</v>
      </c>
      <c r="C4103" s="2">
        <f t="shared" si="64"/>
        <v>2.3222906560105609E-2</v>
      </c>
    </row>
    <row r="4104" spans="1:3" x14ac:dyDescent="0.2">
      <c r="A4104" s="3">
        <v>39783</v>
      </c>
      <c r="B4104" s="2">
        <v>3.6221000000000001</v>
      </c>
      <c r="C4104" s="2">
        <f t="shared" si="64"/>
        <v>-2.5620763110257853E-2</v>
      </c>
    </row>
    <row r="4105" spans="1:3" x14ac:dyDescent="0.2">
      <c r="A4105" s="3">
        <v>39779</v>
      </c>
      <c r="B4105" s="2">
        <v>3.7161</v>
      </c>
      <c r="C4105" s="2">
        <f t="shared" si="64"/>
        <v>1.2128908468714372E-2</v>
      </c>
    </row>
    <row r="4106" spans="1:3" x14ac:dyDescent="0.2">
      <c r="A4106" s="3">
        <v>39778</v>
      </c>
      <c r="B4106" s="2">
        <v>3.6713</v>
      </c>
      <c r="C4106" s="2">
        <f t="shared" si="64"/>
        <v>1.4735000235844157E-2</v>
      </c>
    </row>
    <row r="4107" spans="1:3" x14ac:dyDescent="0.2">
      <c r="A4107" s="3">
        <v>39777</v>
      </c>
      <c r="B4107" s="2">
        <v>3.6175999999999999</v>
      </c>
      <c r="C4107" s="2">
        <f t="shared" si="64"/>
        <v>9.9453551910664642E-3</v>
      </c>
    </row>
    <row r="4108" spans="1:3" x14ac:dyDescent="0.2">
      <c r="A4108" s="3">
        <v>39776</v>
      </c>
      <c r="B4108" s="2">
        <v>3.5817999999999999</v>
      </c>
      <c r="C4108" s="2">
        <f t="shared" si="64"/>
        <v>2.533355724461183E-2</v>
      </c>
    </row>
    <row r="4109" spans="1:3" x14ac:dyDescent="0.2">
      <c r="A4109" s="3">
        <v>39773</v>
      </c>
      <c r="B4109" s="2">
        <v>3.4922</v>
      </c>
      <c r="C4109" s="2">
        <f t="shared" si="64"/>
        <v>-1.2124810555822239E-2</v>
      </c>
    </row>
    <row r="4110" spans="1:3" x14ac:dyDescent="0.2">
      <c r="A4110" s="3">
        <v>39772</v>
      </c>
      <c r="B4110" s="2">
        <v>3.5348000000000002</v>
      </c>
      <c r="C4110" s="2">
        <f t="shared" si="64"/>
        <v>-3.0562461178418161E-2</v>
      </c>
    </row>
    <row r="4111" spans="1:3" x14ac:dyDescent="0.2">
      <c r="A4111" s="3">
        <v>39771</v>
      </c>
      <c r="B4111" s="2">
        <v>3.6444999999999999</v>
      </c>
      <c r="C4111" s="2">
        <f t="shared" si="64"/>
        <v>-2.965603141010522E-2</v>
      </c>
    </row>
    <row r="4112" spans="1:3" x14ac:dyDescent="0.2">
      <c r="A4112" s="3">
        <v>39770</v>
      </c>
      <c r="B4112" s="2">
        <v>3.7542</v>
      </c>
      <c r="C4112" s="2">
        <f t="shared" si="64"/>
        <v>-2.6469853091376418E-2</v>
      </c>
    </row>
    <row r="4113" spans="1:3" x14ac:dyDescent="0.2">
      <c r="A4113" s="3">
        <v>39769</v>
      </c>
      <c r="B4113" s="2">
        <v>3.8549000000000002</v>
      </c>
      <c r="C4113" s="2">
        <f t="shared" si="64"/>
        <v>-2.5787230072086595E-2</v>
      </c>
    </row>
    <row r="4114" spans="1:3" x14ac:dyDescent="0.2">
      <c r="A4114" s="3">
        <v>39766</v>
      </c>
      <c r="B4114" s="2">
        <v>3.9556</v>
      </c>
      <c r="C4114" s="2">
        <f t="shared" si="64"/>
        <v>6.238449973975331E-3</v>
      </c>
    </row>
    <row r="4115" spans="1:3" x14ac:dyDescent="0.2">
      <c r="A4115" s="3">
        <v>39765</v>
      </c>
      <c r="B4115" s="2">
        <v>3.931</v>
      </c>
      <c r="C4115" s="2">
        <f t="shared" si="64"/>
        <v>9.148820553369295E-3</v>
      </c>
    </row>
    <row r="4116" spans="1:3" x14ac:dyDescent="0.2">
      <c r="A4116" s="3">
        <v>39764</v>
      </c>
      <c r="B4116" s="2">
        <v>3.8952</v>
      </c>
      <c r="C4116" s="2">
        <f t="shared" si="64"/>
        <v>-4.055085486935011E-2</v>
      </c>
    </row>
    <row r="4117" spans="1:3" x14ac:dyDescent="0.2">
      <c r="A4117" s="3">
        <v>39763</v>
      </c>
      <c r="B4117" s="2">
        <v>4.0564</v>
      </c>
      <c r="C4117" s="2">
        <f t="shared" si="64"/>
        <v>-4.4030720402909607E-3</v>
      </c>
    </row>
    <row r="4118" spans="1:3" x14ac:dyDescent="0.2">
      <c r="A4118" s="3">
        <v>39762</v>
      </c>
      <c r="B4118" s="2">
        <v>4.0743</v>
      </c>
      <c r="C4118" s="2">
        <f t="shared" si="64"/>
        <v>2.2114117813544199E-3</v>
      </c>
    </row>
    <row r="4119" spans="1:3" x14ac:dyDescent="0.2">
      <c r="A4119" s="3">
        <v>39759</v>
      </c>
      <c r="B4119" s="2">
        <v>4.0652999999999997</v>
      </c>
      <c r="C4119" s="2">
        <f t="shared" si="64"/>
        <v>1.2848778644360391E-2</v>
      </c>
    </row>
    <row r="4120" spans="1:3" x14ac:dyDescent="0.2">
      <c r="A4120" s="3">
        <v>39758</v>
      </c>
      <c r="B4120" s="2">
        <v>4.0133999999999999</v>
      </c>
      <c r="C4120" s="2">
        <f t="shared" si="64"/>
        <v>-2.5121571060281345E-2</v>
      </c>
    </row>
    <row r="4121" spans="1:3" x14ac:dyDescent="0.2">
      <c r="A4121" s="3">
        <v>39757</v>
      </c>
      <c r="B4121" s="2">
        <v>4.1154999999999999</v>
      </c>
      <c r="C4121" s="2">
        <f t="shared" si="64"/>
        <v>-7.5766190362582869E-3</v>
      </c>
    </row>
    <row r="4122" spans="1:3" x14ac:dyDescent="0.2">
      <c r="A4122" s="3">
        <v>39756</v>
      </c>
      <c r="B4122" s="2">
        <v>4.1467999999999998</v>
      </c>
      <c r="C4122" s="2">
        <f t="shared" si="64"/>
        <v>1.4354487776856622E-2</v>
      </c>
    </row>
    <row r="4123" spans="1:3" x14ac:dyDescent="0.2">
      <c r="A4123" s="3">
        <v>39755</v>
      </c>
      <c r="B4123" s="2">
        <v>4.0876999999999999</v>
      </c>
      <c r="C4123" s="2">
        <f t="shared" si="64"/>
        <v>2.5520437590297724E-2</v>
      </c>
    </row>
    <row r="4124" spans="1:3" x14ac:dyDescent="0.2">
      <c r="A4124" s="3">
        <v>39752</v>
      </c>
      <c r="B4124" s="2">
        <v>3.9847000000000001</v>
      </c>
      <c r="C4124" s="2">
        <f t="shared" si="64"/>
        <v>1.8132128358425897E-2</v>
      </c>
    </row>
    <row r="4125" spans="1:3" x14ac:dyDescent="0.2">
      <c r="A4125" s="3">
        <v>39751</v>
      </c>
      <c r="B4125" s="2">
        <v>3.9131</v>
      </c>
      <c r="C4125" s="2">
        <f t="shared" si="64"/>
        <v>1.1980193674286703E-2</v>
      </c>
    </row>
    <row r="4126" spans="1:3" x14ac:dyDescent="0.2">
      <c r="A4126" s="3">
        <v>39750</v>
      </c>
      <c r="B4126" s="2">
        <v>3.8664999999999998</v>
      </c>
      <c r="C4126" s="2">
        <f t="shared" si="64"/>
        <v>-1.6280545763944277E-3</v>
      </c>
    </row>
    <row r="4127" spans="1:3" x14ac:dyDescent="0.2">
      <c r="A4127" s="3">
        <v>39749</v>
      </c>
      <c r="B4127" s="2">
        <v>3.8727999999999998</v>
      </c>
      <c r="C4127" s="2">
        <f t="shared" si="64"/>
        <v>9.9908708197061682E-3</v>
      </c>
    </row>
    <row r="4128" spans="1:3" x14ac:dyDescent="0.2">
      <c r="A4128" s="3">
        <v>39748</v>
      </c>
      <c r="B4128" s="2">
        <v>3.8342999999999998</v>
      </c>
      <c r="C4128" s="2">
        <f t="shared" si="64"/>
        <v>3.6140674032892589E-2</v>
      </c>
    </row>
    <row r="4129" spans="1:3" x14ac:dyDescent="0.2">
      <c r="A4129" s="3">
        <v>39745</v>
      </c>
      <c r="B4129" s="2">
        <v>3.6981999999999999</v>
      </c>
      <c r="C4129" s="2">
        <f t="shared" si="64"/>
        <v>-1.5854399558068968E-2</v>
      </c>
    </row>
    <row r="4130" spans="1:3" x14ac:dyDescent="0.2">
      <c r="A4130" s="3">
        <v>39744</v>
      </c>
      <c r="B4130" s="2">
        <v>3.7572999999999999</v>
      </c>
      <c r="C4130" s="2">
        <f t="shared" si="64"/>
        <v>2.3890496450704263E-2</v>
      </c>
    </row>
    <row r="4131" spans="1:3" x14ac:dyDescent="0.2">
      <c r="A4131" s="3">
        <v>39743</v>
      </c>
      <c r="B4131" s="2">
        <v>3.6686000000000001</v>
      </c>
      <c r="C4131" s="2">
        <f t="shared" si="64"/>
        <v>-5.5995144813134343E-3</v>
      </c>
    </row>
    <row r="4132" spans="1:3" x14ac:dyDescent="0.2">
      <c r="A4132" s="3">
        <v>39742</v>
      </c>
      <c r="B4132" s="2">
        <v>3.6892</v>
      </c>
      <c r="C4132" s="2">
        <f t="shared" si="64"/>
        <v>5.8176050988291532E-3</v>
      </c>
    </row>
    <row r="4133" spans="1:3" x14ac:dyDescent="0.2">
      <c r="A4133" s="3">
        <v>39741</v>
      </c>
      <c r="B4133" s="2">
        <v>3.6678000000000002</v>
      </c>
      <c r="C4133" s="2">
        <f t="shared" si="64"/>
        <v>-1.2113476848220263E-2</v>
      </c>
    </row>
    <row r="4134" spans="1:3" x14ac:dyDescent="0.2">
      <c r="A4134" s="3">
        <v>39738</v>
      </c>
      <c r="B4134" s="2">
        <v>3.7124999999999999</v>
      </c>
      <c r="C4134" s="2">
        <f t="shared" si="64"/>
        <v>7.2450372330633353E-3</v>
      </c>
    </row>
    <row r="4135" spans="1:3" x14ac:dyDescent="0.2">
      <c r="A4135" s="3">
        <v>39737</v>
      </c>
      <c r="B4135" s="2">
        <v>3.6857000000000002</v>
      </c>
      <c r="C4135" s="2">
        <f t="shared" si="64"/>
        <v>-2.8989061359937182E-3</v>
      </c>
    </row>
    <row r="4136" spans="1:3" x14ac:dyDescent="0.2">
      <c r="A4136" s="3">
        <v>39736</v>
      </c>
      <c r="B4136" s="2">
        <v>3.6964000000000001</v>
      </c>
      <c r="C4136" s="2">
        <f t="shared" si="64"/>
        <v>-3.241973434667355E-2</v>
      </c>
    </row>
    <row r="4137" spans="1:3" x14ac:dyDescent="0.2">
      <c r="A4137" s="3">
        <v>39735</v>
      </c>
      <c r="B4137" s="2">
        <v>3.8182</v>
      </c>
      <c r="C4137" s="2">
        <f t="shared" si="64"/>
        <v>6.1210473391411901E-3</v>
      </c>
    </row>
    <row r="4138" spans="1:3" x14ac:dyDescent="0.2">
      <c r="A4138" s="3">
        <v>39734</v>
      </c>
      <c r="B4138" s="2">
        <v>3.7949000000000002</v>
      </c>
      <c r="C4138" s="2">
        <f t="shared" si="64"/>
        <v>7.7500858475897216E-2</v>
      </c>
    </row>
    <row r="4139" spans="1:3" x14ac:dyDescent="0.2">
      <c r="A4139" s="3">
        <v>39731</v>
      </c>
      <c r="B4139" s="2">
        <v>3.5118999999999998</v>
      </c>
      <c r="C4139" s="2">
        <f t="shared" si="64"/>
        <v>-1.9205598849225448E-2</v>
      </c>
    </row>
    <row r="4140" spans="1:3" x14ac:dyDescent="0.2">
      <c r="A4140" s="3">
        <v>39730</v>
      </c>
      <c r="B4140" s="2">
        <v>3.58</v>
      </c>
      <c r="C4140" s="2">
        <f t="shared" si="64"/>
        <v>7.2600728727729685E-2</v>
      </c>
    </row>
    <row r="4141" spans="1:3" x14ac:dyDescent="0.2">
      <c r="A4141" s="3">
        <v>39729</v>
      </c>
      <c r="B4141" s="2">
        <v>3.3292999999999999</v>
      </c>
      <c r="C4141" s="2">
        <f t="shared" si="64"/>
        <v>-2.9156584291455578E-2</v>
      </c>
    </row>
    <row r="4142" spans="1:3" x14ac:dyDescent="0.2">
      <c r="A4142" s="3">
        <v>39728</v>
      </c>
      <c r="B4142" s="2">
        <v>3.4278</v>
      </c>
      <c r="C4142" s="2">
        <f t="shared" si="64"/>
        <v>-2.6797982770827272E-2</v>
      </c>
    </row>
    <row r="4143" spans="1:3" x14ac:dyDescent="0.2">
      <c r="A4143" s="3">
        <v>39727</v>
      </c>
      <c r="B4143" s="2">
        <v>3.5209000000000001</v>
      </c>
      <c r="C4143" s="2">
        <f t="shared" si="64"/>
        <v>-0.14268798517708142</v>
      </c>
    </row>
    <row r="4144" spans="1:3" x14ac:dyDescent="0.2">
      <c r="A4144" s="3">
        <v>39724</v>
      </c>
      <c r="B4144" s="2">
        <v>4.0609000000000002</v>
      </c>
      <c r="C4144" s="2">
        <f t="shared" si="64"/>
        <v>4.8629463528034513E-3</v>
      </c>
    </row>
    <row r="4145" spans="1:3" x14ac:dyDescent="0.2">
      <c r="A4145" s="3">
        <v>39723</v>
      </c>
      <c r="B4145" s="2">
        <v>4.0411999999999999</v>
      </c>
      <c r="C4145" s="2">
        <f t="shared" si="64"/>
        <v>-1.1220590163691523E-2</v>
      </c>
    </row>
    <row r="4146" spans="1:3" x14ac:dyDescent="0.2">
      <c r="A4146" s="3">
        <v>39722</v>
      </c>
      <c r="B4146" s="2">
        <v>4.0868000000000002</v>
      </c>
      <c r="C4146" s="2">
        <f t="shared" si="64"/>
        <v>-1.1991047128424333E-2</v>
      </c>
    </row>
    <row r="4147" spans="1:3" x14ac:dyDescent="0.2">
      <c r="A4147" s="3">
        <v>39721</v>
      </c>
      <c r="B4147" s="2">
        <v>4.1360999999999999</v>
      </c>
      <c r="C4147" s="2">
        <f t="shared" si="64"/>
        <v>4.3528729648420868E-4</v>
      </c>
    </row>
    <row r="4148" spans="1:3" x14ac:dyDescent="0.2">
      <c r="A4148" s="3">
        <v>39720</v>
      </c>
      <c r="B4148" s="2">
        <v>4.1342999999999996</v>
      </c>
      <c r="C4148" s="2">
        <f t="shared" si="64"/>
        <v>-8.6668656470823668E-2</v>
      </c>
    </row>
    <row r="4149" spans="1:3" x14ac:dyDescent="0.2">
      <c r="A4149" s="3">
        <v>39717</v>
      </c>
      <c r="B4149" s="2">
        <v>4.5086000000000004</v>
      </c>
      <c r="C4149" s="2">
        <f t="shared" si="64"/>
        <v>5.5826926279302367E-3</v>
      </c>
    </row>
    <row r="4150" spans="1:3" x14ac:dyDescent="0.2">
      <c r="A4150" s="3">
        <v>39716</v>
      </c>
      <c r="B4150" s="2">
        <v>4.4835000000000003</v>
      </c>
      <c r="C4150" s="2">
        <f t="shared" si="64"/>
        <v>-8.0262194128825177E-4</v>
      </c>
    </row>
    <row r="4151" spans="1:3" x14ac:dyDescent="0.2">
      <c r="A4151" s="3">
        <v>39715</v>
      </c>
      <c r="B4151" s="2">
        <v>4.4870999999999999</v>
      </c>
      <c r="C4151" s="2">
        <f t="shared" si="64"/>
        <v>7.2244468144455525E-3</v>
      </c>
    </row>
    <row r="4152" spans="1:3" x14ac:dyDescent="0.2">
      <c r="A4152" s="3">
        <v>39714</v>
      </c>
      <c r="B4152" s="2">
        <v>4.4547999999999996</v>
      </c>
      <c r="C4152" s="2">
        <f t="shared" si="64"/>
        <v>-2.6580815388116567E-2</v>
      </c>
    </row>
    <row r="4153" spans="1:3" x14ac:dyDescent="0.2">
      <c r="A4153" s="3">
        <v>39713</v>
      </c>
      <c r="B4153" s="2">
        <v>4.5747999999999998</v>
      </c>
      <c r="C4153" s="2">
        <f t="shared" si="64"/>
        <v>2.6176838454193725E-2</v>
      </c>
    </row>
    <row r="4154" spans="1:3" x14ac:dyDescent="0.2">
      <c r="A4154" s="3">
        <v>39710</v>
      </c>
      <c r="B4154" s="2">
        <v>4.4565999999999999</v>
      </c>
      <c r="C4154" s="2">
        <f t="shared" si="64"/>
        <v>-2.0301432417558867E-2</v>
      </c>
    </row>
    <row r="4155" spans="1:3" x14ac:dyDescent="0.2">
      <c r="A4155" s="3">
        <v>39709</v>
      </c>
      <c r="B4155" s="2">
        <v>4.548</v>
      </c>
      <c r="C4155" s="2">
        <f t="shared" si="64"/>
        <v>-7.5975181219476787E-2</v>
      </c>
    </row>
    <row r="4156" spans="1:3" x14ac:dyDescent="0.2">
      <c r="A4156" s="3">
        <v>39708</v>
      </c>
      <c r="B4156" s="2">
        <v>4.907</v>
      </c>
      <c r="C4156" s="2">
        <f t="shared" si="64"/>
        <v>-3.9361788934722468E-2</v>
      </c>
    </row>
    <row r="4157" spans="1:3" x14ac:dyDescent="0.2">
      <c r="A4157" s="3">
        <v>39707</v>
      </c>
      <c r="B4157" s="2">
        <v>5.1040000000000001</v>
      </c>
      <c r="C4157" s="2">
        <f t="shared" si="64"/>
        <v>4.0245453094101477E-3</v>
      </c>
    </row>
    <row r="4158" spans="1:3" x14ac:dyDescent="0.2">
      <c r="A4158" s="3">
        <v>39706</v>
      </c>
      <c r="B4158" s="2">
        <v>5.0834999999999999</v>
      </c>
      <c r="C4158" s="2">
        <f t="shared" si="64"/>
        <v>-1.4510131255432265E-2</v>
      </c>
    </row>
    <row r="4159" spans="1:3" x14ac:dyDescent="0.2">
      <c r="A4159" s="3">
        <v>39703</v>
      </c>
      <c r="B4159" s="2">
        <v>5.1577999999999999</v>
      </c>
      <c r="C4159" s="2">
        <f t="shared" si="64"/>
        <v>5.2290495968924681E-3</v>
      </c>
    </row>
    <row r="4160" spans="1:3" x14ac:dyDescent="0.2">
      <c r="A4160" s="3">
        <v>39702</v>
      </c>
      <c r="B4160" s="2">
        <v>5.1308999999999996</v>
      </c>
      <c r="C4160" s="2">
        <f t="shared" si="64"/>
        <v>1.1407862161262248E-2</v>
      </c>
    </row>
    <row r="4161" spans="1:3" x14ac:dyDescent="0.2">
      <c r="A4161" s="3">
        <v>39701</v>
      </c>
      <c r="B4161" s="2">
        <v>5.0727000000000002</v>
      </c>
      <c r="C4161" s="2">
        <f t="shared" si="64"/>
        <v>-2.1267805027225428E-3</v>
      </c>
    </row>
    <row r="4162" spans="1:3" x14ac:dyDescent="0.2">
      <c r="A4162" s="3">
        <v>39700</v>
      </c>
      <c r="B4162" s="2">
        <v>5.0834999999999999</v>
      </c>
      <c r="C4162" s="2">
        <f t="shared" si="64"/>
        <v>-1.5382215883526833E-2</v>
      </c>
    </row>
    <row r="4163" spans="1:3" x14ac:dyDescent="0.2">
      <c r="A4163" s="3">
        <v>39699</v>
      </c>
      <c r="B4163" s="2">
        <v>5.1623000000000001</v>
      </c>
      <c r="C4163" s="2">
        <f t="shared" ref="C4163:C4226" si="65">+LN(B4163/B4164)</f>
        <v>1.3957006937383879E-3</v>
      </c>
    </row>
    <row r="4164" spans="1:3" x14ac:dyDescent="0.2">
      <c r="A4164" s="3">
        <v>39696</v>
      </c>
      <c r="B4164" s="2">
        <v>5.1551</v>
      </c>
      <c r="C4164" s="2">
        <f t="shared" si="65"/>
        <v>6.1096816117484128E-3</v>
      </c>
    </row>
    <row r="4165" spans="1:3" x14ac:dyDescent="0.2">
      <c r="A4165" s="3">
        <v>39695</v>
      </c>
      <c r="B4165" s="2">
        <v>5.1237000000000004</v>
      </c>
      <c r="C4165" s="2">
        <f t="shared" si="65"/>
        <v>-1.6818177971183439E-2</v>
      </c>
    </row>
    <row r="4166" spans="1:3" x14ac:dyDescent="0.2">
      <c r="A4166" s="3">
        <v>39694</v>
      </c>
      <c r="B4166" s="2">
        <v>5.2106000000000003</v>
      </c>
      <c r="C4166" s="2">
        <f t="shared" si="65"/>
        <v>-5.3210959123767311E-3</v>
      </c>
    </row>
    <row r="4167" spans="1:3" x14ac:dyDescent="0.2">
      <c r="A4167" s="3">
        <v>39693</v>
      </c>
      <c r="B4167" s="2">
        <v>5.2384000000000004</v>
      </c>
      <c r="C4167" s="2">
        <f t="shared" si="65"/>
        <v>2.0638264539350856E-3</v>
      </c>
    </row>
    <row r="4168" spans="1:3" x14ac:dyDescent="0.2">
      <c r="A4168" s="3">
        <v>39692</v>
      </c>
      <c r="B4168" s="2">
        <v>5.2275999999999998</v>
      </c>
      <c r="C4168" s="2">
        <f t="shared" si="65"/>
        <v>-1.0731104919335056E-2</v>
      </c>
    </row>
    <row r="4169" spans="1:3" x14ac:dyDescent="0.2">
      <c r="A4169" s="3">
        <v>39689</v>
      </c>
      <c r="B4169" s="2">
        <v>5.2839999999999998</v>
      </c>
      <c r="C4169" s="2">
        <f t="shared" si="65"/>
        <v>5.4272672451175386E-3</v>
      </c>
    </row>
    <row r="4170" spans="1:3" x14ac:dyDescent="0.2">
      <c r="A4170" s="3">
        <v>39688</v>
      </c>
      <c r="B4170" s="2">
        <v>5.2553999999999998</v>
      </c>
      <c r="C4170" s="2">
        <f t="shared" si="65"/>
        <v>-1.3500795935386138E-3</v>
      </c>
    </row>
    <row r="4171" spans="1:3" x14ac:dyDescent="0.2">
      <c r="A4171" s="3">
        <v>39687</v>
      </c>
      <c r="B4171" s="2">
        <v>5.2625000000000002</v>
      </c>
      <c r="C4171" s="2">
        <f t="shared" si="65"/>
        <v>-3.2441382641626368E-3</v>
      </c>
    </row>
    <row r="4172" spans="1:3" x14ac:dyDescent="0.2">
      <c r="A4172" s="3">
        <v>39686</v>
      </c>
      <c r="B4172" s="2">
        <v>5.2796000000000003</v>
      </c>
      <c r="C4172" s="2">
        <f t="shared" si="65"/>
        <v>-8.0927805128349593E-3</v>
      </c>
    </row>
    <row r="4173" spans="1:3" x14ac:dyDescent="0.2">
      <c r="A4173" s="3">
        <v>39685</v>
      </c>
      <c r="B4173" s="2">
        <v>5.3224999999999998</v>
      </c>
      <c r="C4173" s="2">
        <f t="shared" si="65"/>
        <v>1.5927009590818574E-2</v>
      </c>
    </row>
    <row r="4174" spans="1:3" x14ac:dyDescent="0.2">
      <c r="A4174" s="3">
        <v>39682</v>
      </c>
      <c r="B4174" s="2">
        <v>5.2384000000000004</v>
      </c>
      <c r="C4174" s="2">
        <f t="shared" si="65"/>
        <v>1.7602087524061182E-2</v>
      </c>
    </row>
    <row r="4175" spans="1:3" x14ac:dyDescent="0.2">
      <c r="A4175" s="3">
        <v>39681</v>
      </c>
      <c r="B4175" s="2">
        <v>5.1470000000000002</v>
      </c>
      <c r="C4175" s="2">
        <f t="shared" si="65"/>
        <v>-2.5758258863534559E-2</v>
      </c>
    </row>
    <row r="4176" spans="1:3" x14ac:dyDescent="0.2">
      <c r="A4176" s="3">
        <v>39680</v>
      </c>
      <c r="B4176" s="2">
        <v>5.2812999999999999</v>
      </c>
      <c r="C4176" s="2">
        <f t="shared" si="65"/>
        <v>2.8822288947999604E-3</v>
      </c>
    </row>
    <row r="4177" spans="1:3" x14ac:dyDescent="0.2">
      <c r="A4177" s="3">
        <v>39679</v>
      </c>
      <c r="B4177" s="2">
        <v>5.2660999999999998</v>
      </c>
      <c r="C4177" s="2">
        <f t="shared" si="65"/>
        <v>-1.6367100771892077E-2</v>
      </c>
    </row>
    <row r="4178" spans="1:3" x14ac:dyDescent="0.2">
      <c r="A4178" s="3">
        <v>39678</v>
      </c>
      <c r="B4178" s="2">
        <v>5.3529999999999998</v>
      </c>
      <c r="C4178" s="2">
        <f t="shared" si="65"/>
        <v>3.8557331538592718E-3</v>
      </c>
    </row>
    <row r="4179" spans="1:3" x14ac:dyDescent="0.2">
      <c r="A4179" s="3">
        <v>39674</v>
      </c>
      <c r="B4179" s="2">
        <v>5.3323999999999998</v>
      </c>
      <c r="C4179" s="2">
        <f t="shared" si="65"/>
        <v>1.6879378128767581E-4</v>
      </c>
    </row>
    <row r="4180" spans="1:3" x14ac:dyDescent="0.2">
      <c r="A4180" s="3">
        <v>39673</v>
      </c>
      <c r="B4180" s="2">
        <v>5.3315000000000001</v>
      </c>
      <c r="C4180" s="2">
        <f t="shared" si="65"/>
        <v>-7.6979509825691591E-3</v>
      </c>
    </row>
    <row r="4181" spans="1:3" x14ac:dyDescent="0.2">
      <c r="A4181" s="3">
        <v>39672</v>
      </c>
      <c r="B4181" s="2">
        <v>5.3727</v>
      </c>
      <c r="C4181" s="2">
        <f t="shared" si="65"/>
        <v>5.0193695902757927E-3</v>
      </c>
    </row>
    <row r="4182" spans="1:3" x14ac:dyDescent="0.2">
      <c r="A4182" s="3">
        <v>39671</v>
      </c>
      <c r="B4182" s="2">
        <v>5.3457999999999997</v>
      </c>
      <c r="C4182" s="2">
        <f t="shared" si="65"/>
        <v>7.906515670440541E-3</v>
      </c>
    </row>
    <row r="4183" spans="1:3" x14ac:dyDescent="0.2">
      <c r="A4183" s="3">
        <v>39668</v>
      </c>
      <c r="B4183" s="2">
        <v>5.3037000000000001</v>
      </c>
      <c r="C4183" s="2">
        <f t="shared" si="65"/>
        <v>2.8418174275082999E-2</v>
      </c>
    </row>
    <row r="4184" spans="1:3" x14ac:dyDescent="0.2">
      <c r="A4184" s="3">
        <v>39667</v>
      </c>
      <c r="B4184" s="2">
        <v>5.1551</v>
      </c>
      <c r="C4184" s="2">
        <f t="shared" si="65"/>
        <v>-1.9440841256147454E-2</v>
      </c>
    </row>
    <row r="4185" spans="1:3" x14ac:dyDescent="0.2">
      <c r="A4185" s="3">
        <v>39666</v>
      </c>
      <c r="B4185" s="2">
        <v>5.2563000000000004</v>
      </c>
      <c r="C4185" s="2">
        <f t="shared" si="65"/>
        <v>4.0871143100386344E-2</v>
      </c>
    </row>
    <row r="4186" spans="1:3" x14ac:dyDescent="0.2">
      <c r="A4186" s="3">
        <v>39665</v>
      </c>
      <c r="B4186" s="2">
        <v>5.0457999999999998</v>
      </c>
      <c r="C4186" s="2">
        <f t="shared" si="65"/>
        <v>2.1228271321413234E-3</v>
      </c>
    </row>
    <row r="4187" spans="1:3" x14ac:dyDescent="0.2">
      <c r="A4187" s="3">
        <v>39664</v>
      </c>
      <c r="B4187" s="2">
        <v>5.0350999999999999</v>
      </c>
      <c r="C4187" s="2">
        <f t="shared" si="65"/>
        <v>6.5955544910595186E-3</v>
      </c>
    </row>
    <row r="4188" spans="1:3" x14ac:dyDescent="0.2">
      <c r="A4188" s="3">
        <v>39661</v>
      </c>
      <c r="B4188" s="2">
        <v>5.0019999999999998</v>
      </c>
      <c r="C4188" s="2">
        <f t="shared" si="65"/>
        <v>-1.6673496167961481E-2</v>
      </c>
    </row>
    <row r="4189" spans="1:3" x14ac:dyDescent="0.2">
      <c r="A4189" s="3">
        <v>39660</v>
      </c>
      <c r="B4189" s="2">
        <v>5.0861000000000001</v>
      </c>
      <c r="C4189" s="2">
        <f t="shared" si="65"/>
        <v>7.9551145447607566E-3</v>
      </c>
    </row>
    <row r="4190" spans="1:3" x14ac:dyDescent="0.2">
      <c r="A4190" s="3">
        <v>39659</v>
      </c>
      <c r="B4190" s="2">
        <v>5.0457999999999998</v>
      </c>
      <c r="C4190" s="2">
        <f t="shared" si="65"/>
        <v>-1.7820728237605825E-3</v>
      </c>
    </row>
    <row r="4191" spans="1:3" x14ac:dyDescent="0.2">
      <c r="A4191" s="3">
        <v>39658</v>
      </c>
      <c r="B4191" s="2">
        <v>5.0548000000000002</v>
      </c>
      <c r="C4191" s="2">
        <f t="shared" si="65"/>
        <v>1.9604548988169154E-3</v>
      </c>
    </row>
    <row r="4192" spans="1:3" x14ac:dyDescent="0.2">
      <c r="A4192" s="3">
        <v>39657</v>
      </c>
      <c r="B4192" s="2">
        <v>5.0449000000000002</v>
      </c>
      <c r="C4192" s="2">
        <f t="shared" si="65"/>
        <v>1.8444949583776113E-2</v>
      </c>
    </row>
    <row r="4193" spans="1:3" x14ac:dyDescent="0.2">
      <c r="A4193" s="3">
        <v>39654</v>
      </c>
      <c r="B4193" s="2">
        <v>4.9527000000000001</v>
      </c>
      <c r="C4193" s="2">
        <f t="shared" si="65"/>
        <v>-1.8980000376823083E-2</v>
      </c>
    </row>
    <row r="4194" spans="1:3" x14ac:dyDescent="0.2">
      <c r="A4194" s="3">
        <v>39653</v>
      </c>
      <c r="B4194" s="2">
        <v>5.0476000000000001</v>
      </c>
      <c r="C4194" s="2">
        <f t="shared" si="65"/>
        <v>-2.6104506142951765E-2</v>
      </c>
    </row>
    <row r="4195" spans="1:3" x14ac:dyDescent="0.2">
      <c r="A4195" s="3">
        <v>39652</v>
      </c>
      <c r="B4195" s="2">
        <v>5.1810999999999998</v>
      </c>
      <c r="C4195" s="2">
        <f t="shared" si="65"/>
        <v>1.1999677985014211E-2</v>
      </c>
    </row>
    <row r="4196" spans="1:3" x14ac:dyDescent="0.2">
      <c r="A4196" s="3">
        <v>39651</v>
      </c>
      <c r="B4196" s="2">
        <v>5.1193</v>
      </c>
      <c r="C4196" s="2">
        <f t="shared" si="65"/>
        <v>8.7897130478204362E-3</v>
      </c>
    </row>
    <row r="4197" spans="1:3" x14ac:dyDescent="0.2">
      <c r="A4197" s="3">
        <v>39650</v>
      </c>
      <c r="B4197" s="2">
        <v>5.0744999999999996</v>
      </c>
      <c r="C4197" s="2">
        <f t="shared" si="65"/>
        <v>5.1368284444970541E-3</v>
      </c>
    </row>
    <row r="4198" spans="1:3" x14ac:dyDescent="0.2">
      <c r="A4198" s="3">
        <v>39647</v>
      </c>
      <c r="B4198" s="2">
        <v>5.0484999999999998</v>
      </c>
      <c r="C4198" s="2">
        <f t="shared" si="65"/>
        <v>-1.3398986502014607E-2</v>
      </c>
    </row>
    <row r="4199" spans="1:3" x14ac:dyDescent="0.2">
      <c r="A4199" s="3">
        <v>39646</v>
      </c>
      <c r="B4199" s="2">
        <v>5.1166</v>
      </c>
      <c r="C4199" s="2">
        <f t="shared" si="65"/>
        <v>-1.0092355062149087E-2</v>
      </c>
    </row>
    <row r="4200" spans="1:3" x14ac:dyDescent="0.2">
      <c r="A4200" s="3">
        <v>39645</v>
      </c>
      <c r="B4200" s="2">
        <v>5.1684999999999999</v>
      </c>
      <c r="C4200" s="2">
        <f t="shared" si="65"/>
        <v>-1.0183054142876298E-2</v>
      </c>
    </row>
    <row r="4201" spans="1:3" x14ac:dyDescent="0.2">
      <c r="A4201" s="3">
        <v>39644</v>
      </c>
      <c r="B4201" s="2">
        <v>5.2214</v>
      </c>
      <c r="C4201" s="2">
        <f t="shared" si="65"/>
        <v>2.2432926357820633E-3</v>
      </c>
    </row>
    <row r="4202" spans="1:3" x14ac:dyDescent="0.2">
      <c r="A4202" s="3">
        <v>39643</v>
      </c>
      <c r="B4202" s="2">
        <v>5.2096999999999998</v>
      </c>
      <c r="C4202" s="2">
        <f t="shared" si="65"/>
        <v>-4.462454856573963E-3</v>
      </c>
    </row>
    <row r="4203" spans="1:3" x14ac:dyDescent="0.2">
      <c r="A4203" s="3">
        <v>39640</v>
      </c>
      <c r="B4203" s="2">
        <v>5.2329999999999997</v>
      </c>
      <c r="C4203" s="2">
        <f t="shared" si="65"/>
        <v>-1.2590008973574155E-2</v>
      </c>
    </row>
    <row r="4204" spans="1:3" x14ac:dyDescent="0.2">
      <c r="A4204" s="3">
        <v>39639</v>
      </c>
      <c r="B4204" s="2">
        <v>5.2992999999999997</v>
      </c>
      <c r="C4204" s="2">
        <f t="shared" si="65"/>
        <v>7.8049915985419641E-3</v>
      </c>
    </row>
    <row r="4205" spans="1:3" x14ac:dyDescent="0.2">
      <c r="A4205" s="3">
        <v>39638</v>
      </c>
      <c r="B4205" s="2">
        <v>5.2580999999999998</v>
      </c>
      <c r="C4205" s="2">
        <f t="shared" si="65"/>
        <v>2.5366086313254495E-2</v>
      </c>
    </row>
    <row r="4206" spans="1:3" x14ac:dyDescent="0.2">
      <c r="A4206" s="3">
        <v>39637</v>
      </c>
      <c r="B4206" s="2">
        <v>5.1264000000000003</v>
      </c>
      <c r="C4206" s="2">
        <f t="shared" si="65"/>
        <v>-2.1045255049152757E-3</v>
      </c>
    </row>
    <row r="4207" spans="1:3" x14ac:dyDescent="0.2">
      <c r="A4207" s="3">
        <v>39636</v>
      </c>
      <c r="B4207" s="2">
        <v>5.1372</v>
      </c>
      <c r="C4207" s="2">
        <f t="shared" si="65"/>
        <v>-1.7788364785563386E-2</v>
      </c>
    </row>
    <row r="4208" spans="1:3" x14ac:dyDescent="0.2">
      <c r="A4208" s="3">
        <v>39633</v>
      </c>
      <c r="B4208" s="2">
        <v>5.2294</v>
      </c>
      <c r="C4208" s="2">
        <f t="shared" si="65"/>
        <v>-1.2258665575525865E-2</v>
      </c>
    </row>
    <row r="4209" spans="1:3" x14ac:dyDescent="0.2">
      <c r="A4209" s="3">
        <v>39632</v>
      </c>
      <c r="B4209" s="2">
        <v>5.2938999999999998</v>
      </c>
      <c r="C4209" s="2">
        <f t="shared" si="65"/>
        <v>1.7002144200236523E-4</v>
      </c>
    </row>
    <row r="4210" spans="1:3" x14ac:dyDescent="0.2">
      <c r="A4210" s="3">
        <v>39631</v>
      </c>
      <c r="B4210" s="2">
        <v>5.2930000000000001</v>
      </c>
      <c r="C4210" s="2">
        <f t="shared" si="65"/>
        <v>-7.4162253815342688E-3</v>
      </c>
    </row>
    <row r="4211" spans="1:3" x14ac:dyDescent="0.2">
      <c r="A4211" s="3">
        <v>39630</v>
      </c>
      <c r="B4211" s="2">
        <v>5.3323999999999998</v>
      </c>
      <c r="C4211" s="2">
        <f t="shared" si="65"/>
        <v>2.5161024972043412E-3</v>
      </c>
    </row>
    <row r="4212" spans="1:3" x14ac:dyDescent="0.2">
      <c r="A4212" s="3">
        <v>39629</v>
      </c>
      <c r="B4212" s="2">
        <v>5.319</v>
      </c>
      <c r="C4212" s="2">
        <f t="shared" si="65"/>
        <v>-8.2688120174068808E-4</v>
      </c>
    </row>
    <row r="4213" spans="1:3" x14ac:dyDescent="0.2">
      <c r="A4213" s="3">
        <v>39626</v>
      </c>
      <c r="B4213" s="2">
        <v>5.3234000000000004</v>
      </c>
      <c r="C4213" s="2">
        <f t="shared" si="65"/>
        <v>3.3818694544958416E-4</v>
      </c>
    </row>
    <row r="4214" spans="1:3" x14ac:dyDescent="0.2">
      <c r="A4214" s="3">
        <v>39625</v>
      </c>
      <c r="B4214" s="2">
        <v>5.3216000000000001</v>
      </c>
      <c r="C4214" s="2">
        <f t="shared" si="65"/>
        <v>-5.546824805589835E-3</v>
      </c>
    </row>
    <row r="4215" spans="1:3" x14ac:dyDescent="0.2">
      <c r="A4215" s="3">
        <v>39624</v>
      </c>
      <c r="B4215" s="2">
        <v>5.3512000000000004</v>
      </c>
      <c r="C4215" s="2">
        <f t="shared" si="65"/>
        <v>9.7460984584164991E-3</v>
      </c>
    </row>
    <row r="4216" spans="1:3" x14ac:dyDescent="0.2">
      <c r="A4216" s="3">
        <v>39623</v>
      </c>
      <c r="B4216" s="2">
        <v>5.2992999999999997</v>
      </c>
      <c r="C4216" s="2">
        <f t="shared" si="65"/>
        <v>-2.1228731451196105E-2</v>
      </c>
    </row>
    <row r="4217" spans="1:3" x14ac:dyDescent="0.2">
      <c r="A4217" s="3">
        <v>39622</v>
      </c>
      <c r="B4217" s="2">
        <v>5.4130000000000003</v>
      </c>
      <c r="C4217" s="2">
        <f t="shared" si="65"/>
        <v>9.9700982755883058E-3</v>
      </c>
    </row>
    <row r="4218" spans="1:3" x14ac:dyDescent="0.2">
      <c r="A4218" s="3">
        <v>39619</v>
      </c>
      <c r="B4218" s="2">
        <v>5.3593000000000002</v>
      </c>
      <c r="C4218" s="2">
        <f t="shared" si="65"/>
        <v>8.4001460964702084E-4</v>
      </c>
    </row>
    <row r="4219" spans="1:3" x14ac:dyDescent="0.2">
      <c r="A4219" s="3">
        <v>39618</v>
      </c>
      <c r="B4219" s="2">
        <v>5.3548</v>
      </c>
      <c r="C4219" s="2">
        <f t="shared" si="65"/>
        <v>-2.4993018698626314E-3</v>
      </c>
    </row>
    <row r="4220" spans="1:3" x14ac:dyDescent="0.2">
      <c r="A4220" s="3">
        <v>39617</v>
      </c>
      <c r="B4220" s="2">
        <v>5.3681999999999999</v>
      </c>
      <c r="C4220" s="2">
        <f t="shared" si="65"/>
        <v>-7.4791332887390151E-3</v>
      </c>
    </row>
    <row r="4221" spans="1:3" x14ac:dyDescent="0.2">
      <c r="A4221" s="3">
        <v>39616</v>
      </c>
      <c r="B4221" s="2">
        <v>5.4085000000000001</v>
      </c>
      <c r="C4221" s="2">
        <f t="shared" si="65"/>
        <v>3.3150941084328705E-3</v>
      </c>
    </row>
    <row r="4222" spans="1:3" x14ac:dyDescent="0.2">
      <c r="A4222" s="3">
        <v>39615</v>
      </c>
      <c r="B4222" s="2">
        <v>5.3906000000000001</v>
      </c>
      <c r="C4222" s="2">
        <f t="shared" si="65"/>
        <v>-3.1486755283389395E-3</v>
      </c>
    </row>
    <row r="4223" spans="1:3" x14ac:dyDescent="0.2">
      <c r="A4223" s="3">
        <v>39612</v>
      </c>
      <c r="B4223" s="2">
        <v>5.4076000000000004</v>
      </c>
      <c r="C4223" s="2">
        <f t="shared" si="65"/>
        <v>-3.1387924811253332E-3</v>
      </c>
    </row>
    <row r="4224" spans="1:3" x14ac:dyDescent="0.2">
      <c r="A4224" s="3">
        <v>39611</v>
      </c>
      <c r="B4224" s="2">
        <v>5.4245999999999999</v>
      </c>
      <c r="C4224" s="2">
        <f t="shared" si="65"/>
        <v>3.3052387609731047E-3</v>
      </c>
    </row>
    <row r="4225" spans="1:3" x14ac:dyDescent="0.2">
      <c r="A4225" s="3">
        <v>39610</v>
      </c>
      <c r="B4225" s="2">
        <v>5.4066999999999998</v>
      </c>
      <c r="C4225" s="2">
        <f t="shared" si="65"/>
        <v>-1.3484423740345077E-2</v>
      </c>
    </row>
    <row r="4226" spans="1:3" x14ac:dyDescent="0.2">
      <c r="A4226" s="3">
        <v>39609</v>
      </c>
      <c r="B4226" s="2">
        <v>5.4801000000000002</v>
      </c>
      <c r="C4226" s="2">
        <f t="shared" si="65"/>
        <v>-1.3129822992420132E-3</v>
      </c>
    </row>
    <row r="4227" spans="1:3" x14ac:dyDescent="0.2">
      <c r="A4227" s="3">
        <v>39608</v>
      </c>
      <c r="B4227" s="2">
        <v>5.4873000000000003</v>
      </c>
      <c r="C4227" s="2">
        <f t="shared" ref="C4227:C4290" si="66">+LN(B4227/B4228)</f>
        <v>-3.6537502515281393E-2</v>
      </c>
    </row>
    <row r="4228" spans="1:3" x14ac:dyDescent="0.2">
      <c r="A4228" s="3">
        <v>39605</v>
      </c>
      <c r="B4228" s="2">
        <v>5.6914999999999996</v>
      </c>
      <c r="C4228" s="2">
        <f t="shared" si="66"/>
        <v>-8.7640833505908382E-3</v>
      </c>
    </row>
    <row r="4229" spans="1:3" x14ac:dyDescent="0.2">
      <c r="A4229" s="3">
        <v>39604</v>
      </c>
      <c r="B4229" s="2">
        <v>5.7416</v>
      </c>
      <c r="C4229" s="2">
        <f t="shared" si="66"/>
        <v>1.5551539440571513E-2</v>
      </c>
    </row>
    <row r="4230" spans="1:3" x14ac:dyDescent="0.2">
      <c r="A4230" s="3">
        <v>39603</v>
      </c>
      <c r="B4230" s="2">
        <v>5.6529999999999996</v>
      </c>
      <c r="C4230" s="2">
        <f t="shared" si="66"/>
        <v>-7.1036671810841712E-3</v>
      </c>
    </row>
    <row r="4231" spans="1:3" x14ac:dyDescent="0.2">
      <c r="A4231" s="3">
        <v>39602</v>
      </c>
      <c r="B4231" s="2">
        <v>5.6932999999999998</v>
      </c>
      <c r="C4231" s="2">
        <f t="shared" si="66"/>
        <v>6.3256221566884395E-3</v>
      </c>
    </row>
    <row r="4232" spans="1:3" x14ac:dyDescent="0.2">
      <c r="A4232" s="3">
        <v>39601</v>
      </c>
      <c r="B4232" s="2">
        <v>5.6574</v>
      </c>
      <c r="C4232" s="2">
        <f t="shared" si="66"/>
        <v>6.828507506842137E-3</v>
      </c>
    </row>
    <row r="4233" spans="1:3" x14ac:dyDescent="0.2">
      <c r="A4233" s="3">
        <v>39598</v>
      </c>
      <c r="B4233" s="2">
        <v>5.6189</v>
      </c>
      <c r="C4233" s="2">
        <f t="shared" si="66"/>
        <v>-2.1445238904834421E-2</v>
      </c>
    </row>
    <row r="4234" spans="1:3" x14ac:dyDescent="0.2">
      <c r="A4234" s="3">
        <v>39597</v>
      </c>
      <c r="B4234" s="2">
        <v>5.7407000000000004</v>
      </c>
      <c r="C4234" s="2">
        <f t="shared" si="66"/>
        <v>1.5872513021673793E-2</v>
      </c>
    </row>
    <row r="4235" spans="1:3" x14ac:dyDescent="0.2">
      <c r="A4235" s="3">
        <v>39596</v>
      </c>
      <c r="B4235" s="2">
        <v>5.6502999999999997</v>
      </c>
      <c r="C4235" s="2">
        <f t="shared" si="66"/>
        <v>-3.3217338880976296E-3</v>
      </c>
    </row>
    <row r="4236" spans="1:3" x14ac:dyDescent="0.2">
      <c r="A4236" s="3">
        <v>39595</v>
      </c>
      <c r="B4236" s="2">
        <v>5.6691000000000003</v>
      </c>
      <c r="C4236" s="2">
        <f t="shared" si="66"/>
        <v>-8.4837816180946685E-3</v>
      </c>
    </row>
    <row r="4237" spans="1:3" x14ac:dyDescent="0.2">
      <c r="A4237" s="3">
        <v>39594</v>
      </c>
      <c r="B4237" s="2">
        <v>5.7173999999999996</v>
      </c>
      <c r="C4237" s="2">
        <f t="shared" si="66"/>
        <v>-1.6014777818745128E-2</v>
      </c>
    </row>
    <row r="4238" spans="1:3" x14ac:dyDescent="0.2">
      <c r="A4238" s="3">
        <v>39591</v>
      </c>
      <c r="B4238" s="2">
        <v>5.8097000000000003</v>
      </c>
      <c r="C4238" s="2">
        <f t="shared" si="66"/>
        <v>-1.2213479349043681E-3</v>
      </c>
    </row>
    <row r="4239" spans="1:3" x14ac:dyDescent="0.2">
      <c r="A4239" s="3">
        <v>39590</v>
      </c>
      <c r="B4239" s="2">
        <v>5.8167999999999997</v>
      </c>
      <c r="C4239" s="2">
        <f t="shared" si="66"/>
        <v>3.8583484547306049E-3</v>
      </c>
    </row>
    <row r="4240" spans="1:3" x14ac:dyDescent="0.2">
      <c r="A4240" s="3">
        <v>39589</v>
      </c>
      <c r="B4240" s="2">
        <v>5.7944000000000004</v>
      </c>
      <c r="C4240" s="2">
        <f t="shared" si="66"/>
        <v>7.2747748688919197E-3</v>
      </c>
    </row>
    <row r="4241" spans="1:3" x14ac:dyDescent="0.2">
      <c r="A4241" s="3">
        <v>39588</v>
      </c>
      <c r="B4241" s="2">
        <v>5.7523999999999997</v>
      </c>
      <c r="C4241" s="2">
        <f t="shared" si="66"/>
        <v>-2.139523705317839E-2</v>
      </c>
    </row>
    <row r="4242" spans="1:3" x14ac:dyDescent="0.2">
      <c r="A4242" s="3">
        <v>39587</v>
      </c>
      <c r="B4242" s="2">
        <v>5.8768000000000002</v>
      </c>
      <c r="C4242" s="2">
        <f t="shared" si="66"/>
        <v>1.1948309693353039E-2</v>
      </c>
    </row>
    <row r="4243" spans="1:3" x14ac:dyDescent="0.2">
      <c r="A4243" s="3">
        <v>39584</v>
      </c>
      <c r="B4243" s="2">
        <v>5.8070000000000004</v>
      </c>
      <c r="C4243" s="2">
        <f t="shared" si="66"/>
        <v>6.0281206110398564E-3</v>
      </c>
    </row>
    <row r="4244" spans="1:3" x14ac:dyDescent="0.2">
      <c r="A4244" s="3">
        <v>39583</v>
      </c>
      <c r="B4244" s="2">
        <v>5.7721</v>
      </c>
      <c r="C4244" s="2">
        <f t="shared" si="66"/>
        <v>-4.5034122768935461E-4</v>
      </c>
    </row>
    <row r="4245" spans="1:3" x14ac:dyDescent="0.2">
      <c r="A4245" s="3">
        <v>39582</v>
      </c>
      <c r="B4245" s="2">
        <v>5.7747000000000002</v>
      </c>
      <c r="C4245" s="2">
        <f t="shared" si="66"/>
        <v>1.1214745314236404E-2</v>
      </c>
    </row>
    <row r="4246" spans="1:3" x14ac:dyDescent="0.2">
      <c r="A4246" s="3">
        <v>39581</v>
      </c>
      <c r="B4246" s="2">
        <v>5.7103000000000002</v>
      </c>
      <c r="C4246" s="2">
        <f t="shared" si="66"/>
        <v>-2.0293563760274847E-3</v>
      </c>
    </row>
    <row r="4247" spans="1:3" x14ac:dyDescent="0.2">
      <c r="A4247" s="3">
        <v>39580</v>
      </c>
      <c r="B4247" s="2">
        <v>5.7218999999999998</v>
      </c>
      <c r="C4247" s="2">
        <f t="shared" si="66"/>
        <v>4.8079988049981141E-2</v>
      </c>
    </row>
    <row r="4248" spans="1:3" x14ac:dyDescent="0.2">
      <c r="A4248" s="3">
        <v>39577</v>
      </c>
      <c r="B4248" s="2">
        <v>5.4532999999999996</v>
      </c>
      <c r="C4248" s="2">
        <f t="shared" si="66"/>
        <v>1.3885778071606803E-2</v>
      </c>
    </row>
    <row r="4249" spans="1:3" x14ac:dyDescent="0.2">
      <c r="A4249" s="3">
        <v>39576</v>
      </c>
      <c r="B4249" s="2">
        <v>5.3780999999999999</v>
      </c>
      <c r="C4249" s="2">
        <f t="shared" si="66"/>
        <v>-5.8030290310000475E-3</v>
      </c>
    </row>
    <row r="4250" spans="1:3" x14ac:dyDescent="0.2">
      <c r="A4250" s="3">
        <v>39575</v>
      </c>
      <c r="B4250" s="2">
        <v>5.4093999999999998</v>
      </c>
      <c r="C4250" s="2">
        <f t="shared" si="66"/>
        <v>-1.152427402930201E-2</v>
      </c>
    </row>
    <row r="4251" spans="1:3" x14ac:dyDescent="0.2">
      <c r="A4251" s="3">
        <v>39574</v>
      </c>
      <c r="B4251" s="2">
        <v>5.4721000000000002</v>
      </c>
      <c r="C4251" s="2">
        <f t="shared" si="66"/>
        <v>-1.0091269940124997E-2</v>
      </c>
    </row>
    <row r="4252" spans="1:3" x14ac:dyDescent="0.2">
      <c r="A4252" s="3">
        <v>39573</v>
      </c>
      <c r="B4252" s="2">
        <v>5.5275999999999996</v>
      </c>
      <c r="C4252" s="2">
        <f t="shared" si="66"/>
        <v>3.1760370017586949E-2</v>
      </c>
    </row>
    <row r="4253" spans="1:3" x14ac:dyDescent="0.2">
      <c r="A4253" s="3">
        <v>39570</v>
      </c>
      <c r="B4253" s="2">
        <v>5.3548</v>
      </c>
      <c r="C4253" s="2">
        <f t="shared" si="66"/>
        <v>5.0244122724252362E-2</v>
      </c>
    </row>
    <row r="4254" spans="1:3" x14ac:dyDescent="0.2">
      <c r="A4254" s="3">
        <v>39568</v>
      </c>
      <c r="B4254" s="2">
        <v>5.0923999999999996</v>
      </c>
      <c r="C4254" s="2">
        <f t="shared" si="66"/>
        <v>-3.1565868439881939E-3</v>
      </c>
    </row>
    <row r="4255" spans="1:3" x14ac:dyDescent="0.2">
      <c r="A4255" s="3">
        <v>39567</v>
      </c>
      <c r="B4255" s="2">
        <v>5.1085000000000003</v>
      </c>
      <c r="C4255" s="2">
        <f t="shared" si="66"/>
        <v>-1.8752306871123819E-2</v>
      </c>
    </row>
    <row r="4256" spans="1:3" x14ac:dyDescent="0.2">
      <c r="A4256" s="3">
        <v>39566</v>
      </c>
      <c r="B4256" s="2">
        <v>5.2051999999999996</v>
      </c>
      <c r="C4256" s="2">
        <f t="shared" si="66"/>
        <v>-1.1119079843218183E-2</v>
      </c>
    </row>
    <row r="4257" spans="1:3" x14ac:dyDescent="0.2">
      <c r="A4257" s="3">
        <v>39563</v>
      </c>
      <c r="B4257" s="2">
        <v>5.2633999999999999</v>
      </c>
      <c r="C4257" s="2">
        <f t="shared" si="66"/>
        <v>1.5258118758634533E-2</v>
      </c>
    </row>
    <row r="4258" spans="1:3" x14ac:dyDescent="0.2">
      <c r="A4258" s="3">
        <v>39562</v>
      </c>
      <c r="B4258" s="2">
        <v>5.1837</v>
      </c>
      <c r="C4258" s="2">
        <f t="shared" si="66"/>
        <v>-1.6454347931671366E-2</v>
      </c>
    </row>
    <row r="4259" spans="1:3" x14ac:dyDescent="0.2">
      <c r="A4259" s="3">
        <v>39561</v>
      </c>
      <c r="B4259" s="2">
        <v>5.2697000000000003</v>
      </c>
      <c r="C4259" s="2">
        <f t="shared" si="66"/>
        <v>1.1796731443676531E-2</v>
      </c>
    </row>
    <row r="4260" spans="1:3" x14ac:dyDescent="0.2">
      <c r="A4260" s="3">
        <v>39560</v>
      </c>
      <c r="B4260" s="2">
        <v>5.2079000000000004</v>
      </c>
      <c r="C4260" s="2">
        <f t="shared" si="66"/>
        <v>-8.0513731104888357E-3</v>
      </c>
    </row>
    <row r="4261" spans="1:3" x14ac:dyDescent="0.2">
      <c r="A4261" s="3">
        <v>39559</v>
      </c>
      <c r="B4261" s="2">
        <v>5.25</v>
      </c>
      <c r="C4261" s="2">
        <f t="shared" si="66"/>
        <v>-1.0855154757008292E-2</v>
      </c>
    </row>
    <row r="4262" spans="1:3" x14ac:dyDescent="0.2">
      <c r="A4262" s="3">
        <v>39556</v>
      </c>
      <c r="B4262" s="2">
        <v>5.3072999999999997</v>
      </c>
      <c r="C4262" s="2">
        <f t="shared" si="66"/>
        <v>-9.2462140926087757E-3</v>
      </c>
    </row>
    <row r="4263" spans="1:3" x14ac:dyDescent="0.2">
      <c r="A4263" s="3">
        <v>39555</v>
      </c>
      <c r="B4263" s="2">
        <v>5.3566000000000003</v>
      </c>
      <c r="C4263" s="2">
        <f t="shared" si="66"/>
        <v>-1.2282841769947796E-2</v>
      </c>
    </row>
    <row r="4264" spans="1:3" x14ac:dyDescent="0.2">
      <c r="A4264" s="3">
        <v>39554</v>
      </c>
      <c r="B4264" s="2">
        <v>5.4227999999999996</v>
      </c>
      <c r="C4264" s="2">
        <f t="shared" si="66"/>
        <v>1.1293897340791555E-2</v>
      </c>
    </row>
    <row r="4265" spans="1:3" x14ac:dyDescent="0.2">
      <c r="A4265" s="3">
        <v>39553</v>
      </c>
      <c r="B4265" s="2">
        <v>5.3619000000000003</v>
      </c>
      <c r="C4265" s="2">
        <f t="shared" si="66"/>
        <v>-3.0167620644598984E-3</v>
      </c>
    </row>
    <row r="4266" spans="1:3" x14ac:dyDescent="0.2">
      <c r="A4266" s="3">
        <v>39552</v>
      </c>
      <c r="B4266" s="2">
        <v>5.3780999999999999</v>
      </c>
      <c r="C4266" s="2">
        <f t="shared" si="66"/>
        <v>1.0880645762359396E-2</v>
      </c>
    </row>
    <row r="4267" spans="1:3" x14ac:dyDescent="0.2">
      <c r="A4267" s="3">
        <v>39549</v>
      </c>
      <c r="B4267" s="2">
        <v>5.3198999999999996</v>
      </c>
      <c r="C4267" s="2">
        <f t="shared" si="66"/>
        <v>1.6931937672005637E-3</v>
      </c>
    </row>
    <row r="4268" spans="1:3" x14ac:dyDescent="0.2">
      <c r="A4268" s="3">
        <v>39548</v>
      </c>
      <c r="B4268" s="2">
        <v>5.3109000000000002</v>
      </c>
      <c r="C4268" s="2">
        <f t="shared" si="66"/>
        <v>-1.8435612279656276E-3</v>
      </c>
    </row>
    <row r="4269" spans="1:3" x14ac:dyDescent="0.2">
      <c r="A4269" s="3">
        <v>39547</v>
      </c>
      <c r="B4269" s="2">
        <v>5.3207000000000004</v>
      </c>
      <c r="C4269" s="2">
        <f t="shared" si="66"/>
        <v>-1.1380854084087851E-2</v>
      </c>
    </row>
    <row r="4270" spans="1:3" x14ac:dyDescent="0.2">
      <c r="A4270" s="3">
        <v>39546</v>
      </c>
      <c r="B4270" s="2">
        <v>5.3815999999999997</v>
      </c>
      <c r="C4270" s="2">
        <f t="shared" si="66"/>
        <v>-7.4605797983066094E-3</v>
      </c>
    </row>
    <row r="4271" spans="1:3" x14ac:dyDescent="0.2">
      <c r="A4271" s="3">
        <v>39545</v>
      </c>
      <c r="B4271" s="2">
        <v>5.4218999999999999</v>
      </c>
      <c r="C4271" s="2">
        <f t="shared" si="66"/>
        <v>1.7658079592703591E-2</v>
      </c>
    </row>
    <row r="4272" spans="1:3" x14ac:dyDescent="0.2">
      <c r="A4272" s="3">
        <v>39542</v>
      </c>
      <c r="B4272" s="2">
        <v>5.327</v>
      </c>
      <c r="C4272" s="2">
        <f t="shared" si="66"/>
        <v>-8.2072643083378471E-3</v>
      </c>
    </row>
    <row r="4273" spans="1:3" x14ac:dyDescent="0.2">
      <c r="A4273" s="3">
        <v>39541</v>
      </c>
      <c r="B4273" s="2">
        <v>5.3708999999999998</v>
      </c>
      <c r="C4273" s="2">
        <f t="shared" si="66"/>
        <v>-8.3066503998201965E-3</v>
      </c>
    </row>
    <row r="4274" spans="1:3" x14ac:dyDescent="0.2">
      <c r="A4274" s="3">
        <v>39540</v>
      </c>
      <c r="B4274" s="2">
        <v>5.4157000000000002</v>
      </c>
      <c r="C4274" s="2">
        <f t="shared" si="66"/>
        <v>-3.1086630312119414E-2</v>
      </c>
    </row>
    <row r="4275" spans="1:3" x14ac:dyDescent="0.2">
      <c r="A4275" s="3">
        <v>39539</v>
      </c>
      <c r="B4275" s="2">
        <v>5.5867000000000004</v>
      </c>
      <c r="C4275" s="2">
        <f t="shared" si="66"/>
        <v>2.7952525021870275E-2</v>
      </c>
    </row>
    <row r="4276" spans="1:3" x14ac:dyDescent="0.2">
      <c r="A4276" s="3">
        <v>39538</v>
      </c>
      <c r="B4276" s="2">
        <v>5.4326999999999996</v>
      </c>
      <c r="C4276" s="2">
        <f t="shared" si="66"/>
        <v>3.4722589334279269E-2</v>
      </c>
    </row>
    <row r="4277" spans="1:3" x14ac:dyDescent="0.2">
      <c r="A4277" s="3">
        <v>39535</v>
      </c>
      <c r="B4277" s="2">
        <v>5.2473000000000001</v>
      </c>
      <c r="C4277" s="2">
        <f t="shared" si="66"/>
        <v>-1.3740847585416001E-2</v>
      </c>
    </row>
    <row r="4278" spans="1:3" x14ac:dyDescent="0.2">
      <c r="A4278" s="3">
        <v>39534</v>
      </c>
      <c r="B4278" s="2">
        <v>5.3198999999999996</v>
      </c>
      <c r="C4278" s="2">
        <f t="shared" si="66"/>
        <v>1.2027149005391497E-2</v>
      </c>
    </row>
    <row r="4279" spans="1:3" x14ac:dyDescent="0.2">
      <c r="A4279" s="3">
        <v>39533</v>
      </c>
      <c r="B4279" s="2">
        <v>5.2563000000000004</v>
      </c>
      <c r="C4279" s="2">
        <f t="shared" si="66"/>
        <v>-1.8061650076244131E-2</v>
      </c>
    </row>
    <row r="4280" spans="1:3" x14ac:dyDescent="0.2">
      <c r="A4280" s="3">
        <v>39532</v>
      </c>
      <c r="B4280" s="2">
        <v>5.3521000000000001</v>
      </c>
      <c r="C4280" s="2">
        <f t="shared" si="66"/>
        <v>1.6711801491575272E-2</v>
      </c>
    </row>
    <row r="4281" spans="1:3" x14ac:dyDescent="0.2">
      <c r="A4281" s="3">
        <v>39527</v>
      </c>
      <c r="B4281" s="2">
        <v>5.2633999999999999</v>
      </c>
      <c r="C4281" s="2">
        <f t="shared" si="66"/>
        <v>1.2310906362104709E-2</v>
      </c>
    </row>
    <row r="4282" spans="1:3" x14ac:dyDescent="0.2">
      <c r="A4282" s="3">
        <v>39526</v>
      </c>
      <c r="B4282" s="2">
        <v>5.1989999999999998</v>
      </c>
      <c r="C4282" s="2">
        <f t="shared" si="66"/>
        <v>3.1496820552131835E-2</v>
      </c>
    </row>
    <row r="4283" spans="1:3" x14ac:dyDescent="0.2">
      <c r="A4283" s="3">
        <v>39525</v>
      </c>
      <c r="B4283" s="2">
        <v>5.0377999999999998</v>
      </c>
      <c r="C4283" s="2">
        <f t="shared" si="66"/>
        <v>1.540246079591581E-2</v>
      </c>
    </row>
    <row r="4284" spans="1:3" x14ac:dyDescent="0.2">
      <c r="A4284" s="3">
        <v>39524</v>
      </c>
      <c r="B4284" s="2">
        <v>4.9607999999999999</v>
      </c>
      <c r="C4284" s="2">
        <f t="shared" si="66"/>
        <v>-2.9338800995810183E-2</v>
      </c>
    </row>
    <row r="4285" spans="1:3" x14ac:dyDescent="0.2">
      <c r="A4285" s="3">
        <v>39521</v>
      </c>
      <c r="B4285" s="2">
        <v>5.1085000000000003</v>
      </c>
      <c r="C4285" s="2">
        <f t="shared" si="66"/>
        <v>-3.4118160624304651E-2</v>
      </c>
    </row>
    <row r="4286" spans="1:3" x14ac:dyDescent="0.2">
      <c r="A4286" s="3">
        <v>39520</v>
      </c>
      <c r="B4286" s="2">
        <v>5.2858000000000001</v>
      </c>
      <c r="C4286" s="2">
        <f t="shared" si="66"/>
        <v>-1.2633171737598273E-2</v>
      </c>
    </row>
    <row r="4287" spans="1:3" x14ac:dyDescent="0.2">
      <c r="A4287" s="3">
        <v>39519</v>
      </c>
      <c r="B4287" s="2">
        <v>5.3529999999999998</v>
      </c>
      <c r="C4287" s="2">
        <f t="shared" si="66"/>
        <v>1.4659514882830519E-2</v>
      </c>
    </row>
    <row r="4288" spans="1:3" x14ac:dyDescent="0.2">
      <c r="A4288" s="3">
        <v>39518</v>
      </c>
      <c r="B4288" s="2">
        <v>5.2751000000000001</v>
      </c>
      <c r="C4288" s="2">
        <f t="shared" si="66"/>
        <v>1.5743843410087877E-2</v>
      </c>
    </row>
    <row r="4289" spans="1:3" x14ac:dyDescent="0.2">
      <c r="A4289" s="3">
        <v>39517</v>
      </c>
      <c r="B4289" s="2">
        <v>5.1927000000000003</v>
      </c>
      <c r="C4289" s="2">
        <f t="shared" si="66"/>
        <v>-2.9730611967650106E-2</v>
      </c>
    </row>
    <row r="4290" spans="1:3" x14ac:dyDescent="0.2">
      <c r="A4290" s="3">
        <v>39514</v>
      </c>
      <c r="B4290" s="2">
        <v>5.3494000000000002</v>
      </c>
      <c r="C4290" s="2">
        <f t="shared" si="66"/>
        <v>-2.7090733497195485E-2</v>
      </c>
    </row>
    <row r="4291" spans="1:3" x14ac:dyDescent="0.2">
      <c r="A4291" s="3">
        <v>39513</v>
      </c>
      <c r="B4291" s="2">
        <v>5.4962999999999997</v>
      </c>
      <c r="C4291" s="2">
        <f t="shared" ref="C4291:C4354" si="67">+LN(B4291/B4292)</f>
        <v>9.6712729464781058E-3</v>
      </c>
    </row>
    <row r="4292" spans="1:3" x14ac:dyDescent="0.2">
      <c r="A4292" s="3">
        <v>39512</v>
      </c>
      <c r="B4292" s="2">
        <v>5.4433999999999996</v>
      </c>
      <c r="C4292" s="2">
        <f t="shared" si="67"/>
        <v>4.9733953632011926E-2</v>
      </c>
    </row>
    <row r="4293" spans="1:3" x14ac:dyDescent="0.2">
      <c r="A4293" s="3">
        <v>39511</v>
      </c>
      <c r="B4293" s="2">
        <v>5.1792999999999996</v>
      </c>
      <c r="C4293" s="2">
        <f t="shared" si="67"/>
        <v>-2.3734778193268583E-2</v>
      </c>
    </row>
    <row r="4294" spans="1:3" x14ac:dyDescent="0.2">
      <c r="A4294" s="3">
        <v>39510</v>
      </c>
      <c r="B4294" s="2">
        <v>5.3037000000000001</v>
      </c>
      <c r="C4294" s="2">
        <f t="shared" si="67"/>
        <v>-1.8648814423951245E-3</v>
      </c>
    </row>
    <row r="4295" spans="1:3" x14ac:dyDescent="0.2">
      <c r="A4295" s="3">
        <v>39507</v>
      </c>
      <c r="B4295" s="2">
        <v>5.3136000000000001</v>
      </c>
      <c r="C4295" s="2">
        <f t="shared" si="67"/>
        <v>4.2245083949537772E-3</v>
      </c>
    </row>
    <row r="4296" spans="1:3" x14ac:dyDescent="0.2">
      <c r="A4296" s="3">
        <v>39506</v>
      </c>
      <c r="B4296" s="2">
        <v>5.2911999999999999</v>
      </c>
      <c r="C4296" s="2">
        <f t="shared" si="67"/>
        <v>-1.4615233463944105E-2</v>
      </c>
    </row>
    <row r="4297" spans="1:3" x14ac:dyDescent="0.2">
      <c r="A4297" s="3">
        <v>39505</v>
      </c>
      <c r="B4297" s="2">
        <v>5.3691000000000004</v>
      </c>
      <c r="C4297" s="2">
        <f t="shared" si="67"/>
        <v>-5.4978871374487311E-3</v>
      </c>
    </row>
    <row r="4298" spans="1:3" x14ac:dyDescent="0.2">
      <c r="A4298" s="3">
        <v>39504</v>
      </c>
      <c r="B4298" s="2">
        <v>5.3986999999999998</v>
      </c>
      <c r="C4298" s="2">
        <f t="shared" si="67"/>
        <v>7.6607354811891954E-3</v>
      </c>
    </row>
    <row r="4299" spans="1:3" x14ac:dyDescent="0.2">
      <c r="A4299" s="3">
        <v>39503</v>
      </c>
      <c r="B4299" s="2">
        <v>5.3574999999999999</v>
      </c>
      <c r="C4299" s="2">
        <f t="shared" si="67"/>
        <v>4.6960301082102874E-3</v>
      </c>
    </row>
    <row r="4300" spans="1:3" x14ac:dyDescent="0.2">
      <c r="A4300" s="3">
        <v>39500</v>
      </c>
      <c r="B4300" s="2">
        <v>5.3323999999999998</v>
      </c>
      <c r="C4300" s="2">
        <f t="shared" si="67"/>
        <v>-8.5337336893807052E-3</v>
      </c>
    </row>
    <row r="4301" spans="1:3" x14ac:dyDescent="0.2">
      <c r="A4301" s="3">
        <v>39499</v>
      </c>
      <c r="B4301" s="2">
        <v>5.3780999999999999</v>
      </c>
      <c r="C4301" s="2">
        <f t="shared" si="67"/>
        <v>1.0045764880991113E-3</v>
      </c>
    </row>
    <row r="4302" spans="1:3" x14ac:dyDescent="0.2">
      <c r="A4302" s="3">
        <v>39498</v>
      </c>
      <c r="B4302" s="2">
        <v>5.3727</v>
      </c>
      <c r="C4302" s="2">
        <f t="shared" si="67"/>
        <v>9.7257018134951651E-3</v>
      </c>
    </row>
    <row r="4303" spans="1:3" x14ac:dyDescent="0.2">
      <c r="A4303" s="3">
        <v>39497</v>
      </c>
      <c r="B4303" s="2">
        <v>5.3207000000000004</v>
      </c>
      <c r="C4303" s="2">
        <f t="shared" si="67"/>
        <v>-9.725701813495212E-3</v>
      </c>
    </row>
    <row r="4304" spans="1:3" x14ac:dyDescent="0.2">
      <c r="A4304" s="3">
        <v>39496</v>
      </c>
      <c r="B4304" s="2">
        <v>5.3727</v>
      </c>
      <c r="C4304" s="2">
        <f t="shared" si="67"/>
        <v>-4.8276083881178744E-3</v>
      </c>
    </row>
    <row r="4305" spans="1:3" x14ac:dyDescent="0.2">
      <c r="A4305" s="3">
        <v>39493</v>
      </c>
      <c r="B4305" s="2">
        <v>5.3986999999999998</v>
      </c>
      <c r="C4305" s="2">
        <f t="shared" si="67"/>
        <v>3.9903912488234586E-3</v>
      </c>
    </row>
    <row r="4306" spans="1:3" x14ac:dyDescent="0.2">
      <c r="A4306" s="3">
        <v>39492</v>
      </c>
      <c r="B4306" s="2">
        <v>5.3772000000000002</v>
      </c>
      <c r="C4306" s="2">
        <f t="shared" si="67"/>
        <v>2.4797226408557554E-2</v>
      </c>
    </row>
    <row r="4307" spans="1:3" x14ac:dyDescent="0.2">
      <c r="A4307" s="3">
        <v>39491</v>
      </c>
      <c r="B4307" s="2">
        <v>5.2454999999999998</v>
      </c>
      <c r="C4307" s="2">
        <f t="shared" si="67"/>
        <v>-3.4237021088210855E-2</v>
      </c>
    </row>
    <row r="4308" spans="1:3" x14ac:dyDescent="0.2">
      <c r="A4308" s="3">
        <v>39490</v>
      </c>
      <c r="B4308" s="2">
        <v>5.4282000000000004</v>
      </c>
      <c r="C4308" s="2">
        <f t="shared" si="67"/>
        <v>1.6138518240720781E-2</v>
      </c>
    </row>
    <row r="4309" spans="1:3" x14ac:dyDescent="0.2">
      <c r="A4309" s="3">
        <v>39489</v>
      </c>
      <c r="B4309" s="2">
        <v>5.3413000000000004</v>
      </c>
      <c r="C4309" s="2">
        <f t="shared" si="67"/>
        <v>-9.1876269428811646E-3</v>
      </c>
    </row>
    <row r="4310" spans="1:3" x14ac:dyDescent="0.2">
      <c r="A4310" s="3">
        <v>39486</v>
      </c>
      <c r="B4310" s="2">
        <v>5.3906000000000001</v>
      </c>
      <c r="C4310" s="2">
        <f t="shared" si="67"/>
        <v>1.0855277722389495E-2</v>
      </c>
    </row>
    <row r="4311" spans="1:3" x14ac:dyDescent="0.2">
      <c r="A4311" s="3">
        <v>39485</v>
      </c>
      <c r="B4311" s="2">
        <v>5.3323999999999998</v>
      </c>
      <c r="C4311" s="2">
        <f t="shared" si="67"/>
        <v>-2.1924276101235856E-2</v>
      </c>
    </row>
    <row r="4312" spans="1:3" x14ac:dyDescent="0.2">
      <c r="A4312" s="3">
        <v>39484</v>
      </c>
      <c r="B4312" s="2">
        <v>5.4505999999999997</v>
      </c>
      <c r="C4312" s="2">
        <f t="shared" si="67"/>
        <v>-5.5618717053585905E-3</v>
      </c>
    </row>
    <row r="4313" spans="1:3" x14ac:dyDescent="0.2">
      <c r="A4313" s="3">
        <v>39483</v>
      </c>
      <c r="B4313" s="2">
        <v>5.4809999999999999</v>
      </c>
      <c r="C4313" s="2">
        <f t="shared" si="67"/>
        <v>-3.374280891798636E-2</v>
      </c>
    </row>
    <row r="4314" spans="1:3" x14ac:dyDescent="0.2">
      <c r="A4314" s="3">
        <v>39482</v>
      </c>
      <c r="B4314" s="2">
        <v>5.6691000000000003</v>
      </c>
      <c r="C4314" s="2">
        <f t="shared" si="67"/>
        <v>2.4951064430015945E-2</v>
      </c>
    </row>
    <row r="4315" spans="1:3" x14ac:dyDescent="0.2">
      <c r="A4315" s="3">
        <v>39479</v>
      </c>
      <c r="B4315" s="2">
        <v>5.5293999999999999</v>
      </c>
      <c r="C4315" s="2">
        <f t="shared" si="67"/>
        <v>1.222767154686155E-2</v>
      </c>
    </row>
    <row r="4316" spans="1:3" x14ac:dyDescent="0.2">
      <c r="A4316" s="3">
        <v>39478</v>
      </c>
      <c r="B4316" s="2">
        <v>5.4622000000000002</v>
      </c>
      <c r="C4316" s="2">
        <f t="shared" si="67"/>
        <v>4.9185240839284185E-3</v>
      </c>
    </row>
    <row r="4317" spans="1:3" x14ac:dyDescent="0.2">
      <c r="A4317" s="3">
        <v>39477</v>
      </c>
      <c r="B4317" s="2">
        <v>5.4353999999999996</v>
      </c>
      <c r="C4317" s="2">
        <f t="shared" si="67"/>
        <v>-3.452839163596619E-3</v>
      </c>
    </row>
    <row r="4318" spans="1:3" x14ac:dyDescent="0.2">
      <c r="A4318" s="3">
        <v>39476</v>
      </c>
      <c r="B4318" s="2">
        <v>5.4542000000000002</v>
      </c>
      <c r="C4318" s="2">
        <f t="shared" si="67"/>
        <v>1.673191864100956E-2</v>
      </c>
    </row>
    <row r="4319" spans="1:3" x14ac:dyDescent="0.2">
      <c r="A4319" s="3">
        <v>39475</v>
      </c>
      <c r="B4319" s="2">
        <v>5.3636999999999997</v>
      </c>
      <c r="C4319" s="2">
        <f t="shared" si="67"/>
        <v>1.1249345245796913E-2</v>
      </c>
    </row>
    <row r="4320" spans="1:3" x14ac:dyDescent="0.2">
      <c r="A4320" s="3">
        <v>39472</v>
      </c>
      <c r="B4320" s="2">
        <v>5.3037000000000001</v>
      </c>
      <c r="C4320" s="2">
        <f t="shared" si="67"/>
        <v>3.0402334748422951E-3</v>
      </c>
    </row>
    <row r="4321" spans="1:3" x14ac:dyDescent="0.2">
      <c r="A4321" s="3">
        <v>39471</v>
      </c>
      <c r="B4321" s="2">
        <v>5.2876000000000003</v>
      </c>
      <c r="C4321" s="2">
        <f t="shared" si="67"/>
        <v>-1.3786068122293049E-2</v>
      </c>
    </row>
    <row r="4322" spans="1:3" x14ac:dyDescent="0.2">
      <c r="A4322" s="3">
        <v>39470</v>
      </c>
      <c r="B4322" s="2">
        <v>5.3609999999999998</v>
      </c>
      <c r="C4322" s="2">
        <f t="shared" si="67"/>
        <v>1.6615175901418967E-3</v>
      </c>
    </row>
    <row r="4323" spans="1:3" x14ac:dyDescent="0.2">
      <c r="A4323" s="3">
        <v>39469</v>
      </c>
      <c r="B4323" s="2">
        <v>5.3521000000000001</v>
      </c>
      <c r="C4323" s="2">
        <f t="shared" si="67"/>
        <v>-1.8896946829497864E-2</v>
      </c>
    </row>
    <row r="4324" spans="1:3" x14ac:dyDescent="0.2">
      <c r="A4324" s="3">
        <v>39468</v>
      </c>
      <c r="B4324" s="2">
        <v>5.4542000000000002</v>
      </c>
      <c r="C4324" s="2">
        <f t="shared" si="67"/>
        <v>-5.2292025440847809E-2</v>
      </c>
    </row>
    <row r="4325" spans="1:3" x14ac:dyDescent="0.2">
      <c r="A4325" s="3">
        <v>39465</v>
      </c>
      <c r="B4325" s="2">
        <v>5.7469999999999999</v>
      </c>
      <c r="C4325" s="2">
        <f t="shared" si="67"/>
        <v>-3.2643873478381262E-2</v>
      </c>
    </row>
    <row r="4326" spans="1:3" x14ac:dyDescent="0.2">
      <c r="A4326" s="3">
        <v>39464</v>
      </c>
      <c r="B4326" s="2">
        <v>5.9377000000000004</v>
      </c>
      <c r="C4326" s="2">
        <f t="shared" si="67"/>
        <v>1.3667252454931927E-2</v>
      </c>
    </row>
    <row r="4327" spans="1:3" x14ac:dyDescent="0.2">
      <c r="A4327" s="3">
        <v>39463</v>
      </c>
      <c r="B4327" s="2">
        <v>5.8571</v>
      </c>
      <c r="C4327" s="2">
        <f t="shared" si="67"/>
        <v>2.4770299103135558E-2</v>
      </c>
    </row>
    <row r="4328" spans="1:3" x14ac:dyDescent="0.2">
      <c r="A4328" s="3">
        <v>39462</v>
      </c>
      <c r="B4328" s="2">
        <v>5.7138</v>
      </c>
      <c r="C4328" s="2">
        <f t="shared" si="67"/>
        <v>-3.4201365548343438E-2</v>
      </c>
    </row>
    <row r="4329" spans="1:3" x14ac:dyDescent="0.2">
      <c r="A4329" s="3">
        <v>39461</v>
      </c>
      <c r="B4329" s="2">
        <v>5.9126000000000003</v>
      </c>
      <c r="C4329" s="2">
        <f t="shared" si="67"/>
        <v>1.5098356099876841E-2</v>
      </c>
    </row>
    <row r="4330" spans="1:3" x14ac:dyDescent="0.2">
      <c r="A4330" s="3">
        <v>39458</v>
      </c>
      <c r="B4330" s="2">
        <v>5.8239999999999998</v>
      </c>
      <c r="C4330" s="2">
        <f t="shared" si="67"/>
        <v>2.9500253131401179E-2</v>
      </c>
    </row>
    <row r="4331" spans="1:3" x14ac:dyDescent="0.2">
      <c r="A4331" s="3">
        <v>39457</v>
      </c>
      <c r="B4331" s="2">
        <v>5.6547000000000001</v>
      </c>
      <c r="C4331" s="2">
        <f t="shared" si="67"/>
        <v>1.0024077537585009E-2</v>
      </c>
    </row>
    <row r="4332" spans="1:3" x14ac:dyDescent="0.2">
      <c r="A4332" s="3">
        <v>39456</v>
      </c>
      <c r="B4332" s="2">
        <v>5.5983000000000001</v>
      </c>
      <c r="C4332" s="2">
        <f t="shared" si="67"/>
        <v>-6.5341672663409766E-3</v>
      </c>
    </row>
    <row r="4333" spans="1:3" x14ac:dyDescent="0.2">
      <c r="A4333" s="3">
        <v>39455</v>
      </c>
      <c r="B4333" s="2">
        <v>5.6349999999999998</v>
      </c>
      <c r="C4333" s="2">
        <f t="shared" si="67"/>
        <v>-4.155570931410673E-2</v>
      </c>
    </row>
    <row r="4334" spans="1:3" x14ac:dyDescent="0.2">
      <c r="A4334" s="3">
        <v>39454</v>
      </c>
      <c r="B4334" s="2">
        <v>5.8741000000000003</v>
      </c>
      <c r="C4334" s="2">
        <f t="shared" si="67"/>
        <v>-2.8562822375468415E-2</v>
      </c>
    </row>
    <row r="4335" spans="1:3" x14ac:dyDescent="0.2">
      <c r="A4335" s="3">
        <v>39451</v>
      </c>
      <c r="B4335" s="2">
        <v>6.0442999999999998</v>
      </c>
      <c r="C4335" s="2">
        <f t="shared" si="67"/>
        <v>-2.1101662863224596E-2</v>
      </c>
    </row>
    <row r="4336" spans="1:3" x14ac:dyDescent="0.2">
      <c r="A4336" s="3">
        <v>39450</v>
      </c>
      <c r="B4336" s="2">
        <v>6.1731999999999996</v>
      </c>
      <c r="C4336" s="2">
        <f t="shared" si="67"/>
        <v>-2.0824233821470205E-2</v>
      </c>
    </row>
    <row r="4337" spans="1:3" x14ac:dyDescent="0.2">
      <c r="A4337" s="3">
        <v>39444</v>
      </c>
      <c r="B4337" s="2">
        <v>6.3030999999999997</v>
      </c>
      <c r="C4337" s="2">
        <f t="shared" si="67"/>
        <v>4.4202832260243881E-3</v>
      </c>
    </row>
    <row r="4338" spans="1:3" x14ac:dyDescent="0.2">
      <c r="A4338" s="3">
        <v>39443</v>
      </c>
      <c r="B4338" s="2">
        <v>6.2752999999999997</v>
      </c>
      <c r="C4338" s="2">
        <f t="shared" si="67"/>
        <v>-8.947469860937203E-3</v>
      </c>
    </row>
    <row r="4339" spans="1:3" x14ac:dyDescent="0.2">
      <c r="A4339" s="3">
        <v>39437</v>
      </c>
      <c r="B4339" s="2">
        <v>6.3316999999999997</v>
      </c>
      <c r="C4339" s="2">
        <f t="shared" si="67"/>
        <v>-3.3898604779405437E-3</v>
      </c>
    </row>
    <row r="4340" spans="1:3" x14ac:dyDescent="0.2">
      <c r="A4340" s="3">
        <v>39436</v>
      </c>
      <c r="B4340" s="2">
        <v>6.3532000000000002</v>
      </c>
      <c r="C4340" s="2">
        <f t="shared" si="67"/>
        <v>1.1763817076594961E-2</v>
      </c>
    </row>
    <row r="4341" spans="1:3" x14ac:dyDescent="0.2">
      <c r="A4341" s="3">
        <v>39435</v>
      </c>
      <c r="B4341" s="2">
        <v>6.2789000000000001</v>
      </c>
      <c r="C4341" s="2">
        <f t="shared" si="67"/>
        <v>-1.3305158348387077E-2</v>
      </c>
    </row>
    <row r="4342" spans="1:3" x14ac:dyDescent="0.2">
      <c r="A4342" s="3">
        <v>39434</v>
      </c>
      <c r="B4342" s="2">
        <v>6.3630000000000004</v>
      </c>
      <c r="C4342" s="2">
        <f t="shared" si="67"/>
        <v>3.6527420404227377E-3</v>
      </c>
    </row>
    <row r="4343" spans="1:3" x14ac:dyDescent="0.2">
      <c r="A4343" s="3">
        <v>39433</v>
      </c>
      <c r="B4343" s="2">
        <v>6.3398000000000003</v>
      </c>
      <c r="C4343" s="2">
        <f t="shared" si="67"/>
        <v>-1.8193687211902759E-2</v>
      </c>
    </row>
    <row r="4344" spans="1:3" x14ac:dyDescent="0.2">
      <c r="A4344" s="3">
        <v>39430</v>
      </c>
      <c r="B4344" s="2">
        <v>6.4561999999999999</v>
      </c>
      <c r="C4344" s="2">
        <f t="shared" si="67"/>
        <v>9.7628261060919632E-4</v>
      </c>
    </row>
    <row r="4345" spans="1:3" x14ac:dyDescent="0.2">
      <c r="A4345" s="3">
        <v>39429</v>
      </c>
      <c r="B4345" s="2">
        <v>6.4499000000000004</v>
      </c>
      <c r="C4345" s="2">
        <f t="shared" si="67"/>
        <v>-2.8203607343331168E-2</v>
      </c>
    </row>
    <row r="4346" spans="1:3" x14ac:dyDescent="0.2">
      <c r="A4346" s="3">
        <v>39428</v>
      </c>
      <c r="B4346" s="2">
        <v>6.6344000000000003</v>
      </c>
      <c r="C4346" s="2">
        <f t="shared" si="67"/>
        <v>2.4875765741965566E-2</v>
      </c>
    </row>
    <row r="4347" spans="1:3" x14ac:dyDescent="0.2">
      <c r="A4347" s="3">
        <v>39427</v>
      </c>
      <c r="B4347" s="2">
        <v>6.4714</v>
      </c>
      <c r="C4347" s="2">
        <f t="shared" si="67"/>
        <v>-2.0685084790157014E-3</v>
      </c>
    </row>
    <row r="4348" spans="1:3" x14ac:dyDescent="0.2">
      <c r="A4348" s="3">
        <v>39426</v>
      </c>
      <c r="B4348" s="2">
        <v>6.4847999999999999</v>
      </c>
      <c r="C4348" s="2">
        <f t="shared" si="67"/>
        <v>1.7688837757681163E-2</v>
      </c>
    </row>
    <row r="4349" spans="1:3" x14ac:dyDescent="0.2">
      <c r="A4349" s="3">
        <v>39423</v>
      </c>
      <c r="B4349" s="2">
        <v>6.3711000000000002</v>
      </c>
      <c r="C4349" s="2">
        <f t="shared" si="67"/>
        <v>5.3508885796550018E-3</v>
      </c>
    </row>
    <row r="4350" spans="1:3" x14ac:dyDescent="0.2">
      <c r="A4350" s="3">
        <v>39422</v>
      </c>
      <c r="B4350" s="2">
        <v>6.3371000000000004</v>
      </c>
      <c r="C4350" s="2">
        <f t="shared" si="67"/>
        <v>-8.5790231408997067E-3</v>
      </c>
    </row>
    <row r="4351" spans="1:3" x14ac:dyDescent="0.2">
      <c r="A4351" s="3">
        <v>39421</v>
      </c>
      <c r="B4351" s="2">
        <v>6.3917000000000002</v>
      </c>
      <c r="C4351" s="2">
        <f t="shared" si="67"/>
        <v>1.1122850205309032E-2</v>
      </c>
    </row>
    <row r="4352" spans="1:3" x14ac:dyDescent="0.2">
      <c r="A4352" s="3">
        <v>39420</v>
      </c>
      <c r="B4352" s="2">
        <v>6.3209999999999997</v>
      </c>
      <c r="C4352" s="2">
        <f t="shared" si="67"/>
        <v>-1.2108018037164629E-2</v>
      </c>
    </row>
    <row r="4353" spans="1:3" x14ac:dyDescent="0.2">
      <c r="A4353" s="3">
        <v>39419</v>
      </c>
      <c r="B4353" s="2">
        <v>6.3979999999999997</v>
      </c>
      <c r="C4353" s="2">
        <f t="shared" si="67"/>
        <v>-9.0554678948088392E-3</v>
      </c>
    </row>
    <row r="4354" spans="1:3" x14ac:dyDescent="0.2">
      <c r="A4354" s="3">
        <v>39416</v>
      </c>
      <c r="B4354" s="2">
        <v>6.4561999999999999</v>
      </c>
      <c r="C4354" s="2">
        <f t="shared" si="67"/>
        <v>1.3410043156689857E-2</v>
      </c>
    </row>
    <row r="4355" spans="1:3" x14ac:dyDescent="0.2">
      <c r="A4355" s="3">
        <v>39415</v>
      </c>
      <c r="B4355" s="2">
        <v>6.3701999999999996</v>
      </c>
      <c r="C4355" s="2">
        <f t="shared" ref="C4355:C4418" si="68">+LN(B4355/B4356)</f>
        <v>-2.7452431134284725E-2</v>
      </c>
    </row>
    <row r="4356" spans="1:3" x14ac:dyDescent="0.2">
      <c r="A4356" s="3">
        <v>39414</v>
      </c>
      <c r="B4356" s="2">
        <v>6.5475000000000003</v>
      </c>
      <c r="C4356" s="2">
        <f t="shared" si="68"/>
        <v>-5.3161230767709913E-3</v>
      </c>
    </row>
    <row r="4357" spans="1:3" x14ac:dyDescent="0.2">
      <c r="A4357" s="3">
        <v>39413</v>
      </c>
      <c r="B4357" s="2">
        <v>6.5823999999999998</v>
      </c>
      <c r="C4357" s="2">
        <f t="shared" si="68"/>
        <v>2.0334793664975037E-2</v>
      </c>
    </row>
    <row r="4358" spans="1:3" x14ac:dyDescent="0.2">
      <c r="A4358" s="3">
        <v>39412</v>
      </c>
      <c r="B4358" s="2">
        <v>6.4499000000000004</v>
      </c>
      <c r="C4358" s="2">
        <f t="shared" si="68"/>
        <v>1.4397950085406291E-2</v>
      </c>
    </row>
    <row r="4359" spans="1:3" x14ac:dyDescent="0.2">
      <c r="A4359" s="3">
        <v>39409</v>
      </c>
      <c r="B4359" s="2">
        <v>6.3577000000000004</v>
      </c>
      <c r="C4359" s="2">
        <f t="shared" si="68"/>
        <v>2.2507889146203563E-2</v>
      </c>
    </row>
    <row r="4360" spans="1:3" x14ac:dyDescent="0.2">
      <c r="A4360" s="3">
        <v>39408</v>
      </c>
      <c r="B4360" s="2">
        <v>6.2161999999999997</v>
      </c>
      <c r="C4360" s="2">
        <f t="shared" si="68"/>
        <v>2.7315414659386222E-2</v>
      </c>
    </row>
    <row r="4361" spans="1:3" x14ac:dyDescent="0.2">
      <c r="A4361" s="3">
        <v>39407</v>
      </c>
      <c r="B4361" s="2">
        <v>6.0487000000000002</v>
      </c>
      <c r="C4361" s="2">
        <f t="shared" si="68"/>
        <v>-3.706471746527891E-2</v>
      </c>
    </row>
    <row r="4362" spans="1:3" x14ac:dyDescent="0.2">
      <c r="A4362" s="3">
        <v>39406</v>
      </c>
      <c r="B4362" s="2">
        <v>6.2770999999999999</v>
      </c>
      <c r="C4362" s="2">
        <f t="shared" si="68"/>
        <v>-1.1304563629735637E-3</v>
      </c>
    </row>
    <row r="4363" spans="1:3" x14ac:dyDescent="0.2">
      <c r="A4363" s="3">
        <v>39405</v>
      </c>
      <c r="B4363" s="2">
        <v>6.2842000000000002</v>
      </c>
      <c r="C4363" s="2">
        <f t="shared" si="68"/>
        <v>-3.4040514893614156E-2</v>
      </c>
    </row>
    <row r="4364" spans="1:3" x14ac:dyDescent="0.2">
      <c r="A4364" s="3">
        <v>39402</v>
      </c>
      <c r="B4364" s="2">
        <v>6.5018000000000002</v>
      </c>
      <c r="C4364" s="2">
        <f t="shared" si="68"/>
        <v>9.6747528450096439E-3</v>
      </c>
    </row>
    <row r="4365" spans="1:3" x14ac:dyDescent="0.2">
      <c r="A4365" s="3">
        <v>39401</v>
      </c>
      <c r="B4365" s="2">
        <v>6.4391999999999996</v>
      </c>
      <c r="C4365" s="2">
        <f t="shared" si="68"/>
        <v>-1.8586294158610669E-2</v>
      </c>
    </row>
    <row r="4366" spans="1:3" x14ac:dyDescent="0.2">
      <c r="A4366" s="3">
        <v>39400</v>
      </c>
      <c r="B4366" s="2">
        <v>6.56</v>
      </c>
      <c r="C4366" s="2">
        <f t="shared" si="68"/>
        <v>-5.3211832132802721E-3</v>
      </c>
    </row>
    <row r="4367" spans="1:3" x14ac:dyDescent="0.2">
      <c r="A4367" s="3">
        <v>39399</v>
      </c>
      <c r="B4367" s="2">
        <v>6.5949999999999998</v>
      </c>
      <c r="C4367" s="2">
        <f t="shared" si="68"/>
        <v>-1.0663188203087082E-2</v>
      </c>
    </row>
    <row r="4368" spans="1:3" x14ac:dyDescent="0.2">
      <c r="A4368" s="3">
        <v>39398</v>
      </c>
      <c r="B4368" s="2">
        <v>6.6657000000000002</v>
      </c>
      <c r="C4368" s="2">
        <f t="shared" si="68"/>
        <v>6.7532587038609854E-4</v>
      </c>
    </row>
    <row r="4369" spans="1:3" x14ac:dyDescent="0.2">
      <c r="A4369" s="3">
        <v>39395</v>
      </c>
      <c r="B4369" s="2">
        <v>6.6612</v>
      </c>
      <c r="C4369" s="2">
        <f t="shared" si="68"/>
        <v>-3.8376202910336651E-2</v>
      </c>
    </row>
    <row r="4370" spans="1:3" x14ac:dyDescent="0.2">
      <c r="A4370" s="3">
        <v>39394</v>
      </c>
      <c r="B4370" s="2">
        <v>6.9218000000000002</v>
      </c>
      <c r="C4370" s="2">
        <f t="shared" si="68"/>
        <v>3.8938435354579442E-3</v>
      </c>
    </row>
    <row r="4371" spans="1:3" x14ac:dyDescent="0.2">
      <c r="A4371" s="3">
        <v>39393</v>
      </c>
      <c r="B4371" s="2">
        <v>6.8948999999999998</v>
      </c>
      <c r="C4371" s="2">
        <f t="shared" si="68"/>
        <v>-3.3736123098520761E-3</v>
      </c>
    </row>
    <row r="4372" spans="1:3" x14ac:dyDescent="0.2">
      <c r="A4372" s="3">
        <v>39392</v>
      </c>
      <c r="B4372" s="2">
        <v>6.9181999999999997</v>
      </c>
      <c r="C4372" s="2">
        <f t="shared" si="68"/>
        <v>2.7952016567785707E-2</v>
      </c>
    </row>
    <row r="4373" spans="1:3" x14ac:dyDescent="0.2">
      <c r="A4373" s="3">
        <v>39391</v>
      </c>
      <c r="B4373" s="2">
        <v>6.7275</v>
      </c>
      <c r="C4373" s="2">
        <f t="shared" si="68"/>
        <v>-3.6587400242520683E-2</v>
      </c>
    </row>
    <row r="4374" spans="1:3" x14ac:dyDescent="0.2">
      <c r="A4374" s="3">
        <v>39388</v>
      </c>
      <c r="B4374" s="2">
        <v>6.9782000000000002</v>
      </c>
      <c r="C4374" s="2">
        <f t="shared" si="68"/>
        <v>2.439130583562721E-3</v>
      </c>
    </row>
    <row r="4375" spans="1:3" x14ac:dyDescent="0.2">
      <c r="A4375" s="3">
        <v>39387</v>
      </c>
      <c r="B4375" s="2">
        <v>6.9611999999999998</v>
      </c>
      <c r="C4375" s="2">
        <f t="shared" si="68"/>
        <v>-1.4178160451871332E-2</v>
      </c>
    </row>
    <row r="4376" spans="1:3" x14ac:dyDescent="0.2">
      <c r="A4376" s="3">
        <v>39386</v>
      </c>
      <c r="B4376" s="2">
        <v>7.0606</v>
      </c>
      <c r="C4376" s="2">
        <f t="shared" si="68"/>
        <v>-3.823306640361401E-4</v>
      </c>
    </row>
    <row r="4377" spans="1:3" x14ac:dyDescent="0.2">
      <c r="A4377" s="3">
        <v>39385</v>
      </c>
      <c r="B4377" s="2">
        <v>7.0632999999999999</v>
      </c>
      <c r="C4377" s="2">
        <f t="shared" si="68"/>
        <v>-5.0954693888154168E-4</v>
      </c>
    </row>
    <row r="4378" spans="1:3" x14ac:dyDescent="0.2">
      <c r="A4378" s="3">
        <v>39384</v>
      </c>
      <c r="B4378" s="2">
        <v>7.0669000000000004</v>
      </c>
      <c r="C4378" s="2">
        <f t="shared" si="68"/>
        <v>-9.3240112116584704E-3</v>
      </c>
    </row>
    <row r="4379" spans="1:3" x14ac:dyDescent="0.2">
      <c r="A4379" s="3">
        <v>39381</v>
      </c>
      <c r="B4379" s="2">
        <v>7.1330999999999998</v>
      </c>
      <c r="C4379" s="2">
        <f t="shared" si="68"/>
        <v>3.8120534900883081E-2</v>
      </c>
    </row>
    <row r="4380" spans="1:3" x14ac:dyDescent="0.2">
      <c r="A4380" s="3">
        <v>39380</v>
      </c>
      <c r="B4380" s="2">
        <v>6.8662999999999998</v>
      </c>
      <c r="C4380" s="2">
        <f t="shared" si="68"/>
        <v>1.1542702383392308E-2</v>
      </c>
    </row>
    <row r="4381" spans="1:3" x14ac:dyDescent="0.2">
      <c r="A4381" s="3">
        <v>39379</v>
      </c>
      <c r="B4381" s="2">
        <v>6.7874999999999996</v>
      </c>
      <c r="C4381" s="2">
        <f t="shared" si="68"/>
        <v>-9.9685645545188727E-3</v>
      </c>
    </row>
    <row r="4382" spans="1:3" x14ac:dyDescent="0.2">
      <c r="A4382" s="3">
        <v>39378</v>
      </c>
      <c r="B4382" s="2">
        <v>6.8555000000000001</v>
      </c>
      <c r="C4382" s="2">
        <f t="shared" si="68"/>
        <v>2.9021859410720805E-2</v>
      </c>
    </row>
    <row r="4383" spans="1:3" x14ac:dyDescent="0.2">
      <c r="A4383" s="3">
        <v>39377</v>
      </c>
      <c r="B4383" s="2">
        <v>6.6593999999999998</v>
      </c>
      <c r="C4383" s="2">
        <f t="shared" si="68"/>
        <v>-4.43499573241925E-3</v>
      </c>
    </row>
    <row r="4384" spans="1:3" x14ac:dyDescent="0.2">
      <c r="A4384" s="3">
        <v>39374</v>
      </c>
      <c r="B4384" s="2">
        <v>6.6890000000000001</v>
      </c>
      <c r="C4384" s="2">
        <f t="shared" si="68"/>
        <v>-4.0134631528027662E-3</v>
      </c>
    </row>
    <row r="4385" spans="1:3" x14ac:dyDescent="0.2">
      <c r="A4385" s="3">
        <v>39373</v>
      </c>
      <c r="B4385" s="2">
        <v>6.7159000000000004</v>
      </c>
      <c r="C4385" s="2">
        <f t="shared" si="68"/>
        <v>-1.9668607982306938E-2</v>
      </c>
    </row>
    <row r="4386" spans="1:3" x14ac:dyDescent="0.2">
      <c r="A4386" s="3">
        <v>39372</v>
      </c>
      <c r="B4386" s="2">
        <v>6.8493000000000004</v>
      </c>
      <c r="C4386" s="2">
        <f t="shared" si="68"/>
        <v>1.31486694960513E-3</v>
      </c>
    </row>
    <row r="4387" spans="1:3" x14ac:dyDescent="0.2">
      <c r="A4387" s="3">
        <v>39371</v>
      </c>
      <c r="B4387" s="2">
        <v>6.8403</v>
      </c>
      <c r="C4387" s="2">
        <f t="shared" si="68"/>
        <v>-3.662713770283849E-3</v>
      </c>
    </row>
    <row r="4388" spans="1:3" x14ac:dyDescent="0.2">
      <c r="A4388" s="3">
        <v>39370</v>
      </c>
      <c r="B4388" s="2">
        <v>6.8654000000000002</v>
      </c>
      <c r="C4388" s="2">
        <f t="shared" si="68"/>
        <v>5.6236134854743339E-3</v>
      </c>
    </row>
    <row r="4389" spans="1:3" x14ac:dyDescent="0.2">
      <c r="A4389" s="3">
        <v>39367</v>
      </c>
      <c r="B4389" s="2">
        <v>6.8269000000000002</v>
      </c>
      <c r="C4389" s="2">
        <f t="shared" si="68"/>
        <v>1.120967422639293E-2</v>
      </c>
    </row>
    <row r="4390" spans="1:3" x14ac:dyDescent="0.2">
      <c r="A4390" s="3">
        <v>39366</v>
      </c>
      <c r="B4390" s="2">
        <v>6.7507999999999999</v>
      </c>
      <c r="C4390" s="2">
        <f t="shared" si="68"/>
        <v>-9.8904901701685668E-3</v>
      </c>
    </row>
    <row r="4391" spans="1:3" x14ac:dyDescent="0.2">
      <c r="A4391" s="3">
        <v>39365</v>
      </c>
      <c r="B4391" s="2">
        <v>6.8178999999999998</v>
      </c>
      <c r="C4391" s="2">
        <f t="shared" si="68"/>
        <v>1.8549068150257385E-2</v>
      </c>
    </row>
    <row r="4392" spans="1:3" x14ac:dyDescent="0.2">
      <c r="A4392" s="3">
        <v>39364</v>
      </c>
      <c r="B4392" s="2">
        <v>6.6925999999999997</v>
      </c>
      <c r="C4392" s="2">
        <f t="shared" si="68"/>
        <v>-3.7285094871129833E-3</v>
      </c>
    </row>
    <row r="4393" spans="1:3" x14ac:dyDescent="0.2">
      <c r="A4393" s="3">
        <v>39363</v>
      </c>
      <c r="B4393" s="2">
        <v>6.7176</v>
      </c>
      <c r="C4393" s="2">
        <f t="shared" si="68"/>
        <v>6.6763998415591778E-3</v>
      </c>
    </row>
    <row r="4394" spans="1:3" x14ac:dyDescent="0.2">
      <c r="A4394" s="3">
        <v>39360</v>
      </c>
      <c r="B4394" s="2">
        <v>6.6729000000000003</v>
      </c>
      <c r="C4394" s="2">
        <f t="shared" si="68"/>
        <v>1.5008132891135275E-2</v>
      </c>
    </row>
    <row r="4395" spans="1:3" x14ac:dyDescent="0.2">
      <c r="A4395" s="3">
        <v>39359</v>
      </c>
      <c r="B4395" s="2">
        <v>6.5735000000000001</v>
      </c>
      <c r="C4395" s="2">
        <f t="shared" si="68"/>
        <v>1.2475765502177209E-2</v>
      </c>
    </row>
    <row r="4396" spans="1:3" x14ac:dyDescent="0.2">
      <c r="A4396" s="3">
        <v>39358</v>
      </c>
      <c r="B4396" s="2">
        <v>6.492</v>
      </c>
      <c r="C4396" s="2">
        <f t="shared" si="68"/>
        <v>2.485975533181678E-2</v>
      </c>
    </row>
    <row r="4397" spans="1:3" x14ac:dyDescent="0.2">
      <c r="A4397" s="3">
        <v>39357</v>
      </c>
      <c r="B4397" s="2">
        <v>6.3326000000000002</v>
      </c>
      <c r="C4397" s="2">
        <f t="shared" si="68"/>
        <v>2.1000324952787201E-2</v>
      </c>
    </row>
    <row r="4398" spans="1:3" x14ac:dyDescent="0.2">
      <c r="A4398" s="3">
        <v>39353</v>
      </c>
      <c r="B4398" s="2">
        <v>6.2009999999999996</v>
      </c>
      <c r="C4398" s="2">
        <f t="shared" si="68"/>
        <v>-3.196235070295856E-2</v>
      </c>
    </row>
    <row r="4399" spans="1:3" x14ac:dyDescent="0.2">
      <c r="A4399" s="3">
        <v>39352</v>
      </c>
      <c r="B4399" s="2">
        <v>6.4024000000000001</v>
      </c>
      <c r="C4399" s="2">
        <f t="shared" si="68"/>
        <v>-1.1831517568737926E-2</v>
      </c>
    </row>
    <row r="4400" spans="1:3" x14ac:dyDescent="0.2">
      <c r="A4400" s="3">
        <v>39351</v>
      </c>
      <c r="B4400" s="2">
        <v>6.4786000000000001</v>
      </c>
      <c r="C4400" s="2">
        <f t="shared" si="68"/>
        <v>1.5743946853983434E-2</v>
      </c>
    </row>
    <row r="4401" spans="1:3" x14ac:dyDescent="0.2">
      <c r="A4401" s="3">
        <v>39350</v>
      </c>
      <c r="B4401" s="2">
        <v>6.3773999999999997</v>
      </c>
      <c r="C4401" s="2">
        <f t="shared" si="68"/>
        <v>1.8362883894271823E-3</v>
      </c>
    </row>
    <row r="4402" spans="1:3" x14ac:dyDescent="0.2">
      <c r="A4402" s="3">
        <v>39349</v>
      </c>
      <c r="B4402" s="2">
        <v>6.3657000000000004</v>
      </c>
      <c r="C4402" s="2">
        <f t="shared" si="68"/>
        <v>1.1454517011895491E-2</v>
      </c>
    </row>
    <row r="4403" spans="1:3" x14ac:dyDescent="0.2">
      <c r="A4403" s="3">
        <v>39346</v>
      </c>
      <c r="B4403" s="2">
        <v>6.2931999999999997</v>
      </c>
      <c r="C4403" s="2">
        <f t="shared" si="68"/>
        <v>1.5485068861339183E-2</v>
      </c>
    </row>
    <row r="4404" spans="1:3" x14ac:dyDescent="0.2">
      <c r="A4404" s="3">
        <v>39345</v>
      </c>
      <c r="B4404" s="2">
        <v>6.1965000000000003</v>
      </c>
      <c r="C4404" s="2">
        <f t="shared" si="68"/>
        <v>-2.1601762333585818E-3</v>
      </c>
    </row>
    <row r="4405" spans="1:3" x14ac:dyDescent="0.2">
      <c r="A4405" s="3">
        <v>39344</v>
      </c>
      <c r="B4405" s="2">
        <v>6.2099000000000002</v>
      </c>
      <c r="C4405" s="2">
        <f t="shared" si="68"/>
        <v>2.2160353905526516E-2</v>
      </c>
    </row>
    <row r="4406" spans="1:3" x14ac:dyDescent="0.2">
      <c r="A4406" s="3">
        <v>39343</v>
      </c>
      <c r="B4406" s="2">
        <v>6.0738000000000003</v>
      </c>
      <c r="C4406" s="2">
        <f t="shared" si="68"/>
        <v>-2.7949971338163174E-3</v>
      </c>
    </row>
    <row r="4407" spans="1:3" x14ac:dyDescent="0.2">
      <c r="A4407" s="3">
        <v>39342</v>
      </c>
      <c r="B4407" s="2">
        <v>6.0907999999999998</v>
      </c>
      <c r="C4407" s="2">
        <f t="shared" si="68"/>
        <v>-3.3764435217637752E-3</v>
      </c>
    </row>
    <row r="4408" spans="1:3" x14ac:dyDescent="0.2">
      <c r="A4408" s="3">
        <v>39339</v>
      </c>
      <c r="B4408" s="2">
        <v>6.1113999999999997</v>
      </c>
      <c r="C4408" s="2">
        <f t="shared" si="68"/>
        <v>-2.6608822288311362E-2</v>
      </c>
    </row>
    <row r="4409" spans="1:3" x14ac:dyDescent="0.2">
      <c r="A4409" s="3">
        <v>39338</v>
      </c>
      <c r="B4409" s="2">
        <v>6.2762000000000002</v>
      </c>
      <c r="C4409" s="2">
        <f t="shared" si="68"/>
        <v>-1.5289923217295102E-2</v>
      </c>
    </row>
    <row r="4410" spans="1:3" x14ac:dyDescent="0.2">
      <c r="A4410" s="3">
        <v>39337</v>
      </c>
      <c r="B4410" s="2">
        <v>6.3728999999999996</v>
      </c>
      <c r="C4410" s="2">
        <f t="shared" si="68"/>
        <v>-9.6505949029112997E-3</v>
      </c>
    </row>
    <row r="4411" spans="1:3" x14ac:dyDescent="0.2">
      <c r="A4411" s="3">
        <v>39336</v>
      </c>
      <c r="B4411" s="2">
        <v>6.4347000000000003</v>
      </c>
      <c r="C4411" s="2">
        <f t="shared" si="68"/>
        <v>1.5283969360150852E-2</v>
      </c>
    </row>
    <row r="4412" spans="1:3" x14ac:dyDescent="0.2">
      <c r="A4412" s="3">
        <v>39335</v>
      </c>
      <c r="B4412" s="2">
        <v>6.3371000000000004</v>
      </c>
      <c r="C4412" s="2">
        <f t="shared" si="68"/>
        <v>-4.3615591229449581E-3</v>
      </c>
    </row>
    <row r="4413" spans="1:3" x14ac:dyDescent="0.2">
      <c r="A4413" s="3">
        <v>39332</v>
      </c>
      <c r="B4413" s="2">
        <v>6.3647999999999998</v>
      </c>
      <c r="C4413" s="2">
        <f t="shared" si="68"/>
        <v>-2.9262224417899434E-2</v>
      </c>
    </row>
    <row r="4414" spans="1:3" x14ac:dyDescent="0.2">
      <c r="A4414" s="3">
        <v>39331</v>
      </c>
      <c r="B4414" s="2">
        <v>6.5537999999999998</v>
      </c>
      <c r="C4414" s="2">
        <f t="shared" si="68"/>
        <v>-9.5214951355517587E-3</v>
      </c>
    </row>
    <row r="4415" spans="1:3" x14ac:dyDescent="0.2">
      <c r="A4415" s="3">
        <v>39330</v>
      </c>
      <c r="B4415" s="2">
        <v>6.6165000000000003</v>
      </c>
      <c r="C4415" s="2">
        <f t="shared" si="68"/>
        <v>-1.5432335603598699E-2</v>
      </c>
    </row>
    <row r="4416" spans="1:3" x14ac:dyDescent="0.2">
      <c r="A4416" s="3">
        <v>39329</v>
      </c>
      <c r="B4416" s="2">
        <v>6.7194000000000003</v>
      </c>
      <c r="C4416" s="2">
        <f t="shared" si="68"/>
        <v>1.3680677876520922E-2</v>
      </c>
    </row>
    <row r="4417" spans="1:3" x14ac:dyDescent="0.2">
      <c r="A4417" s="3">
        <v>39328</v>
      </c>
      <c r="B4417" s="2">
        <v>6.6280999999999999</v>
      </c>
      <c r="C4417" s="2">
        <f t="shared" si="68"/>
        <v>7.7242682538860401E-3</v>
      </c>
    </row>
    <row r="4418" spans="1:3" x14ac:dyDescent="0.2">
      <c r="A4418" s="3">
        <v>39325</v>
      </c>
      <c r="B4418" s="2">
        <v>6.5770999999999997</v>
      </c>
      <c r="C4418" s="2">
        <f t="shared" si="68"/>
        <v>1.7593152877147585E-2</v>
      </c>
    </row>
    <row r="4419" spans="1:3" x14ac:dyDescent="0.2">
      <c r="A4419" s="3">
        <v>39324</v>
      </c>
      <c r="B4419" s="2">
        <v>6.4623999999999997</v>
      </c>
      <c r="C4419" s="2">
        <f t="shared" ref="C4419:C4482" si="69">+LN(B4419/B4420)</f>
        <v>-2.4366470486159215E-2</v>
      </c>
    </row>
    <row r="4420" spans="1:3" x14ac:dyDescent="0.2">
      <c r="A4420" s="3">
        <v>39323</v>
      </c>
      <c r="B4420" s="2">
        <v>6.6218000000000004</v>
      </c>
      <c r="C4420" s="2">
        <f t="shared" si="69"/>
        <v>-5.391822933369355E-3</v>
      </c>
    </row>
    <row r="4421" spans="1:3" x14ac:dyDescent="0.2">
      <c r="A4421" s="3">
        <v>39322</v>
      </c>
      <c r="B4421" s="2">
        <v>6.6576000000000004</v>
      </c>
      <c r="C4421" s="2">
        <f t="shared" si="69"/>
        <v>-1.3509255893411575E-3</v>
      </c>
    </row>
    <row r="4422" spans="1:3" x14ac:dyDescent="0.2">
      <c r="A4422" s="3">
        <v>39321</v>
      </c>
      <c r="B4422" s="2">
        <v>6.6665999999999999</v>
      </c>
      <c r="C4422" s="2">
        <f t="shared" si="69"/>
        <v>8.3599302941973746E-3</v>
      </c>
    </row>
    <row r="4423" spans="1:3" x14ac:dyDescent="0.2">
      <c r="A4423" s="3">
        <v>39318</v>
      </c>
      <c r="B4423" s="2">
        <v>6.6111000000000004</v>
      </c>
      <c r="C4423" s="2">
        <f t="shared" si="69"/>
        <v>1.0896709364252612E-3</v>
      </c>
    </row>
    <row r="4424" spans="1:3" x14ac:dyDescent="0.2">
      <c r="A4424" s="3">
        <v>39317</v>
      </c>
      <c r="B4424" s="2">
        <v>6.6039000000000003</v>
      </c>
      <c r="C4424" s="2">
        <f t="shared" si="69"/>
        <v>2.2480083012553911E-2</v>
      </c>
    </row>
    <row r="4425" spans="1:3" x14ac:dyDescent="0.2">
      <c r="A4425" s="3">
        <v>39316</v>
      </c>
      <c r="B4425" s="2">
        <v>6.4570999999999996</v>
      </c>
      <c r="C4425" s="2">
        <f t="shared" si="69"/>
        <v>5.0147987005890148E-3</v>
      </c>
    </row>
    <row r="4426" spans="1:3" x14ac:dyDescent="0.2">
      <c r="A4426" s="3">
        <v>39315</v>
      </c>
      <c r="B4426" s="2">
        <v>6.4248000000000003</v>
      </c>
      <c r="C4426" s="2">
        <f t="shared" si="69"/>
        <v>-2.2470088792792376E-2</v>
      </c>
    </row>
    <row r="4427" spans="1:3" x14ac:dyDescent="0.2">
      <c r="A4427" s="3">
        <v>39314</v>
      </c>
      <c r="B4427" s="2">
        <v>6.5708000000000002</v>
      </c>
      <c r="C4427" s="2">
        <f t="shared" si="69"/>
        <v>2.707224510469244E-2</v>
      </c>
    </row>
    <row r="4428" spans="1:3" x14ac:dyDescent="0.2">
      <c r="A4428" s="3">
        <v>39311</v>
      </c>
      <c r="B4428" s="2">
        <v>6.3952999999999998</v>
      </c>
      <c r="C4428" s="2">
        <f t="shared" si="69"/>
        <v>-4.7422286828540218E-3</v>
      </c>
    </row>
    <row r="4429" spans="1:3" x14ac:dyDescent="0.2">
      <c r="A4429" s="3">
        <v>39310</v>
      </c>
      <c r="B4429" s="2">
        <v>6.4257</v>
      </c>
      <c r="C4429" s="2">
        <f t="shared" si="69"/>
        <v>-3.6129175903117212E-2</v>
      </c>
    </row>
    <row r="4430" spans="1:3" x14ac:dyDescent="0.2">
      <c r="A4430" s="3">
        <v>39308</v>
      </c>
      <c r="B4430" s="2">
        <v>6.6620999999999997</v>
      </c>
      <c r="C4430" s="2">
        <f t="shared" si="69"/>
        <v>-5.6279991088505526E-3</v>
      </c>
    </row>
    <row r="4431" spans="1:3" x14ac:dyDescent="0.2">
      <c r="A4431" s="3">
        <v>39307</v>
      </c>
      <c r="B4431" s="2">
        <v>6.6997</v>
      </c>
      <c r="C4431" s="2">
        <f t="shared" si="69"/>
        <v>2.9291811005076187E-2</v>
      </c>
    </row>
    <row r="4432" spans="1:3" x14ac:dyDescent="0.2">
      <c r="A4432" s="3">
        <v>39304</v>
      </c>
      <c r="B4432" s="2">
        <v>6.5063000000000004</v>
      </c>
      <c r="C4432" s="2">
        <f t="shared" si="69"/>
        <v>9.6876136836950824E-4</v>
      </c>
    </row>
    <row r="4433" spans="1:3" x14ac:dyDescent="0.2">
      <c r="A4433" s="3">
        <v>39303</v>
      </c>
      <c r="B4433" s="2">
        <v>6.5</v>
      </c>
      <c r="C4433" s="2">
        <f t="shared" si="69"/>
        <v>-3.3732306585308167E-2</v>
      </c>
    </row>
    <row r="4434" spans="1:3" x14ac:dyDescent="0.2">
      <c r="A4434" s="3">
        <v>39302</v>
      </c>
      <c r="B4434" s="2">
        <v>6.7229999999999999</v>
      </c>
      <c r="C4434" s="2">
        <f t="shared" si="69"/>
        <v>7.0753955997888366E-3</v>
      </c>
    </row>
    <row r="4435" spans="1:3" x14ac:dyDescent="0.2">
      <c r="A4435" s="3">
        <v>39301</v>
      </c>
      <c r="B4435" s="2">
        <v>6.6756000000000002</v>
      </c>
      <c r="C4435" s="2">
        <f t="shared" si="69"/>
        <v>5.9990984450128244E-2</v>
      </c>
    </row>
    <row r="4436" spans="1:3" x14ac:dyDescent="0.2">
      <c r="A4436" s="3">
        <v>39300</v>
      </c>
      <c r="B4436" s="2">
        <v>6.2869000000000002</v>
      </c>
      <c r="C4436" s="2">
        <f t="shared" si="69"/>
        <v>-2.8785281842605235E-2</v>
      </c>
    </row>
    <row r="4437" spans="1:3" x14ac:dyDescent="0.2">
      <c r="A4437" s="3">
        <v>39297</v>
      </c>
      <c r="B4437" s="2">
        <v>6.4705000000000004</v>
      </c>
      <c r="C4437" s="2">
        <f t="shared" si="69"/>
        <v>-2.2570044373655455E-2</v>
      </c>
    </row>
    <row r="4438" spans="1:3" x14ac:dyDescent="0.2">
      <c r="A4438" s="3">
        <v>39296</v>
      </c>
      <c r="B4438" s="2">
        <v>6.6181999999999999</v>
      </c>
      <c r="C4438" s="2">
        <f t="shared" si="69"/>
        <v>6.366358736545244E-3</v>
      </c>
    </row>
    <row r="4439" spans="1:3" x14ac:dyDescent="0.2">
      <c r="A4439" s="3">
        <v>39295</v>
      </c>
      <c r="B4439" s="2">
        <v>6.5762</v>
      </c>
      <c r="C4439" s="2">
        <f t="shared" si="69"/>
        <v>-2.765457259591984E-2</v>
      </c>
    </row>
    <row r="4440" spans="1:3" x14ac:dyDescent="0.2">
      <c r="A4440" s="3">
        <v>39294</v>
      </c>
      <c r="B4440" s="2">
        <v>6.7606000000000002</v>
      </c>
      <c r="C4440" s="2">
        <f t="shared" si="69"/>
        <v>-4.1036296423554901E-3</v>
      </c>
    </row>
    <row r="4441" spans="1:3" x14ac:dyDescent="0.2">
      <c r="A4441" s="3">
        <v>39293</v>
      </c>
      <c r="B4441" s="2">
        <v>6.7884000000000002</v>
      </c>
      <c r="C4441" s="2">
        <f t="shared" si="69"/>
        <v>4.7694726611774759E-3</v>
      </c>
    </row>
    <row r="4442" spans="1:3" x14ac:dyDescent="0.2">
      <c r="A4442" s="3">
        <v>39290</v>
      </c>
      <c r="B4442" s="2">
        <v>6.7561</v>
      </c>
      <c r="C4442" s="2">
        <f t="shared" si="69"/>
        <v>-2.1249509031775915E-2</v>
      </c>
    </row>
    <row r="4443" spans="1:3" x14ac:dyDescent="0.2">
      <c r="A4443" s="3">
        <v>39289</v>
      </c>
      <c r="B4443" s="2">
        <v>6.9012000000000002</v>
      </c>
      <c r="C4443" s="2">
        <f t="shared" si="69"/>
        <v>-8.5272673401054142E-3</v>
      </c>
    </row>
    <row r="4444" spans="1:3" x14ac:dyDescent="0.2">
      <c r="A4444" s="3">
        <v>39288</v>
      </c>
      <c r="B4444" s="2">
        <v>6.9603000000000002</v>
      </c>
      <c r="C4444" s="2">
        <f t="shared" si="69"/>
        <v>-1.8603797456182434E-2</v>
      </c>
    </row>
    <row r="4445" spans="1:3" x14ac:dyDescent="0.2">
      <c r="A4445" s="3">
        <v>39287</v>
      </c>
      <c r="B4445" s="2">
        <v>7.0910000000000002</v>
      </c>
      <c r="C4445" s="2">
        <f t="shared" si="69"/>
        <v>-1.8277854990154198E-2</v>
      </c>
    </row>
    <row r="4446" spans="1:3" x14ac:dyDescent="0.2">
      <c r="A4446" s="3">
        <v>39286</v>
      </c>
      <c r="B4446" s="2">
        <v>7.2218</v>
      </c>
      <c r="C4446" s="2">
        <f t="shared" si="69"/>
        <v>1.8710894503291041E-3</v>
      </c>
    </row>
    <row r="4447" spans="1:3" x14ac:dyDescent="0.2">
      <c r="A4447" s="3">
        <v>39283</v>
      </c>
      <c r="B4447" s="2">
        <v>7.2083000000000004</v>
      </c>
      <c r="C4447" s="2">
        <f t="shared" si="69"/>
        <v>-1.7983079442992569E-2</v>
      </c>
    </row>
    <row r="4448" spans="1:3" x14ac:dyDescent="0.2">
      <c r="A4448" s="3">
        <v>39282</v>
      </c>
      <c r="B4448" s="2">
        <v>7.3391000000000002</v>
      </c>
      <c r="C4448" s="2">
        <f t="shared" si="69"/>
        <v>-1.9805031819569038E-2</v>
      </c>
    </row>
    <row r="4449" spans="1:3" x14ac:dyDescent="0.2">
      <c r="A4449" s="3">
        <v>39281</v>
      </c>
      <c r="B4449" s="2">
        <v>7.4859</v>
      </c>
      <c r="C4449" s="2">
        <f t="shared" si="69"/>
        <v>2.5928029887920402E-2</v>
      </c>
    </row>
    <row r="4450" spans="1:3" x14ac:dyDescent="0.2">
      <c r="A4450" s="3">
        <v>39280</v>
      </c>
      <c r="B4450" s="2">
        <v>7.2942999999999998</v>
      </c>
      <c r="C4450" s="2">
        <f t="shared" si="69"/>
        <v>6.171104343511677E-4</v>
      </c>
    </row>
    <row r="4451" spans="1:3" x14ac:dyDescent="0.2">
      <c r="A4451" s="3">
        <v>39279</v>
      </c>
      <c r="B4451" s="2">
        <v>7.2897999999999996</v>
      </c>
      <c r="C4451" s="2">
        <f t="shared" si="69"/>
        <v>-1.7269504435897805E-3</v>
      </c>
    </row>
    <row r="4452" spans="1:3" x14ac:dyDescent="0.2">
      <c r="A4452" s="3">
        <v>39276</v>
      </c>
      <c r="B4452" s="2">
        <v>7.3023999999999996</v>
      </c>
      <c r="C4452" s="2">
        <f t="shared" si="69"/>
        <v>1.5205955786592673E-2</v>
      </c>
    </row>
    <row r="4453" spans="1:3" x14ac:dyDescent="0.2">
      <c r="A4453" s="3">
        <v>39275</v>
      </c>
      <c r="B4453" s="2">
        <v>7.1921999999999997</v>
      </c>
      <c r="C4453" s="2">
        <f t="shared" si="69"/>
        <v>1.3536325166516748E-2</v>
      </c>
    </row>
    <row r="4454" spans="1:3" x14ac:dyDescent="0.2">
      <c r="A4454" s="3">
        <v>39274</v>
      </c>
      <c r="B4454" s="2">
        <v>7.0955000000000004</v>
      </c>
      <c r="C4454" s="2">
        <f t="shared" si="69"/>
        <v>-2.0491862886638394E-2</v>
      </c>
    </row>
    <row r="4455" spans="1:3" x14ac:dyDescent="0.2">
      <c r="A4455" s="3">
        <v>39273</v>
      </c>
      <c r="B4455" s="2">
        <v>7.2423999999999999</v>
      </c>
      <c r="C4455" s="2">
        <f t="shared" si="69"/>
        <v>1.6328882035150868E-2</v>
      </c>
    </row>
    <row r="4456" spans="1:3" x14ac:dyDescent="0.2">
      <c r="A4456" s="3">
        <v>39272</v>
      </c>
      <c r="B4456" s="2">
        <v>7.1250999999999998</v>
      </c>
      <c r="C4456" s="2">
        <f t="shared" si="69"/>
        <v>4.416694945256803E-3</v>
      </c>
    </row>
    <row r="4457" spans="1:3" x14ac:dyDescent="0.2">
      <c r="A4457" s="3">
        <v>39269</v>
      </c>
      <c r="B4457" s="2">
        <v>7.0937000000000001</v>
      </c>
      <c r="C4457" s="2">
        <f t="shared" si="69"/>
        <v>4.9320008117448612E-3</v>
      </c>
    </row>
    <row r="4458" spans="1:3" x14ac:dyDescent="0.2">
      <c r="A4458" s="3">
        <v>39268</v>
      </c>
      <c r="B4458" s="2">
        <v>7.0587999999999997</v>
      </c>
      <c r="C4458" s="2">
        <f t="shared" si="69"/>
        <v>-9.6012918852040538E-3</v>
      </c>
    </row>
    <row r="4459" spans="1:3" x14ac:dyDescent="0.2">
      <c r="A4459" s="3">
        <v>39267</v>
      </c>
      <c r="B4459" s="2">
        <v>7.1269</v>
      </c>
      <c r="C4459" s="2">
        <f t="shared" si="69"/>
        <v>5.0525607733004616E-4</v>
      </c>
    </row>
    <row r="4460" spans="1:3" x14ac:dyDescent="0.2">
      <c r="A4460" s="3">
        <v>39266</v>
      </c>
      <c r="B4460" s="2">
        <v>7.1233000000000004</v>
      </c>
      <c r="C4460" s="2">
        <f t="shared" si="69"/>
        <v>-2.3836910807194657E-3</v>
      </c>
    </row>
    <row r="4461" spans="1:3" x14ac:dyDescent="0.2">
      <c r="A4461" s="3">
        <v>39262</v>
      </c>
      <c r="B4461" s="2">
        <v>7.1402999999999999</v>
      </c>
      <c r="C4461" s="2">
        <f t="shared" si="69"/>
        <v>1.1734760256841118E-2</v>
      </c>
    </row>
    <row r="4462" spans="1:3" x14ac:dyDescent="0.2">
      <c r="A4462" s="3">
        <v>39261</v>
      </c>
      <c r="B4462" s="2">
        <v>7.0570000000000004</v>
      </c>
      <c r="C4462" s="2">
        <f t="shared" si="69"/>
        <v>2.0630800659974791E-2</v>
      </c>
    </row>
    <row r="4463" spans="1:3" x14ac:dyDescent="0.2">
      <c r="A4463" s="3">
        <v>39260</v>
      </c>
      <c r="B4463" s="2">
        <v>6.9128999999999996</v>
      </c>
      <c r="C4463" s="2">
        <f t="shared" si="69"/>
        <v>-1.4775517033472111E-2</v>
      </c>
    </row>
    <row r="4464" spans="1:3" x14ac:dyDescent="0.2">
      <c r="A4464" s="3">
        <v>39259</v>
      </c>
      <c r="B4464" s="2">
        <v>7.0157999999999996</v>
      </c>
      <c r="C4464" s="2">
        <f t="shared" si="69"/>
        <v>-6.7476160015986341E-3</v>
      </c>
    </row>
    <row r="4465" spans="1:3" x14ac:dyDescent="0.2">
      <c r="A4465" s="3">
        <v>39258</v>
      </c>
      <c r="B4465" s="2">
        <v>7.0632999999999999</v>
      </c>
      <c r="C4465" s="2">
        <f t="shared" si="69"/>
        <v>8.0169865500732702E-3</v>
      </c>
    </row>
    <row r="4466" spans="1:3" x14ac:dyDescent="0.2">
      <c r="A4466" s="3">
        <v>39255</v>
      </c>
      <c r="B4466" s="2">
        <v>7.0068999999999999</v>
      </c>
      <c r="C4466" s="2">
        <f t="shared" si="69"/>
        <v>1.5852341513275046E-2</v>
      </c>
    </row>
    <row r="4467" spans="1:3" x14ac:dyDescent="0.2">
      <c r="A4467" s="3">
        <v>39254</v>
      </c>
      <c r="B4467" s="2">
        <v>6.8967000000000001</v>
      </c>
      <c r="C4467" s="2">
        <f t="shared" si="69"/>
        <v>-1.5466932796840001E-2</v>
      </c>
    </row>
    <row r="4468" spans="1:3" x14ac:dyDescent="0.2">
      <c r="A4468" s="3">
        <v>39253</v>
      </c>
      <c r="B4468" s="2">
        <v>7.0042</v>
      </c>
      <c r="C4468" s="2">
        <f t="shared" si="69"/>
        <v>-1.9370860329388746E-2</v>
      </c>
    </row>
    <row r="4469" spans="1:3" x14ac:dyDescent="0.2">
      <c r="A4469" s="3">
        <v>39252</v>
      </c>
      <c r="B4469" s="2">
        <v>7.1412000000000004</v>
      </c>
      <c r="C4469" s="2">
        <f t="shared" si="69"/>
        <v>1.6397237166328401E-3</v>
      </c>
    </row>
    <row r="4470" spans="1:3" x14ac:dyDescent="0.2">
      <c r="A4470" s="3">
        <v>39251</v>
      </c>
      <c r="B4470" s="2">
        <v>7.1295000000000002</v>
      </c>
      <c r="C4470" s="2">
        <f t="shared" si="69"/>
        <v>4.3998749614410177E-3</v>
      </c>
    </row>
    <row r="4471" spans="1:3" x14ac:dyDescent="0.2">
      <c r="A4471" s="3">
        <v>39248</v>
      </c>
      <c r="B4471" s="2">
        <v>7.0982000000000003</v>
      </c>
      <c r="C4471" s="2">
        <f t="shared" si="69"/>
        <v>-3.7825303653468015E-3</v>
      </c>
    </row>
    <row r="4472" spans="1:3" x14ac:dyDescent="0.2">
      <c r="A4472" s="3">
        <v>39247</v>
      </c>
      <c r="B4472" s="2">
        <v>7.1250999999999998</v>
      </c>
      <c r="C4472" s="2">
        <f t="shared" si="69"/>
        <v>2.8947909731626992E-2</v>
      </c>
    </row>
    <row r="4473" spans="1:3" x14ac:dyDescent="0.2">
      <c r="A4473" s="3">
        <v>39246</v>
      </c>
      <c r="B4473" s="2">
        <v>6.9218000000000002</v>
      </c>
      <c r="C4473" s="2">
        <f t="shared" si="69"/>
        <v>-9.1464052260761472E-3</v>
      </c>
    </row>
    <row r="4474" spans="1:3" x14ac:dyDescent="0.2">
      <c r="A4474" s="3">
        <v>39245</v>
      </c>
      <c r="B4474" s="2">
        <v>6.9854000000000003</v>
      </c>
      <c r="C4474" s="2">
        <f t="shared" si="69"/>
        <v>-3.9575720475730205E-3</v>
      </c>
    </row>
    <row r="4475" spans="1:3" x14ac:dyDescent="0.2">
      <c r="A4475" s="3">
        <v>39244</v>
      </c>
      <c r="B4475" s="2">
        <v>7.0130999999999997</v>
      </c>
      <c r="C4475" s="2">
        <f t="shared" si="69"/>
        <v>-1.3328526032006469E-2</v>
      </c>
    </row>
    <row r="4476" spans="1:3" x14ac:dyDescent="0.2">
      <c r="A4476" s="3">
        <v>39241</v>
      </c>
      <c r="B4476" s="2">
        <v>7.1071999999999997</v>
      </c>
      <c r="C4476" s="2">
        <f t="shared" si="69"/>
        <v>-3.6375678263581668E-3</v>
      </c>
    </row>
    <row r="4477" spans="1:3" x14ac:dyDescent="0.2">
      <c r="A4477" s="3">
        <v>39240</v>
      </c>
      <c r="B4477" s="2">
        <v>7.1330999999999998</v>
      </c>
      <c r="C4477" s="2">
        <f t="shared" si="69"/>
        <v>-1.310576337387325E-2</v>
      </c>
    </row>
    <row r="4478" spans="1:3" x14ac:dyDescent="0.2">
      <c r="A4478" s="3">
        <v>39239</v>
      </c>
      <c r="B4478" s="2">
        <v>7.2271999999999998</v>
      </c>
      <c r="C4478" s="2">
        <f t="shared" si="69"/>
        <v>-2.7221053004351944E-3</v>
      </c>
    </row>
    <row r="4479" spans="1:3" x14ac:dyDescent="0.2">
      <c r="A4479" s="3">
        <v>39238</v>
      </c>
      <c r="B4479" s="2">
        <v>7.2469000000000001</v>
      </c>
      <c r="C4479" s="2">
        <f t="shared" si="69"/>
        <v>3.4835085430310164E-2</v>
      </c>
    </row>
    <row r="4480" spans="1:3" x14ac:dyDescent="0.2">
      <c r="A4480" s="3">
        <v>39237</v>
      </c>
      <c r="B4480" s="2">
        <v>6.9988000000000001</v>
      </c>
      <c r="C4480" s="2">
        <f t="shared" si="69"/>
        <v>-6.1251135187796717E-3</v>
      </c>
    </row>
    <row r="4481" spans="1:3" x14ac:dyDescent="0.2">
      <c r="A4481" s="3">
        <v>39234</v>
      </c>
      <c r="B4481" s="2">
        <v>7.0418000000000003</v>
      </c>
      <c r="C4481" s="2">
        <f t="shared" si="69"/>
        <v>-3.8335120408702743E-4</v>
      </c>
    </row>
    <row r="4482" spans="1:3" x14ac:dyDescent="0.2">
      <c r="A4482" s="3">
        <v>39233</v>
      </c>
      <c r="B4482" s="2">
        <v>7.0445000000000002</v>
      </c>
      <c r="C4482" s="2">
        <f t="shared" si="69"/>
        <v>9.7141460988179659E-3</v>
      </c>
    </row>
    <row r="4483" spans="1:3" x14ac:dyDescent="0.2">
      <c r="A4483" s="3">
        <v>39232</v>
      </c>
      <c r="B4483" s="2">
        <v>6.9763999999999999</v>
      </c>
      <c r="C4483" s="2">
        <f t="shared" ref="C4483:C4546" si="70">+LN(B4483/B4484)</f>
        <v>-2.2843560979486859E-2</v>
      </c>
    </row>
    <row r="4484" spans="1:3" x14ac:dyDescent="0.2">
      <c r="A4484" s="3">
        <v>39231</v>
      </c>
      <c r="B4484" s="2">
        <v>7.1375999999999999</v>
      </c>
      <c r="C4484" s="2">
        <f t="shared" si="70"/>
        <v>4.3948708401006197E-3</v>
      </c>
    </row>
    <row r="4485" spans="1:3" x14ac:dyDescent="0.2">
      <c r="A4485" s="3">
        <v>39230</v>
      </c>
      <c r="B4485" s="2">
        <v>7.1063000000000001</v>
      </c>
      <c r="C4485" s="2">
        <f t="shared" si="70"/>
        <v>2.0284268340239019E-3</v>
      </c>
    </row>
    <row r="4486" spans="1:3" x14ac:dyDescent="0.2">
      <c r="A4486" s="3">
        <v>39227</v>
      </c>
      <c r="B4486" s="2">
        <v>7.0918999999999999</v>
      </c>
      <c r="C4486" s="2">
        <f t="shared" si="70"/>
        <v>-5.5402582794446178E-3</v>
      </c>
    </row>
    <row r="4487" spans="1:3" x14ac:dyDescent="0.2">
      <c r="A4487" s="3">
        <v>39226</v>
      </c>
      <c r="B4487" s="2">
        <v>7.1313000000000004</v>
      </c>
      <c r="C4487" s="2">
        <f t="shared" si="70"/>
        <v>-8.8788957049086743E-3</v>
      </c>
    </row>
    <row r="4488" spans="1:3" x14ac:dyDescent="0.2">
      <c r="A4488" s="3">
        <v>39225</v>
      </c>
      <c r="B4488" s="2">
        <v>7.1948999999999996</v>
      </c>
      <c r="C4488" s="2">
        <f t="shared" si="70"/>
        <v>-6.207327372930416E-3</v>
      </c>
    </row>
    <row r="4489" spans="1:3" x14ac:dyDescent="0.2">
      <c r="A4489" s="3">
        <v>39224</v>
      </c>
      <c r="B4489" s="2">
        <v>7.2397</v>
      </c>
      <c r="C4489" s="2">
        <f t="shared" si="70"/>
        <v>-8.1301820052204696E-3</v>
      </c>
    </row>
    <row r="4490" spans="1:3" x14ac:dyDescent="0.2">
      <c r="A4490" s="3">
        <v>39223</v>
      </c>
      <c r="B4490" s="2">
        <v>7.2988</v>
      </c>
      <c r="C4490" s="2">
        <f t="shared" si="70"/>
        <v>1.8948605054486308E-2</v>
      </c>
    </row>
    <row r="4491" spans="1:3" x14ac:dyDescent="0.2">
      <c r="A4491" s="3">
        <v>39220</v>
      </c>
      <c r="B4491" s="2">
        <v>7.1618000000000004</v>
      </c>
      <c r="C4491" s="2">
        <f t="shared" si="70"/>
        <v>-4.7361764578365941E-3</v>
      </c>
    </row>
    <row r="4492" spans="1:3" x14ac:dyDescent="0.2">
      <c r="A4492" s="3">
        <v>39219</v>
      </c>
      <c r="B4492" s="2">
        <v>7.1958000000000002</v>
      </c>
      <c r="C4492" s="2">
        <f t="shared" si="70"/>
        <v>2.1378119379107479E-2</v>
      </c>
    </row>
    <row r="4493" spans="1:3" x14ac:dyDescent="0.2">
      <c r="A4493" s="3">
        <v>39218</v>
      </c>
      <c r="B4493" s="2">
        <v>7.0435999999999996</v>
      </c>
      <c r="C4493" s="2">
        <f t="shared" si="70"/>
        <v>-9.4812887477595358E-3</v>
      </c>
    </row>
    <row r="4494" spans="1:3" x14ac:dyDescent="0.2">
      <c r="A4494" s="3">
        <v>39217</v>
      </c>
      <c r="B4494" s="2">
        <v>7.1106999999999996</v>
      </c>
      <c r="C4494" s="2">
        <f t="shared" si="70"/>
        <v>-8.8559646488862542E-4</v>
      </c>
    </row>
    <row r="4495" spans="1:3" x14ac:dyDescent="0.2">
      <c r="A4495" s="3">
        <v>39216</v>
      </c>
      <c r="B4495" s="2">
        <v>7.117</v>
      </c>
      <c r="C4495" s="2">
        <f t="shared" si="70"/>
        <v>-1.2635862213286083E-2</v>
      </c>
    </row>
    <row r="4496" spans="1:3" x14ac:dyDescent="0.2">
      <c r="A4496" s="3">
        <v>39213</v>
      </c>
      <c r="B4496" s="2">
        <v>7.2074999999999996</v>
      </c>
      <c r="C4496" s="2">
        <f t="shared" si="70"/>
        <v>8.1216881963335607E-3</v>
      </c>
    </row>
    <row r="4497" spans="1:3" x14ac:dyDescent="0.2">
      <c r="A4497" s="3">
        <v>39212</v>
      </c>
      <c r="B4497" s="2">
        <v>7.1492000000000004</v>
      </c>
      <c r="C4497" s="2">
        <f t="shared" si="70"/>
        <v>-1.5916412350322394E-2</v>
      </c>
    </row>
    <row r="4498" spans="1:3" x14ac:dyDescent="0.2">
      <c r="A4498" s="3">
        <v>39211</v>
      </c>
      <c r="B4498" s="2">
        <v>7.2638999999999996</v>
      </c>
      <c r="C4498" s="2">
        <f t="shared" si="70"/>
        <v>1.2390806037774254E-4</v>
      </c>
    </row>
    <row r="4499" spans="1:3" x14ac:dyDescent="0.2">
      <c r="A4499" s="3">
        <v>39210</v>
      </c>
      <c r="B4499" s="2">
        <v>7.2629999999999999</v>
      </c>
      <c r="C4499" s="2">
        <f t="shared" si="70"/>
        <v>-2.6762447591638362E-2</v>
      </c>
    </row>
    <row r="4500" spans="1:3" x14ac:dyDescent="0.2">
      <c r="A4500" s="3">
        <v>39209</v>
      </c>
      <c r="B4500" s="2">
        <v>7.46</v>
      </c>
      <c r="C4500" s="2">
        <f t="shared" si="70"/>
        <v>-1.4888612493750749E-2</v>
      </c>
    </row>
    <row r="4501" spans="1:3" x14ac:dyDescent="0.2">
      <c r="A4501" s="3">
        <v>39206</v>
      </c>
      <c r="B4501" s="2">
        <v>7.5719000000000003</v>
      </c>
      <c r="C4501" s="2">
        <f t="shared" si="70"/>
        <v>1.652204746918272E-3</v>
      </c>
    </row>
    <row r="4502" spans="1:3" x14ac:dyDescent="0.2">
      <c r="A4502" s="3">
        <v>39205</v>
      </c>
      <c r="B4502" s="2">
        <v>7.5594000000000001</v>
      </c>
      <c r="C4502" s="2">
        <f t="shared" si="70"/>
        <v>-1.2122954333859433E-2</v>
      </c>
    </row>
    <row r="4503" spans="1:3" x14ac:dyDescent="0.2">
      <c r="A4503" s="3">
        <v>39204</v>
      </c>
      <c r="B4503" s="2">
        <v>7.6516000000000002</v>
      </c>
      <c r="C4503" s="2">
        <f t="shared" si="70"/>
        <v>-1.4518487142725902E-2</v>
      </c>
    </row>
    <row r="4504" spans="1:3" x14ac:dyDescent="0.2">
      <c r="A4504" s="3">
        <v>39202</v>
      </c>
      <c r="B4504" s="2">
        <v>7.7634999999999996</v>
      </c>
      <c r="C4504" s="2">
        <f t="shared" si="70"/>
        <v>9.3824493641706062E-3</v>
      </c>
    </row>
    <row r="4505" spans="1:3" x14ac:dyDescent="0.2">
      <c r="A4505" s="3">
        <v>39199</v>
      </c>
      <c r="B4505" s="2">
        <v>7.6909999999999998</v>
      </c>
      <c r="C4505" s="2">
        <f t="shared" si="70"/>
        <v>-2.5581605593369703E-3</v>
      </c>
    </row>
    <row r="4506" spans="1:3" x14ac:dyDescent="0.2">
      <c r="A4506" s="3">
        <v>39198</v>
      </c>
      <c r="B4506" s="2">
        <v>7.7107000000000001</v>
      </c>
      <c r="C4506" s="2">
        <f t="shared" si="70"/>
        <v>-5.0967718735623986E-3</v>
      </c>
    </row>
    <row r="4507" spans="1:3" x14ac:dyDescent="0.2">
      <c r="A4507" s="3">
        <v>39197</v>
      </c>
      <c r="B4507" s="2">
        <v>7.7500999999999998</v>
      </c>
      <c r="C4507" s="2">
        <f t="shared" si="70"/>
        <v>1.7362541477673538E-2</v>
      </c>
    </row>
    <row r="4508" spans="1:3" x14ac:dyDescent="0.2">
      <c r="A4508" s="3">
        <v>39196</v>
      </c>
      <c r="B4508" s="2">
        <v>7.6166999999999998</v>
      </c>
      <c r="C4508" s="2">
        <f t="shared" si="70"/>
        <v>-1.4700972424109022E-2</v>
      </c>
    </row>
    <row r="4509" spans="1:3" x14ac:dyDescent="0.2">
      <c r="A4509" s="3">
        <v>39195</v>
      </c>
      <c r="B4509" s="2">
        <v>7.7294999999999998</v>
      </c>
      <c r="C4509" s="2">
        <f t="shared" si="70"/>
        <v>4.1745594371213309E-3</v>
      </c>
    </row>
    <row r="4510" spans="1:3" x14ac:dyDescent="0.2">
      <c r="A4510" s="3">
        <v>39192</v>
      </c>
      <c r="B4510" s="2">
        <v>7.6973000000000003</v>
      </c>
      <c r="C4510" s="2">
        <f t="shared" si="70"/>
        <v>8.8866274969956853E-3</v>
      </c>
    </row>
    <row r="4511" spans="1:3" x14ac:dyDescent="0.2">
      <c r="A4511" s="3">
        <v>39191</v>
      </c>
      <c r="B4511" s="2">
        <v>7.6292</v>
      </c>
      <c r="C4511" s="2">
        <f t="shared" si="70"/>
        <v>-5.2684336858921359E-3</v>
      </c>
    </row>
    <row r="4512" spans="1:3" x14ac:dyDescent="0.2">
      <c r="A4512" s="3">
        <v>39190</v>
      </c>
      <c r="B4512" s="2">
        <v>7.6695000000000002</v>
      </c>
      <c r="C4512" s="2">
        <f t="shared" si="70"/>
        <v>-1.4137804906648243E-2</v>
      </c>
    </row>
    <row r="4513" spans="1:3" x14ac:dyDescent="0.2">
      <c r="A4513" s="3">
        <v>39189</v>
      </c>
      <c r="B4513" s="2">
        <v>7.7786999999999997</v>
      </c>
      <c r="C4513" s="2">
        <f t="shared" si="70"/>
        <v>4.4967059181882088E-3</v>
      </c>
    </row>
    <row r="4514" spans="1:3" x14ac:dyDescent="0.2">
      <c r="A4514" s="3">
        <v>39188</v>
      </c>
      <c r="B4514" s="2">
        <v>7.7438000000000002</v>
      </c>
      <c r="C4514" s="2">
        <f t="shared" si="70"/>
        <v>1.1389807478143327E-2</v>
      </c>
    </row>
    <row r="4515" spans="1:3" x14ac:dyDescent="0.2">
      <c r="A4515" s="3">
        <v>39185</v>
      </c>
      <c r="B4515" s="2">
        <v>7.6561000000000003</v>
      </c>
      <c r="C4515" s="2">
        <f t="shared" si="70"/>
        <v>8.3417977785764218E-3</v>
      </c>
    </row>
    <row r="4516" spans="1:3" x14ac:dyDescent="0.2">
      <c r="A4516" s="3">
        <v>39184</v>
      </c>
      <c r="B4516" s="2">
        <v>7.5925000000000002</v>
      </c>
      <c r="C4516" s="2">
        <f t="shared" si="70"/>
        <v>-2.9280640346331672E-2</v>
      </c>
    </row>
    <row r="4517" spans="1:3" x14ac:dyDescent="0.2">
      <c r="A4517" s="3">
        <v>39183</v>
      </c>
      <c r="B4517" s="2">
        <v>7.8181000000000003</v>
      </c>
      <c r="C4517" s="2">
        <f t="shared" si="70"/>
        <v>-1.1505127441974782E-3</v>
      </c>
    </row>
    <row r="4518" spans="1:3" x14ac:dyDescent="0.2">
      <c r="A4518" s="3">
        <v>39182</v>
      </c>
      <c r="B4518" s="2">
        <v>7.8270999999999997</v>
      </c>
      <c r="C4518" s="2">
        <f t="shared" si="70"/>
        <v>8.0428872134965818E-3</v>
      </c>
    </row>
    <row r="4519" spans="1:3" x14ac:dyDescent="0.2">
      <c r="A4519" s="3">
        <v>39177</v>
      </c>
      <c r="B4519" s="2">
        <v>7.7644000000000002</v>
      </c>
      <c r="C4519" s="2">
        <f t="shared" si="70"/>
        <v>1.8392309089643337E-2</v>
      </c>
    </row>
    <row r="4520" spans="1:3" x14ac:dyDescent="0.2">
      <c r="A4520" s="3">
        <v>39176</v>
      </c>
      <c r="B4520" s="2">
        <v>7.6228999999999996</v>
      </c>
      <c r="C4520" s="2">
        <f t="shared" si="70"/>
        <v>1.4908093458536427E-2</v>
      </c>
    </row>
    <row r="4521" spans="1:3" x14ac:dyDescent="0.2">
      <c r="A4521" s="3">
        <v>39175</v>
      </c>
      <c r="B4521" s="2">
        <v>7.5101000000000004</v>
      </c>
      <c r="C4521" s="2">
        <f t="shared" si="70"/>
        <v>2.0259920292189583E-3</v>
      </c>
    </row>
    <row r="4522" spans="1:3" x14ac:dyDescent="0.2">
      <c r="A4522" s="3">
        <v>39171</v>
      </c>
      <c r="B4522" s="2">
        <v>7.4949000000000003</v>
      </c>
      <c r="C4522" s="2">
        <f t="shared" si="70"/>
        <v>9.0065342846798093E-3</v>
      </c>
    </row>
    <row r="4523" spans="1:3" x14ac:dyDescent="0.2">
      <c r="A4523" s="3">
        <v>39170</v>
      </c>
      <c r="B4523" s="2">
        <v>7.4276999999999997</v>
      </c>
      <c r="C4523" s="2">
        <f t="shared" si="70"/>
        <v>1.7013193707156218E-2</v>
      </c>
    </row>
    <row r="4524" spans="1:3" x14ac:dyDescent="0.2">
      <c r="A4524" s="3">
        <v>39169</v>
      </c>
      <c r="B4524" s="2">
        <v>7.3023999999999996</v>
      </c>
      <c r="C4524" s="2">
        <f t="shared" si="70"/>
        <v>1.30809107151445E-2</v>
      </c>
    </row>
    <row r="4525" spans="1:3" x14ac:dyDescent="0.2">
      <c r="A4525" s="3">
        <v>39168</v>
      </c>
      <c r="B4525" s="2">
        <v>7.2074999999999996</v>
      </c>
      <c r="C4525" s="2">
        <f t="shared" si="70"/>
        <v>-6.1827205809091056E-3</v>
      </c>
    </row>
    <row r="4526" spans="1:3" x14ac:dyDescent="0.2">
      <c r="A4526" s="3">
        <v>39167</v>
      </c>
      <c r="B4526" s="2">
        <v>7.2522000000000002</v>
      </c>
      <c r="C4526" s="2">
        <f t="shared" si="70"/>
        <v>-7.500550309062385E-3</v>
      </c>
    </row>
    <row r="4527" spans="1:3" x14ac:dyDescent="0.2">
      <c r="A4527" s="3">
        <v>39164</v>
      </c>
      <c r="B4527" s="2">
        <v>7.3068</v>
      </c>
      <c r="C4527" s="2">
        <f t="shared" si="70"/>
        <v>6.6322255010457676E-3</v>
      </c>
    </row>
    <row r="4528" spans="1:3" x14ac:dyDescent="0.2">
      <c r="A4528" s="3">
        <v>39163</v>
      </c>
      <c r="B4528" s="2">
        <v>7.2584999999999997</v>
      </c>
      <c r="C4528" s="2">
        <f t="shared" si="70"/>
        <v>-3.7190851479309417E-4</v>
      </c>
    </row>
    <row r="4529" spans="1:3" x14ac:dyDescent="0.2">
      <c r="A4529" s="3">
        <v>39162</v>
      </c>
      <c r="B4529" s="2">
        <v>7.2611999999999997</v>
      </c>
      <c r="C4529" s="2">
        <f t="shared" si="70"/>
        <v>-4.9182003493440157E-3</v>
      </c>
    </row>
    <row r="4530" spans="1:3" x14ac:dyDescent="0.2">
      <c r="A4530" s="3">
        <v>39161</v>
      </c>
      <c r="B4530" s="2">
        <v>7.2969999999999997</v>
      </c>
      <c r="C4530" s="2">
        <f t="shared" si="70"/>
        <v>9.9852773319542201E-3</v>
      </c>
    </row>
    <row r="4531" spans="1:3" x14ac:dyDescent="0.2">
      <c r="A4531" s="3">
        <v>39160</v>
      </c>
      <c r="B4531" s="2">
        <v>7.2244999999999999</v>
      </c>
      <c r="C4531" s="2">
        <f t="shared" si="70"/>
        <v>3.7303903307569354E-3</v>
      </c>
    </row>
    <row r="4532" spans="1:3" x14ac:dyDescent="0.2">
      <c r="A4532" s="3">
        <v>39157</v>
      </c>
      <c r="B4532" s="2">
        <v>7.1976000000000004</v>
      </c>
      <c r="C4532" s="2">
        <f t="shared" si="70"/>
        <v>4.3865249142655952E-2</v>
      </c>
    </row>
    <row r="4533" spans="1:3" x14ac:dyDescent="0.2">
      <c r="A4533" s="3">
        <v>39156</v>
      </c>
      <c r="B4533" s="2">
        <v>6.8887</v>
      </c>
      <c r="C4533" s="2">
        <f t="shared" si="70"/>
        <v>5.8673396295904241E-3</v>
      </c>
    </row>
    <row r="4534" spans="1:3" x14ac:dyDescent="0.2">
      <c r="A4534" s="3">
        <v>39155</v>
      </c>
      <c r="B4534" s="2">
        <v>6.8483999999999998</v>
      </c>
      <c r="C4534" s="2">
        <f t="shared" si="70"/>
        <v>-1.1180763789583867E-2</v>
      </c>
    </row>
    <row r="4535" spans="1:3" x14ac:dyDescent="0.2">
      <c r="A4535" s="3">
        <v>39154</v>
      </c>
      <c r="B4535" s="2">
        <v>6.9253999999999998</v>
      </c>
      <c r="C4535" s="2">
        <f t="shared" si="70"/>
        <v>-2.3220773546104158E-3</v>
      </c>
    </row>
    <row r="4536" spans="1:3" x14ac:dyDescent="0.2">
      <c r="A4536" s="3">
        <v>39150</v>
      </c>
      <c r="B4536" s="2">
        <v>6.9414999999999996</v>
      </c>
      <c r="C4536" s="2">
        <f t="shared" si="70"/>
        <v>-5.1441329633649989E-3</v>
      </c>
    </row>
    <row r="4537" spans="1:3" x14ac:dyDescent="0.2">
      <c r="A4537" s="3">
        <v>39149</v>
      </c>
      <c r="B4537" s="2">
        <v>6.9772999999999996</v>
      </c>
      <c r="C4537" s="2">
        <f t="shared" si="70"/>
        <v>2.5210138598285275E-2</v>
      </c>
    </row>
    <row r="4538" spans="1:3" x14ac:dyDescent="0.2">
      <c r="A4538" s="3">
        <v>39148</v>
      </c>
      <c r="B4538" s="2">
        <v>6.8036000000000003</v>
      </c>
      <c r="C4538" s="2">
        <f t="shared" si="70"/>
        <v>1.2854921366375551E-2</v>
      </c>
    </row>
    <row r="4539" spans="1:3" x14ac:dyDescent="0.2">
      <c r="A4539" s="3">
        <v>39147</v>
      </c>
      <c r="B4539" s="2">
        <v>6.7167000000000003</v>
      </c>
      <c r="C4539" s="2">
        <f t="shared" si="70"/>
        <v>1.0576258033593384E-3</v>
      </c>
    </row>
    <row r="4540" spans="1:3" x14ac:dyDescent="0.2">
      <c r="A4540" s="3">
        <v>39146</v>
      </c>
      <c r="B4540" s="2">
        <v>6.7096</v>
      </c>
      <c r="C4540" s="2">
        <f t="shared" si="70"/>
        <v>1.1406768313230268E-2</v>
      </c>
    </row>
    <row r="4541" spans="1:3" x14ac:dyDescent="0.2">
      <c r="A4541" s="3">
        <v>39143</v>
      </c>
      <c r="B4541" s="2">
        <v>6.6334999999999997</v>
      </c>
      <c r="C4541" s="2">
        <f t="shared" si="70"/>
        <v>-1.340775590849518E-3</v>
      </c>
    </row>
    <row r="4542" spans="1:3" x14ac:dyDescent="0.2">
      <c r="A4542" s="3">
        <v>39142</v>
      </c>
      <c r="B4542" s="2">
        <v>6.6424000000000003</v>
      </c>
      <c r="C4542" s="2">
        <f t="shared" si="70"/>
        <v>2.4267649281885214E-3</v>
      </c>
    </row>
    <row r="4543" spans="1:3" x14ac:dyDescent="0.2">
      <c r="A4543" s="3">
        <v>39141</v>
      </c>
      <c r="B4543" s="2">
        <v>6.6262999999999996</v>
      </c>
      <c r="C4543" s="2">
        <f t="shared" si="70"/>
        <v>7.1942211525184976E-3</v>
      </c>
    </row>
    <row r="4544" spans="1:3" x14ac:dyDescent="0.2">
      <c r="A4544" s="3">
        <v>39140</v>
      </c>
      <c r="B4544" s="2">
        <v>6.5788000000000002</v>
      </c>
      <c r="C4544" s="2">
        <f t="shared" si="70"/>
        <v>-4.3166177346767552E-2</v>
      </c>
    </row>
    <row r="4545" spans="1:3" x14ac:dyDescent="0.2">
      <c r="A4545" s="3">
        <v>39139</v>
      </c>
      <c r="B4545" s="2">
        <v>6.8689999999999998</v>
      </c>
      <c r="C4545" s="2">
        <f t="shared" si="70"/>
        <v>1.6306344326428052E-2</v>
      </c>
    </row>
    <row r="4546" spans="1:3" x14ac:dyDescent="0.2">
      <c r="A4546" s="3">
        <v>39136</v>
      </c>
      <c r="B4546" s="2">
        <v>6.7579000000000002</v>
      </c>
      <c r="C4546" s="2">
        <f t="shared" si="70"/>
        <v>-1.3697032418202264E-2</v>
      </c>
    </row>
    <row r="4547" spans="1:3" x14ac:dyDescent="0.2">
      <c r="A4547" s="3">
        <v>39135</v>
      </c>
      <c r="B4547" s="2">
        <v>6.8510999999999997</v>
      </c>
      <c r="C4547" s="2">
        <f t="shared" ref="C4547:C4610" si="71">+LN(B4547/B4548)</f>
        <v>9.9897413595761222E-3</v>
      </c>
    </row>
    <row r="4548" spans="1:3" x14ac:dyDescent="0.2">
      <c r="A4548" s="3">
        <v>39134</v>
      </c>
      <c r="B4548" s="2">
        <v>6.7830000000000004</v>
      </c>
      <c r="C4548" s="2">
        <f t="shared" si="71"/>
        <v>1.6095222507857915E-2</v>
      </c>
    </row>
    <row r="4549" spans="1:3" x14ac:dyDescent="0.2">
      <c r="A4549" s="3">
        <v>39133</v>
      </c>
      <c r="B4549" s="2">
        <v>6.6746999999999996</v>
      </c>
      <c r="C4549" s="2">
        <f t="shared" si="71"/>
        <v>-8.146866903867513E-3</v>
      </c>
    </row>
    <row r="4550" spans="1:3" x14ac:dyDescent="0.2">
      <c r="A4550" s="3">
        <v>39132</v>
      </c>
      <c r="B4550" s="2">
        <v>6.7293000000000003</v>
      </c>
      <c r="C4550" s="2">
        <f t="shared" si="71"/>
        <v>-6.7682404058124097E-3</v>
      </c>
    </row>
    <row r="4551" spans="1:3" x14ac:dyDescent="0.2">
      <c r="A4551" s="3">
        <v>39129</v>
      </c>
      <c r="B4551" s="2">
        <v>6.7750000000000004</v>
      </c>
      <c r="C4551" s="2">
        <f t="shared" si="71"/>
        <v>-1.0381351172586298E-2</v>
      </c>
    </row>
    <row r="4552" spans="1:3" x14ac:dyDescent="0.2">
      <c r="A4552" s="3">
        <v>39128</v>
      </c>
      <c r="B4552" s="2">
        <v>6.8456999999999999</v>
      </c>
      <c r="C4552" s="2">
        <f t="shared" si="71"/>
        <v>-1.428606084825104E-2</v>
      </c>
    </row>
    <row r="4553" spans="1:3" x14ac:dyDescent="0.2">
      <c r="A4553" s="3">
        <v>39127</v>
      </c>
      <c r="B4553" s="2">
        <v>6.9442000000000004</v>
      </c>
      <c r="C4553" s="2">
        <f t="shared" si="71"/>
        <v>-1.5858154805232089E-2</v>
      </c>
    </row>
    <row r="4554" spans="1:3" x14ac:dyDescent="0.2">
      <c r="A4554" s="3">
        <v>39126</v>
      </c>
      <c r="B4554" s="2">
        <v>7.0552000000000001</v>
      </c>
      <c r="C4554" s="2">
        <f t="shared" si="71"/>
        <v>5.3436543504019694E-3</v>
      </c>
    </row>
    <row r="4555" spans="1:3" x14ac:dyDescent="0.2">
      <c r="A4555" s="3">
        <v>39125</v>
      </c>
      <c r="B4555" s="2">
        <v>7.0175999999999998</v>
      </c>
      <c r="C4555" s="2">
        <f t="shared" si="71"/>
        <v>-1.0278165575493761E-2</v>
      </c>
    </row>
    <row r="4556" spans="1:3" x14ac:dyDescent="0.2">
      <c r="A4556" s="3">
        <v>39122</v>
      </c>
      <c r="B4556" s="2">
        <v>7.0900999999999996</v>
      </c>
      <c r="C4556" s="2">
        <f t="shared" si="71"/>
        <v>-2.4089099010454187E-3</v>
      </c>
    </row>
    <row r="4557" spans="1:3" x14ac:dyDescent="0.2">
      <c r="A4557" s="3">
        <v>39121</v>
      </c>
      <c r="B4557" s="2">
        <v>7.1071999999999997</v>
      </c>
      <c r="C4557" s="2">
        <f t="shared" si="71"/>
        <v>1.7744234260456116E-3</v>
      </c>
    </row>
    <row r="4558" spans="1:3" x14ac:dyDescent="0.2">
      <c r="A4558" s="3">
        <v>39120</v>
      </c>
      <c r="B4558" s="2">
        <v>7.0945999999999998</v>
      </c>
      <c r="C4558" s="2">
        <f t="shared" si="71"/>
        <v>-5.79043668719196E-3</v>
      </c>
    </row>
    <row r="4559" spans="1:3" x14ac:dyDescent="0.2">
      <c r="A4559" s="3">
        <v>39119</v>
      </c>
      <c r="B4559" s="2">
        <v>7.1357999999999997</v>
      </c>
      <c r="C4559" s="2">
        <f t="shared" si="71"/>
        <v>-2.7569237896759185E-3</v>
      </c>
    </row>
    <row r="4560" spans="1:3" x14ac:dyDescent="0.2">
      <c r="A4560" s="3">
        <v>39118</v>
      </c>
      <c r="B4560" s="2">
        <v>7.1555</v>
      </c>
      <c r="C4560" s="2">
        <f t="shared" si="71"/>
        <v>1.6145288860704259E-2</v>
      </c>
    </row>
    <row r="4561" spans="1:3" x14ac:dyDescent="0.2">
      <c r="A4561" s="3">
        <v>39115</v>
      </c>
      <c r="B4561" s="2">
        <v>7.0408999999999997</v>
      </c>
      <c r="C4561" s="2">
        <f t="shared" si="71"/>
        <v>-8.8656948902137746E-3</v>
      </c>
    </row>
    <row r="4562" spans="1:3" x14ac:dyDescent="0.2">
      <c r="A4562" s="3">
        <v>39114</v>
      </c>
      <c r="B4562" s="2">
        <v>7.1036000000000001</v>
      </c>
      <c r="C4562" s="2">
        <f t="shared" si="71"/>
        <v>4.5573592624448414E-3</v>
      </c>
    </row>
    <row r="4563" spans="1:3" x14ac:dyDescent="0.2">
      <c r="A4563" s="3">
        <v>39113</v>
      </c>
      <c r="B4563" s="2">
        <v>7.0712999999999999</v>
      </c>
      <c r="C4563" s="2">
        <f t="shared" si="71"/>
        <v>-1.0718306678471567E-2</v>
      </c>
    </row>
    <row r="4564" spans="1:3" x14ac:dyDescent="0.2">
      <c r="A4564" s="3">
        <v>39112</v>
      </c>
      <c r="B4564" s="2">
        <v>7.1475</v>
      </c>
      <c r="C4564" s="2">
        <f t="shared" si="71"/>
        <v>-1.7473357582244457E-3</v>
      </c>
    </row>
    <row r="4565" spans="1:3" x14ac:dyDescent="0.2">
      <c r="A4565" s="3">
        <v>39111</v>
      </c>
      <c r="B4565" s="2">
        <v>7.16</v>
      </c>
      <c r="C4565" s="2">
        <f t="shared" si="71"/>
        <v>2.6493115204390561E-2</v>
      </c>
    </row>
    <row r="4566" spans="1:3" x14ac:dyDescent="0.2">
      <c r="A4566" s="3">
        <v>39108</v>
      </c>
      <c r="B4566" s="2">
        <v>6.9728000000000003</v>
      </c>
      <c r="C4566" s="2">
        <f t="shared" si="71"/>
        <v>-3.978993899604398E-3</v>
      </c>
    </row>
    <row r="4567" spans="1:3" x14ac:dyDescent="0.2">
      <c r="A4567" s="3">
        <v>39107</v>
      </c>
      <c r="B4567" s="2">
        <v>7.0006000000000004</v>
      </c>
      <c r="C4567" s="2">
        <f t="shared" si="71"/>
        <v>-7.8966312718963122E-3</v>
      </c>
    </row>
    <row r="4568" spans="1:3" x14ac:dyDescent="0.2">
      <c r="A4568" s="3">
        <v>39106</v>
      </c>
      <c r="B4568" s="2">
        <v>7.0560999999999998</v>
      </c>
      <c r="C4568" s="2">
        <f t="shared" si="71"/>
        <v>5.1964085061478371E-2</v>
      </c>
    </row>
    <row r="4569" spans="1:3" x14ac:dyDescent="0.2">
      <c r="A4569" s="3">
        <v>39105</v>
      </c>
      <c r="B4569" s="2">
        <v>6.6988000000000003</v>
      </c>
      <c r="C4569" s="2">
        <f t="shared" si="71"/>
        <v>1.2633960813599215E-2</v>
      </c>
    </row>
    <row r="4570" spans="1:3" x14ac:dyDescent="0.2">
      <c r="A4570" s="3">
        <v>39104</v>
      </c>
      <c r="B4570" s="2">
        <v>6.6147</v>
      </c>
      <c r="C4570" s="2">
        <f t="shared" si="71"/>
        <v>2.7097620940885144E-3</v>
      </c>
    </row>
    <row r="4571" spans="1:3" x14ac:dyDescent="0.2">
      <c r="A4571" s="3">
        <v>39101</v>
      </c>
      <c r="B4571" s="2">
        <v>6.5968</v>
      </c>
      <c r="C4571" s="2">
        <f t="shared" si="71"/>
        <v>-5.9548275412734481E-3</v>
      </c>
    </row>
    <row r="4572" spans="1:3" x14ac:dyDescent="0.2">
      <c r="A4572" s="3">
        <v>39100</v>
      </c>
      <c r="B4572" s="2">
        <v>6.6361999999999997</v>
      </c>
      <c r="C4572" s="2">
        <f t="shared" si="71"/>
        <v>5.3642034826313176E-2</v>
      </c>
    </row>
    <row r="4573" spans="1:3" x14ac:dyDescent="0.2">
      <c r="A4573" s="3">
        <v>39099</v>
      </c>
      <c r="B4573" s="2">
        <v>6.2896000000000001</v>
      </c>
      <c r="C4573" s="2">
        <f t="shared" si="71"/>
        <v>-4.4102554231728371E-3</v>
      </c>
    </row>
    <row r="4574" spans="1:3" x14ac:dyDescent="0.2">
      <c r="A4574" s="3">
        <v>39098</v>
      </c>
      <c r="B4574" s="2">
        <v>6.3174000000000001</v>
      </c>
      <c r="C4574" s="2">
        <f t="shared" si="71"/>
        <v>7.8344526897924614E-3</v>
      </c>
    </row>
    <row r="4575" spans="1:3" x14ac:dyDescent="0.2">
      <c r="A4575" s="3">
        <v>39097</v>
      </c>
      <c r="B4575" s="2">
        <v>6.2680999999999996</v>
      </c>
      <c r="C4575" s="2">
        <f t="shared" si="71"/>
        <v>-2.7084743957604758E-3</v>
      </c>
    </row>
    <row r="4576" spans="1:3" x14ac:dyDescent="0.2">
      <c r="A4576" s="3">
        <v>39094</v>
      </c>
      <c r="B4576" s="2">
        <v>6.2850999999999999</v>
      </c>
      <c r="C4576" s="2">
        <f t="shared" si="71"/>
        <v>-2.2885123539478848E-3</v>
      </c>
    </row>
    <row r="4577" spans="1:3" x14ac:dyDescent="0.2">
      <c r="A4577" s="3">
        <v>39093</v>
      </c>
      <c r="B4577" s="2">
        <v>6.2995000000000001</v>
      </c>
      <c r="C4577" s="2">
        <f t="shared" si="71"/>
        <v>-9.8372108335950778E-4</v>
      </c>
    </row>
    <row r="4578" spans="1:3" x14ac:dyDescent="0.2">
      <c r="A4578" s="3">
        <v>39092</v>
      </c>
      <c r="B4578" s="2">
        <v>6.3056999999999999</v>
      </c>
      <c r="C4578" s="2">
        <f t="shared" si="71"/>
        <v>2.9858828149244214E-3</v>
      </c>
    </row>
    <row r="4579" spans="1:3" x14ac:dyDescent="0.2">
      <c r="A4579" s="3">
        <v>39091</v>
      </c>
      <c r="B4579" s="2">
        <v>6.2869000000000002</v>
      </c>
      <c r="C4579" s="2">
        <f t="shared" si="71"/>
        <v>-7.3849025045676295E-3</v>
      </c>
    </row>
    <row r="4580" spans="1:3" x14ac:dyDescent="0.2">
      <c r="A4580" s="3">
        <v>39090</v>
      </c>
      <c r="B4580" s="2">
        <v>6.3334999999999999</v>
      </c>
      <c r="C4580" s="2">
        <f t="shared" si="71"/>
        <v>1.1369352503716726E-2</v>
      </c>
    </row>
    <row r="4581" spans="1:3" x14ac:dyDescent="0.2">
      <c r="A4581" s="3">
        <v>39087</v>
      </c>
      <c r="B4581" s="2">
        <v>6.2618999999999998</v>
      </c>
      <c r="C4581" s="2">
        <f t="shared" si="71"/>
        <v>1.1370876551782568E-2</v>
      </c>
    </row>
    <row r="4582" spans="1:3" x14ac:dyDescent="0.2">
      <c r="A4582" s="3">
        <v>39086</v>
      </c>
      <c r="B4582" s="2">
        <v>6.1910999999999996</v>
      </c>
      <c r="C4582" s="2">
        <f t="shared" si="71"/>
        <v>-5.9103635321732404E-3</v>
      </c>
    </row>
    <row r="4583" spans="1:3" x14ac:dyDescent="0.2">
      <c r="A4583" s="3">
        <v>39085</v>
      </c>
      <c r="B4583" s="2">
        <v>6.2278000000000002</v>
      </c>
      <c r="C4583" s="2">
        <f t="shared" si="71"/>
        <v>1.7248648150908562E-2</v>
      </c>
    </row>
    <row r="4584" spans="1:3" x14ac:dyDescent="0.2">
      <c r="A4584" s="3">
        <v>39080</v>
      </c>
      <c r="B4584" s="2">
        <v>6.1212999999999997</v>
      </c>
      <c r="C4584" s="2">
        <f t="shared" si="71"/>
        <v>-3.7991550599943543E-3</v>
      </c>
    </row>
    <row r="4585" spans="1:3" x14ac:dyDescent="0.2">
      <c r="A4585" s="3">
        <v>39079</v>
      </c>
      <c r="B4585" s="2">
        <v>6.1445999999999996</v>
      </c>
      <c r="C4585" s="2">
        <f t="shared" si="71"/>
        <v>-4.0603586667248689E-3</v>
      </c>
    </row>
    <row r="4586" spans="1:3" x14ac:dyDescent="0.2">
      <c r="A4586" s="3">
        <v>39078</v>
      </c>
      <c r="B4586" s="2">
        <v>6.1696</v>
      </c>
      <c r="C4586" s="2">
        <f t="shared" si="71"/>
        <v>1.1082974126142843E-2</v>
      </c>
    </row>
    <row r="4587" spans="1:3" x14ac:dyDescent="0.2">
      <c r="A4587" s="3">
        <v>39073</v>
      </c>
      <c r="B4587" s="2">
        <v>6.1016000000000004</v>
      </c>
      <c r="C4587" s="2">
        <f t="shared" si="71"/>
        <v>4.1221595391739236E-3</v>
      </c>
    </row>
    <row r="4588" spans="1:3" x14ac:dyDescent="0.2">
      <c r="A4588" s="3">
        <v>39072</v>
      </c>
      <c r="B4588" s="2">
        <v>6.0765000000000002</v>
      </c>
      <c r="C4588" s="2">
        <f t="shared" si="71"/>
        <v>4.4367181741866496E-3</v>
      </c>
    </row>
    <row r="4589" spans="1:3" x14ac:dyDescent="0.2">
      <c r="A4589" s="3">
        <v>39071</v>
      </c>
      <c r="B4589" s="2">
        <v>6.0495999999999999</v>
      </c>
      <c r="C4589" s="2">
        <f t="shared" si="71"/>
        <v>-4.4621093296066781E-4</v>
      </c>
    </row>
    <row r="4590" spans="1:3" x14ac:dyDescent="0.2">
      <c r="A4590" s="3">
        <v>39070</v>
      </c>
      <c r="B4590" s="2">
        <v>6.0522999999999998</v>
      </c>
      <c r="C4590" s="2">
        <f t="shared" si="71"/>
        <v>2.2164889317826961E-3</v>
      </c>
    </row>
    <row r="4591" spans="1:3" x14ac:dyDescent="0.2">
      <c r="A4591" s="3">
        <v>39069</v>
      </c>
      <c r="B4591" s="2">
        <v>6.0388999999999999</v>
      </c>
      <c r="C4591" s="2">
        <f t="shared" si="71"/>
        <v>-8.4097850700328262E-3</v>
      </c>
    </row>
    <row r="4592" spans="1:3" x14ac:dyDescent="0.2">
      <c r="A4592" s="3">
        <v>39066</v>
      </c>
      <c r="B4592" s="2">
        <v>6.0899000000000001</v>
      </c>
      <c r="C4592" s="2">
        <f t="shared" si="71"/>
        <v>1.0929972765063198E-2</v>
      </c>
    </row>
    <row r="4593" spans="1:3" x14ac:dyDescent="0.2">
      <c r="A4593" s="3">
        <v>39065</v>
      </c>
      <c r="B4593" s="2">
        <v>6.0236999999999998</v>
      </c>
      <c r="C4593" s="2">
        <f t="shared" si="71"/>
        <v>1.0010594634230523E-2</v>
      </c>
    </row>
    <row r="4594" spans="1:3" x14ac:dyDescent="0.2">
      <c r="A4594" s="3">
        <v>39064</v>
      </c>
      <c r="B4594" s="2">
        <v>5.9637000000000002</v>
      </c>
      <c r="C4594" s="2">
        <f t="shared" si="71"/>
        <v>-1.7925805388181461E-3</v>
      </c>
    </row>
    <row r="4595" spans="1:3" x14ac:dyDescent="0.2">
      <c r="A4595" s="3">
        <v>39063</v>
      </c>
      <c r="B4595" s="2">
        <v>5.9744000000000002</v>
      </c>
      <c r="C4595" s="2">
        <f t="shared" si="71"/>
        <v>1.0382999609801916E-3</v>
      </c>
    </row>
    <row r="4596" spans="1:3" x14ac:dyDescent="0.2">
      <c r="A4596" s="3">
        <v>39062</v>
      </c>
      <c r="B4596" s="2">
        <v>5.9682000000000004</v>
      </c>
      <c r="C4596" s="2">
        <f t="shared" si="71"/>
        <v>8.9031597478193419E-3</v>
      </c>
    </row>
    <row r="4597" spans="1:3" x14ac:dyDescent="0.2">
      <c r="A4597" s="3">
        <v>39059</v>
      </c>
      <c r="B4597" s="2">
        <v>5.9153000000000002</v>
      </c>
      <c r="C4597" s="2">
        <f t="shared" si="71"/>
        <v>5.9174278487928332E-3</v>
      </c>
    </row>
    <row r="4598" spans="1:3" x14ac:dyDescent="0.2">
      <c r="A4598" s="3">
        <v>39058</v>
      </c>
      <c r="B4598" s="2">
        <v>5.8803999999999998</v>
      </c>
      <c r="C4598" s="2">
        <f t="shared" si="71"/>
        <v>6.7227717495018076E-3</v>
      </c>
    </row>
    <row r="4599" spans="1:3" x14ac:dyDescent="0.2">
      <c r="A4599" s="3">
        <v>39057</v>
      </c>
      <c r="B4599" s="2">
        <v>5.8410000000000002</v>
      </c>
      <c r="C4599" s="2">
        <f t="shared" si="71"/>
        <v>7.7071294759152424E-4</v>
      </c>
    </row>
    <row r="4600" spans="1:3" x14ac:dyDescent="0.2">
      <c r="A4600" s="3">
        <v>39056</v>
      </c>
      <c r="B4600" s="2">
        <v>5.8365</v>
      </c>
      <c r="C4600" s="2">
        <f t="shared" si="71"/>
        <v>-7.7995394832885631E-3</v>
      </c>
    </row>
    <row r="4601" spans="1:3" x14ac:dyDescent="0.2">
      <c r="A4601" s="3">
        <v>39055</v>
      </c>
      <c r="B4601" s="2">
        <v>5.8822000000000001</v>
      </c>
      <c r="C4601" s="2">
        <f t="shared" si="71"/>
        <v>1.1025846961712563E-2</v>
      </c>
    </row>
    <row r="4602" spans="1:3" x14ac:dyDescent="0.2">
      <c r="A4602" s="3">
        <v>39052</v>
      </c>
      <c r="B4602" s="2">
        <v>5.8177000000000003</v>
      </c>
      <c r="C4602" s="2">
        <f t="shared" si="71"/>
        <v>-1.6485060628596254E-2</v>
      </c>
    </row>
    <row r="4603" spans="1:3" x14ac:dyDescent="0.2">
      <c r="A4603" s="3">
        <v>39051</v>
      </c>
      <c r="B4603" s="2">
        <v>5.9143999999999997</v>
      </c>
      <c r="C4603" s="2">
        <f t="shared" si="71"/>
        <v>7.5865300521551727E-3</v>
      </c>
    </row>
    <row r="4604" spans="1:3" x14ac:dyDescent="0.2">
      <c r="A4604" s="3">
        <v>39050</v>
      </c>
      <c r="B4604" s="2">
        <v>5.8696999999999999</v>
      </c>
      <c r="C4604" s="2">
        <f t="shared" si="71"/>
        <v>7.0438478308479345E-3</v>
      </c>
    </row>
    <row r="4605" spans="1:3" x14ac:dyDescent="0.2">
      <c r="A4605" s="3">
        <v>39049</v>
      </c>
      <c r="B4605" s="2">
        <v>5.8285</v>
      </c>
      <c r="C4605" s="2">
        <f t="shared" si="71"/>
        <v>4.4708182112949343E-3</v>
      </c>
    </row>
    <row r="4606" spans="1:3" x14ac:dyDescent="0.2">
      <c r="A4606" s="3">
        <v>39048</v>
      </c>
      <c r="B4606" s="2">
        <v>5.8025000000000002</v>
      </c>
      <c r="C4606" s="2">
        <f t="shared" si="71"/>
        <v>-2.3336095581002119E-2</v>
      </c>
    </row>
    <row r="4607" spans="1:3" x14ac:dyDescent="0.2">
      <c r="A4607" s="3">
        <v>39045</v>
      </c>
      <c r="B4607" s="2">
        <v>5.9394999999999998</v>
      </c>
      <c r="C4607" s="2">
        <f t="shared" si="71"/>
        <v>-2.4858909878979891E-2</v>
      </c>
    </row>
    <row r="4608" spans="1:3" x14ac:dyDescent="0.2">
      <c r="A4608" s="3">
        <v>39044</v>
      </c>
      <c r="B4608" s="2">
        <v>6.0890000000000004</v>
      </c>
      <c r="C4608" s="2">
        <f t="shared" si="71"/>
        <v>3.092311168674527E-3</v>
      </c>
    </row>
    <row r="4609" spans="1:3" x14ac:dyDescent="0.2">
      <c r="A4609" s="3">
        <v>39043</v>
      </c>
      <c r="B4609" s="2">
        <v>6.0701999999999998</v>
      </c>
      <c r="C4609" s="2">
        <f t="shared" si="71"/>
        <v>-1.3629472172491761E-2</v>
      </c>
    </row>
    <row r="4610" spans="1:3" x14ac:dyDescent="0.2">
      <c r="A4610" s="3">
        <v>39042</v>
      </c>
      <c r="B4610" s="2">
        <v>6.1535000000000002</v>
      </c>
      <c r="C4610" s="2">
        <f t="shared" si="71"/>
        <v>-3.6335952512890814E-3</v>
      </c>
    </row>
    <row r="4611" spans="1:3" x14ac:dyDescent="0.2">
      <c r="A4611" s="3">
        <v>39038</v>
      </c>
      <c r="B4611" s="2">
        <v>6.1759000000000004</v>
      </c>
      <c r="C4611" s="2">
        <f t="shared" ref="C4611:C4674" si="72">+LN(B4611/B4612)</f>
        <v>-8.6575043990957529E-3</v>
      </c>
    </row>
    <row r="4612" spans="1:3" x14ac:dyDescent="0.2">
      <c r="A4612" s="3">
        <v>39037</v>
      </c>
      <c r="B4612" s="2">
        <v>6.2295999999999996</v>
      </c>
      <c r="C4612" s="2">
        <f t="shared" si="72"/>
        <v>2.1646499035527685E-2</v>
      </c>
    </row>
    <row r="4613" spans="1:3" x14ac:dyDescent="0.2">
      <c r="A4613" s="3">
        <v>39036</v>
      </c>
      <c r="B4613" s="2">
        <v>6.0961999999999996</v>
      </c>
      <c r="C4613" s="2">
        <f t="shared" si="72"/>
        <v>8.1033449540357464E-3</v>
      </c>
    </row>
    <row r="4614" spans="1:3" x14ac:dyDescent="0.2">
      <c r="A4614" s="3">
        <v>39035</v>
      </c>
      <c r="B4614" s="2">
        <v>6.0469999999999997</v>
      </c>
      <c r="C4614" s="2">
        <f t="shared" si="72"/>
        <v>6.4037911493134919E-3</v>
      </c>
    </row>
    <row r="4615" spans="1:3" x14ac:dyDescent="0.2">
      <c r="A4615" s="3">
        <v>39034</v>
      </c>
      <c r="B4615" s="2">
        <v>6.0084</v>
      </c>
      <c r="C4615" s="2">
        <f t="shared" si="72"/>
        <v>-1.9203939625136942E-2</v>
      </c>
    </row>
    <row r="4616" spans="1:3" x14ac:dyDescent="0.2">
      <c r="A4616" s="3">
        <v>39031</v>
      </c>
      <c r="B4616" s="2">
        <v>6.1249000000000002</v>
      </c>
      <c r="C4616" s="2">
        <f t="shared" si="72"/>
        <v>-8.4379082455697946E-3</v>
      </c>
    </row>
    <row r="4617" spans="1:3" x14ac:dyDescent="0.2">
      <c r="A4617" s="3">
        <v>39030</v>
      </c>
      <c r="B4617" s="2">
        <v>6.1768000000000001</v>
      </c>
      <c r="C4617" s="2">
        <f t="shared" si="72"/>
        <v>2.9145549842806052E-4</v>
      </c>
    </row>
    <row r="4618" spans="1:3" x14ac:dyDescent="0.2">
      <c r="A4618" s="3">
        <v>39029</v>
      </c>
      <c r="B4618" s="2">
        <v>6.1749999999999998</v>
      </c>
      <c r="C4618" s="2">
        <f t="shared" si="72"/>
        <v>1.16667220025842E-3</v>
      </c>
    </row>
    <row r="4619" spans="1:3" x14ac:dyDescent="0.2">
      <c r="A4619" s="3">
        <v>39028</v>
      </c>
      <c r="B4619" s="2">
        <v>6.1677999999999997</v>
      </c>
      <c r="C4619" s="2">
        <f t="shared" si="72"/>
        <v>-5.8036779319060733E-3</v>
      </c>
    </row>
    <row r="4620" spans="1:3" x14ac:dyDescent="0.2">
      <c r="A4620" s="3">
        <v>39027</v>
      </c>
      <c r="B4620" s="2">
        <v>6.2037000000000004</v>
      </c>
      <c r="C4620" s="2">
        <f t="shared" si="72"/>
        <v>-3.1704929552465481E-3</v>
      </c>
    </row>
    <row r="4621" spans="1:3" x14ac:dyDescent="0.2">
      <c r="A4621" s="3">
        <v>39024</v>
      </c>
      <c r="B4621" s="2">
        <v>6.2233999999999998</v>
      </c>
      <c r="C4621" s="2">
        <f t="shared" si="72"/>
        <v>1.4472015261208578E-3</v>
      </c>
    </row>
    <row r="4622" spans="1:3" x14ac:dyDescent="0.2">
      <c r="A4622" s="3">
        <v>39023</v>
      </c>
      <c r="B4622" s="2">
        <v>6.2144000000000004</v>
      </c>
      <c r="C4622" s="2">
        <f t="shared" si="72"/>
        <v>-5.7442835615070667E-3</v>
      </c>
    </row>
    <row r="4623" spans="1:3" x14ac:dyDescent="0.2">
      <c r="A4623" s="3">
        <v>39022</v>
      </c>
      <c r="B4623" s="2">
        <v>6.2502000000000004</v>
      </c>
      <c r="C4623" s="2">
        <f t="shared" si="72"/>
        <v>3.8793912169047427E-3</v>
      </c>
    </row>
    <row r="4624" spans="1:3" x14ac:dyDescent="0.2">
      <c r="A4624" s="3">
        <v>39021</v>
      </c>
      <c r="B4624" s="2">
        <v>6.226</v>
      </c>
      <c r="C4624" s="2">
        <f t="shared" si="72"/>
        <v>4.1686510661838325E-3</v>
      </c>
    </row>
    <row r="4625" spans="1:3" x14ac:dyDescent="0.2">
      <c r="A4625" s="3">
        <v>39020</v>
      </c>
      <c r="B4625" s="2">
        <v>6.2000999999999999</v>
      </c>
      <c r="C4625" s="2">
        <f t="shared" si="72"/>
        <v>-2.0140669194429308E-3</v>
      </c>
    </row>
    <row r="4626" spans="1:3" x14ac:dyDescent="0.2">
      <c r="A4626" s="3">
        <v>39017</v>
      </c>
      <c r="B4626" s="2">
        <v>6.2126000000000001</v>
      </c>
      <c r="C4626" s="2">
        <f t="shared" si="72"/>
        <v>-9.0373644191560128E-3</v>
      </c>
    </row>
    <row r="4627" spans="1:3" x14ac:dyDescent="0.2">
      <c r="A4627" s="3">
        <v>39015</v>
      </c>
      <c r="B4627" s="2">
        <v>6.2690000000000001</v>
      </c>
      <c r="C4627" s="2">
        <f t="shared" si="72"/>
        <v>4.5725694008742429E-3</v>
      </c>
    </row>
    <row r="4628" spans="1:3" x14ac:dyDescent="0.2">
      <c r="A4628" s="3">
        <v>39014</v>
      </c>
      <c r="B4628" s="2">
        <v>6.2404000000000002</v>
      </c>
      <c r="C4628" s="2">
        <f t="shared" si="72"/>
        <v>3.5959712543952201E-3</v>
      </c>
    </row>
    <row r="4629" spans="1:3" x14ac:dyDescent="0.2">
      <c r="A4629" s="3">
        <v>39013</v>
      </c>
      <c r="B4629" s="2">
        <v>6.218</v>
      </c>
      <c r="C4629" s="2">
        <f t="shared" si="72"/>
        <v>-1.2857603828543361E-3</v>
      </c>
    </row>
    <row r="4630" spans="1:3" x14ac:dyDescent="0.2">
      <c r="A4630" s="3">
        <v>39010</v>
      </c>
      <c r="B4630" s="2">
        <v>6.226</v>
      </c>
      <c r="C4630" s="2">
        <f t="shared" si="72"/>
        <v>-5.7805326122278031E-4</v>
      </c>
    </row>
    <row r="4631" spans="1:3" x14ac:dyDescent="0.2">
      <c r="A4631" s="3">
        <v>39009</v>
      </c>
      <c r="B4631" s="2">
        <v>6.2295999999999996</v>
      </c>
      <c r="C4631" s="2">
        <f t="shared" si="72"/>
        <v>-1.0729442565464133E-2</v>
      </c>
    </row>
    <row r="4632" spans="1:3" x14ac:dyDescent="0.2">
      <c r="A4632" s="3">
        <v>39008</v>
      </c>
      <c r="B4632" s="2">
        <v>6.2968000000000002</v>
      </c>
      <c r="C4632" s="2">
        <f t="shared" si="72"/>
        <v>4.2811622917775568E-3</v>
      </c>
    </row>
    <row r="4633" spans="1:3" x14ac:dyDescent="0.2">
      <c r="A4633" s="3">
        <v>39007</v>
      </c>
      <c r="B4633" s="2">
        <v>6.2698999999999998</v>
      </c>
      <c r="C4633" s="2">
        <f t="shared" si="72"/>
        <v>-2.0646953830291016E-2</v>
      </c>
    </row>
    <row r="4634" spans="1:3" x14ac:dyDescent="0.2">
      <c r="A4634" s="3">
        <v>39006</v>
      </c>
      <c r="B4634" s="2">
        <v>6.4006999999999996</v>
      </c>
      <c r="C4634" s="2">
        <f t="shared" si="72"/>
        <v>1.9642657590101507E-2</v>
      </c>
    </row>
    <row r="4635" spans="1:3" x14ac:dyDescent="0.2">
      <c r="A4635" s="3">
        <v>39003</v>
      </c>
      <c r="B4635" s="2">
        <v>6.2762000000000002</v>
      </c>
      <c r="C4635" s="2">
        <f t="shared" si="72"/>
        <v>-4.1340769938317196E-3</v>
      </c>
    </row>
    <row r="4636" spans="1:3" x14ac:dyDescent="0.2">
      <c r="A4636" s="3">
        <v>39002</v>
      </c>
      <c r="B4636" s="2">
        <v>6.3022</v>
      </c>
      <c r="C4636" s="2">
        <f t="shared" si="72"/>
        <v>1.014298055360976E-2</v>
      </c>
    </row>
    <row r="4637" spans="1:3" x14ac:dyDescent="0.2">
      <c r="A4637" s="3">
        <v>39001</v>
      </c>
      <c r="B4637" s="2">
        <v>6.2385999999999999</v>
      </c>
      <c r="C4637" s="2">
        <f t="shared" si="72"/>
        <v>-1.1374287329630826E-3</v>
      </c>
    </row>
    <row r="4638" spans="1:3" x14ac:dyDescent="0.2">
      <c r="A4638" s="3">
        <v>39000</v>
      </c>
      <c r="B4638" s="2">
        <v>6.2457000000000003</v>
      </c>
      <c r="C4638" s="2">
        <f t="shared" si="72"/>
        <v>-3.8671785866253232E-3</v>
      </c>
    </row>
    <row r="4639" spans="1:3" x14ac:dyDescent="0.2">
      <c r="A4639" s="3">
        <v>38999</v>
      </c>
      <c r="B4639" s="2">
        <v>6.2698999999999998</v>
      </c>
      <c r="C4639" s="2">
        <f t="shared" si="72"/>
        <v>1.8154518081006519E-2</v>
      </c>
    </row>
    <row r="4640" spans="1:3" x14ac:dyDescent="0.2">
      <c r="A4640" s="3">
        <v>38996</v>
      </c>
      <c r="B4640" s="2">
        <v>6.1570999999999998</v>
      </c>
      <c r="C4640" s="2">
        <f t="shared" si="72"/>
        <v>2.6182921260573672E-3</v>
      </c>
    </row>
    <row r="4641" spans="1:3" x14ac:dyDescent="0.2">
      <c r="A4641" s="3">
        <v>38995</v>
      </c>
      <c r="B4641" s="2">
        <v>6.141</v>
      </c>
      <c r="C4641" s="2">
        <f t="shared" si="72"/>
        <v>2.6251655803630437E-3</v>
      </c>
    </row>
    <row r="4642" spans="1:3" x14ac:dyDescent="0.2">
      <c r="A4642" s="3">
        <v>38994</v>
      </c>
      <c r="B4642" s="2">
        <v>6.1249000000000002</v>
      </c>
      <c r="C4642" s="2">
        <f t="shared" si="72"/>
        <v>4.4015812008361393E-3</v>
      </c>
    </row>
    <row r="4643" spans="1:3" x14ac:dyDescent="0.2">
      <c r="A4643" s="3">
        <v>38993</v>
      </c>
      <c r="B4643" s="2">
        <v>6.0979999999999999</v>
      </c>
      <c r="C4643" s="2">
        <f t="shared" si="72"/>
        <v>-2.7512429852776098E-2</v>
      </c>
    </row>
    <row r="4644" spans="1:3" x14ac:dyDescent="0.2">
      <c r="A4644" s="3">
        <v>38989</v>
      </c>
      <c r="B4644" s="2">
        <v>6.2680999999999996</v>
      </c>
      <c r="C4644" s="2">
        <f t="shared" si="72"/>
        <v>1.2215142131413115E-2</v>
      </c>
    </row>
    <row r="4645" spans="1:3" x14ac:dyDescent="0.2">
      <c r="A4645" s="3">
        <v>38988</v>
      </c>
      <c r="B4645" s="2">
        <v>6.1920000000000002</v>
      </c>
      <c r="C4645" s="2">
        <f t="shared" si="72"/>
        <v>1.1336627235429483E-2</v>
      </c>
    </row>
    <row r="4646" spans="1:3" x14ac:dyDescent="0.2">
      <c r="A4646" s="3">
        <v>38987</v>
      </c>
      <c r="B4646" s="2">
        <v>6.1222000000000003</v>
      </c>
      <c r="C4646" s="2">
        <f t="shared" si="72"/>
        <v>2.5022295971035709E-3</v>
      </c>
    </row>
    <row r="4647" spans="1:3" x14ac:dyDescent="0.2">
      <c r="A4647" s="3">
        <v>38986</v>
      </c>
      <c r="B4647" s="2">
        <v>6.1069000000000004</v>
      </c>
      <c r="C4647" s="2">
        <f t="shared" si="72"/>
        <v>8.8322216241589861E-3</v>
      </c>
    </row>
    <row r="4648" spans="1:3" x14ac:dyDescent="0.2">
      <c r="A4648" s="3">
        <v>38985</v>
      </c>
      <c r="B4648" s="2">
        <v>6.0532000000000004</v>
      </c>
      <c r="C4648" s="2">
        <f t="shared" si="72"/>
        <v>-2.2277420743055569E-3</v>
      </c>
    </row>
    <row r="4649" spans="1:3" x14ac:dyDescent="0.2">
      <c r="A4649" s="3">
        <v>38982</v>
      </c>
      <c r="B4649" s="2">
        <v>6.0667</v>
      </c>
      <c r="C4649" s="2">
        <f t="shared" si="72"/>
        <v>2.3764348175478421E-3</v>
      </c>
    </row>
    <row r="4650" spans="1:3" x14ac:dyDescent="0.2">
      <c r="A4650" s="3">
        <v>38981</v>
      </c>
      <c r="B4650" s="2">
        <v>6.0522999999999998</v>
      </c>
      <c r="C4650" s="2">
        <f t="shared" si="72"/>
        <v>-1.2348471332638635E-2</v>
      </c>
    </row>
    <row r="4651" spans="1:3" x14ac:dyDescent="0.2">
      <c r="A4651" s="3">
        <v>38980</v>
      </c>
      <c r="B4651" s="2">
        <v>6.1275000000000004</v>
      </c>
      <c r="C4651" s="2">
        <f t="shared" si="72"/>
        <v>2.006116744675053E-2</v>
      </c>
    </row>
    <row r="4652" spans="1:3" x14ac:dyDescent="0.2">
      <c r="A4652" s="3">
        <v>38979</v>
      </c>
      <c r="B4652" s="2">
        <v>6.0057999999999998</v>
      </c>
      <c r="C4652" s="2">
        <f t="shared" si="72"/>
        <v>-7.2664851811512863E-3</v>
      </c>
    </row>
    <row r="4653" spans="1:3" x14ac:dyDescent="0.2">
      <c r="A4653" s="3">
        <v>38978</v>
      </c>
      <c r="B4653" s="2">
        <v>6.0495999999999999</v>
      </c>
      <c r="C4653" s="2">
        <f t="shared" si="72"/>
        <v>-1.0016448741386817E-2</v>
      </c>
    </row>
    <row r="4654" spans="1:3" x14ac:dyDescent="0.2">
      <c r="A4654" s="3">
        <v>38975</v>
      </c>
      <c r="B4654" s="2">
        <v>6.1105</v>
      </c>
      <c r="C4654" s="2">
        <f t="shared" si="72"/>
        <v>9.8676896399479946E-3</v>
      </c>
    </row>
    <row r="4655" spans="1:3" x14ac:dyDescent="0.2">
      <c r="A4655" s="3">
        <v>38974</v>
      </c>
      <c r="B4655" s="2">
        <v>6.0505000000000004</v>
      </c>
      <c r="C4655" s="2">
        <f t="shared" si="72"/>
        <v>-1.0014966250233822E-2</v>
      </c>
    </row>
    <row r="4656" spans="1:3" x14ac:dyDescent="0.2">
      <c r="A4656" s="3">
        <v>38973</v>
      </c>
      <c r="B4656" s="2">
        <v>6.1113999999999997</v>
      </c>
      <c r="C4656" s="2">
        <f t="shared" si="72"/>
        <v>1.758007690225873E-2</v>
      </c>
    </row>
    <row r="4657" spans="1:3" x14ac:dyDescent="0.2">
      <c r="A4657" s="3">
        <v>38972</v>
      </c>
      <c r="B4657" s="2">
        <v>6.0049000000000001</v>
      </c>
      <c r="C4657" s="2">
        <f t="shared" si="72"/>
        <v>-2.8270215389081285E-3</v>
      </c>
    </row>
    <row r="4658" spans="1:3" x14ac:dyDescent="0.2">
      <c r="A4658" s="3">
        <v>38971</v>
      </c>
      <c r="B4658" s="2">
        <v>6.0218999999999996</v>
      </c>
      <c r="C4658" s="2">
        <f t="shared" si="72"/>
        <v>-5.3329043248776433E-3</v>
      </c>
    </row>
    <row r="4659" spans="1:3" x14ac:dyDescent="0.2">
      <c r="A4659" s="3">
        <v>38968</v>
      </c>
      <c r="B4659" s="2">
        <v>6.0541</v>
      </c>
      <c r="C4659" s="2">
        <f t="shared" si="72"/>
        <v>-2.9727498154516436E-4</v>
      </c>
    </row>
    <row r="4660" spans="1:3" x14ac:dyDescent="0.2">
      <c r="A4660" s="3">
        <v>38967</v>
      </c>
      <c r="B4660" s="2">
        <v>6.0559000000000003</v>
      </c>
      <c r="C4660" s="2">
        <f t="shared" si="72"/>
        <v>-2.6849437162565243E-2</v>
      </c>
    </row>
    <row r="4661" spans="1:3" x14ac:dyDescent="0.2">
      <c r="A4661" s="3">
        <v>38966</v>
      </c>
      <c r="B4661" s="2">
        <v>6.2206999999999999</v>
      </c>
      <c r="C4661" s="2">
        <f t="shared" si="72"/>
        <v>-6.8886242094608908E-3</v>
      </c>
    </row>
    <row r="4662" spans="1:3" x14ac:dyDescent="0.2">
      <c r="A4662" s="3">
        <v>38965</v>
      </c>
      <c r="B4662" s="2">
        <v>6.2637</v>
      </c>
      <c r="C4662" s="2">
        <f t="shared" si="72"/>
        <v>-1.0939829499225404E-2</v>
      </c>
    </row>
    <row r="4663" spans="1:3" x14ac:dyDescent="0.2">
      <c r="A4663" s="3">
        <v>38964</v>
      </c>
      <c r="B4663" s="2">
        <v>6.3326000000000002</v>
      </c>
      <c r="C4663" s="2">
        <f t="shared" si="72"/>
        <v>1.582104973120552E-2</v>
      </c>
    </row>
    <row r="4664" spans="1:3" x14ac:dyDescent="0.2">
      <c r="A4664" s="3">
        <v>38961</v>
      </c>
      <c r="B4664" s="2">
        <v>6.2332000000000001</v>
      </c>
      <c r="C4664" s="2">
        <f t="shared" si="72"/>
        <v>2.4572697429201613E-2</v>
      </c>
    </row>
    <row r="4665" spans="1:3" x14ac:dyDescent="0.2">
      <c r="A4665" s="3">
        <v>38960</v>
      </c>
      <c r="B4665" s="2">
        <v>6.0819000000000001</v>
      </c>
      <c r="C4665" s="2">
        <f t="shared" si="72"/>
        <v>3.5413426565775795E-3</v>
      </c>
    </row>
    <row r="4666" spans="1:3" x14ac:dyDescent="0.2">
      <c r="A4666" s="3">
        <v>38959</v>
      </c>
      <c r="B4666" s="2">
        <v>6.0603999999999996</v>
      </c>
      <c r="C4666" s="2">
        <f t="shared" si="72"/>
        <v>7.4280105426680607E-4</v>
      </c>
    </row>
    <row r="4667" spans="1:3" x14ac:dyDescent="0.2">
      <c r="A4667" s="3">
        <v>38958</v>
      </c>
      <c r="B4667" s="2">
        <v>6.0559000000000003</v>
      </c>
      <c r="C4667" s="2">
        <f t="shared" si="72"/>
        <v>-4.4321128348904608E-3</v>
      </c>
    </row>
    <row r="4668" spans="1:3" x14ac:dyDescent="0.2">
      <c r="A4668" s="3">
        <v>38957</v>
      </c>
      <c r="B4668" s="2">
        <v>6.0827999999999998</v>
      </c>
      <c r="C4668" s="2">
        <f t="shared" si="72"/>
        <v>-1.4794723242383387E-4</v>
      </c>
    </row>
    <row r="4669" spans="1:3" x14ac:dyDescent="0.2">
      <c r="A4669" s="3">
        <v>38954</v>
      </c>
      <c r="B4669" s="2">
        <v>6.0837000000000003</v>
      </c>
      <c r="C4669" s="2">
        <f t="shared" si="72"/>
        <v>-2.642920239927276E-3</v>
      </c>
    </row>
    <row r="4670" spans="1:3" x14ac:dyDescent="0.2">
      <c r="A4670" s="3">
        <v>38953</v>
      </c>
      <c r="B4670" s="2">
        <v>6.0998000000000001</v>
      </c>
      <c r="C4670" s="2">
        <f t="shared" si="72"/>
        <v>4.7161759929315941E-3</v>
      </c>
    </row>
    <row r="4671" spans="1:3" x14ac:dyDescent="0.2">
      <c r="A4671" s="3">
        <v>38952</v>
      </c>
      <c r="B4671" s="2">
        <v>6.0711000000000004</v>
      </c>
      <c r="C4671" s="2">
        <f t="shared" si="72"/>
        <v>2.4933125113831969E-2</v>
      </c>
    </row>
    <row r="4672" spans="1:3" x14ac:dyDescent="0.2">
      <c r="A4672" s="3">
        <v>38951</v>
      </c>
      <c r="B4672" s="2">
        <v>5.9215999999999998</v>
      </c>
      <c r="C4672" s="2">
        <f t="shared" si="72"/>
        <v>1.1105753568480023E-2</v>
      </c>
    </row>
    <row r="4673" spans="1:3" x14ac:dyDescent="0.2">
      <c r="A4673" s="3">
        <v>38950</v>
      </c>
      <c r="B4673" s="2">
        <v>5.8562000000000003</v>
      </c>
      <c r="C4673" s="2">
        <f t="shared" si="72"/>
        <v>-1.1105753568480073E-2</v>
      </c>
    </row>
    <row r="4674" spans="1:3" x14ac:dyDescent="0.2">
      <c r="A4674" s="3">
        <v>38947</v>
      </c>
      <c r="B4674" s="2">
        <v>5.9215999999999998</v>
      </c>
      <c r="C4674" s="2">
        <f t="shared" si="72"/>
        <v>7.602186416963367E-4</v>
      </c>
    </row>
    <row r="4675" spans="1:3" x14ac:dyDescent="0.2">
      <c r="A4675" s="3">
        <v>38946</v>
      </c>
      <c r="B4675" s="2">
        <v>5.9170999999999996</v>
      </c>
      <c r="C4675" s="2">
        <f t="shared" ref="C4675:C4738" si="73">+LN(B4675/B4676)</f>
        <v>5.1508950022294969E-3</v>
      </c>
    </row>
    <row r="4676" spans="1:3" x14ac:dyDescent="0.2">
      <c r="A4676" s="3">
        <v>38945</v>
      </c>
      <c r="B4676" s="2">
        <v>5.8867000000000003</v>
      </c>
      <c r="C4676" s="2">
        <f t="shared" si="73"/>
        <v>-4.2378691035539441E-3</v>
      </c>
    </row>
    <row r="4677" spans="1:3" x14ac:dyDescent="0.2">
      <c r="A4677" s="3">
        <v>38943</v>
      </c>
      <c r="B4677" s="2">
        <v>5.9116999999999997</v>
      </c>
      <c r="C4677" s="2">
        <f t="shared" si="73"/>
        <v>1.9641381888016048E-3</v>
      </c>
    </row>
    <row r="4678" spans="1:3" x14ac:dyDescent="0.2">
      <c r="A4678" s="3">
        <v>38940</v>
      </c>
      <c r="B4678" s="2">
        <v>5.9001000000000001</v>
      </c>
      <c r="C4678" s="2">
        <f t="shared" si="73"/>
        <v>-8.018476920350296E-3</v>
      </c>
    </row>
    <row r="4679" spans="1:3" x14ac:dyDescent="0.2">
      <c r="A4679" s="3">
        <v>38939</v>
      </c>
      <c r="B4679" s="2">
        <v>5.9476000000000004</v>
      </c>
      <c r="C4679" s="2">
        <f t="shared" si="73"/>
        <v>-1.9084993662187764E-2</v>
      </c>
    </row>
    <row r="4680" spans="1:3" x14ac:dyDescent="0.2">
      <c r="A4680" s="3">
        <v>38938</v>
      </c>
      <c r="B4680" s="2">
        <v>6.0621999999999998</v>
      </c>
      <c r="C4680" s="2">
        <f t="shared" si="73"/>
        <v>4.7454969716006793E-3</v>
      </c>
    </row>
    <row r="4681" spans="1:3" x14ac:dyDescent="0.2">
      <c r="A4681" s="3">
        <v>38937</v>
      </c>
      <c r="B4681" s="2">
        <v>6.0335000000000001</v>
      </c>
      <c r="C4681" s="2">
        <f t="shared" si="73"/>
        <v>1.32681004620893E-3</v>
      </c>
    </row>
    <row r="4682" spans="1:3" x14ac:dyDescent="0.2">
      <c r="A4682" s="3">
        <v>38936</v>
      </c>
      <c r="B4682" s="2">
        <v>6.0255000000000001</v>
      </c>
      <c r="C4682" s="2">
        <f t="shared" si="73"/>
        <v>-3.1152156960052059E-3</v>
      </c>
    </row>
    <row r="4683" spans="1:3" x14ac:dyDescent="0.2">
      <c r="A4683" s="3">
        <v>38933</v>
      </c>
      <c r="B4683" s="2">
        <v>6.0442999999999998</v>
      </c>
      <c r="C4683" s="2">
        <f t="shared" si="73"/>
        <v>-1.6604427491583688E-2</v>
      </c>
    </row>
    <row r="4684" spans="1:3" x14ac:dyDescent="0.2">
      <c r="A4684" s="3">
        <v>38932</v>
      </c>
      <c r="B4684" s="2">
        <v>6.1455000000000002</v>
      </c>
      <c r="C4684" s="2">
        <f t="shared" si="73"/>
        <v>-6.6655560969174103E-3</v>
      </c>
    </row>
    <row r="4685" spans="1:3" x14ac:dyDescent="0.2">
      <c r="A4685" s="3">
        <v>38931</v>
      </c>
      <c r="B4685" s="2">
        <v>6.1866000000000003</v>
      </c>
      <c r="C4685" s="2">
        <f t="shared" si="73"/>
        <v>5.0721634601075876E-3</v>
      </c>
    </row>
    <row r="4686" spans="1:3" x14ac:dyDescent="0.2">
      <c r="A4686" s="3">
        <v>38930</v>
      </c>
      <c r="B4686" s="2">
        <v>6.1553000000000004</v>
      </c>
      <c r="C4686" s="2">
        <f t="shared" si="73"/>
        <v>1.9091623153998934E-2</v>
      </c>
    </row>
    <row r="4687" spans="1:3" x14ac:dyDescent="0.2">
      <c r="A4687" s="3">
        <v>38929</v>
      </c>
      <c r="B4687" s="2">
        <v>6.0388999999999999</v>
      </c>
      <c r="C4687" s="2">
        <f t="shared" si="73"/>
        <v>-1.5885996736107494E-2</v>
      </c>
    </row>
    <row r="4688" spans="1:3" x14ac:dyDescent="0.2">
      <c r="A4688" s="3">
        <v>38926</v>
      </c>
      <c r="B4688" s="2">
        <v>6.1356000000000002</v>
      </c>
      <c r="C4688" s="2">
        <f t="shared" si="73"/>
        <v>-5.8178436625881437E-3</v>
      </c>
    </row>
    <row r="4689" spans="1:3" x14ac:dyDescent="0.2">
      <c r="A4689" s="3">
        <v>38925</v>
      </c>
      <c r="B4689" s="2">
        <v>6.1714000000000002</v>
      </c>
      <c r="C4689" s="2">
        <f t="shared" si="73"/>
        <v>2.2449286997121003E-2</v>
      </c>
    </row>
    <row r="4690" spans="1:3" x14ac:dyDescent="0.2">
      <c r="A4690" s="3">
        <v>38924</v>
      </c>
      <c r="B4690" s="2">
        <v>6.0343999999999998</v>
      </c>
      <c r="C4690" s="2">
        <f t="shared" si="73"/>
        <v>1.1772802871971794E-3</v>
      </c>
    </row>
    <row r="4691" spans="1:3" x14ac:dyDescent="0.2">
      <c r="A4691" s="3">
        <v>38923</v>
      </c>
      <c r="B4691" s="2">
        <v>6.0273000000000003</v>
      </c>
      <c r="C4691" s="2">
        <f t="shared" si="73"/>
        <v>1.0608055443638683E-2</v>
      </c>
    </row>
    <row r="4692" spans="1:3" x14ac:dyDescent="0.2">
      <c r="A4692" s="3">
        <v>38922</v>
      </c>
      <c r="B4692" s="2">
        <v>5.9637000000000002</v>
      </c>
      <c r="C4692" s="2">
        <f t="shared" si="73"/>
        <v>-7.3342405228403705E-3</v>
      </c>
    </row>
    <row r="4693" spans="1:3" x14ac:dyDescent="0.2">
      <c r="A4693" s="3">
        <v>38919</v>
      </c>
      <c r="B4693" s="2">
        <v>6.0076000000000001</v>
      </c>
      <c r="C4693" s="2">
        <f t="shared" si="73"/>
        <v>4.4953174534331932E-4</v>
      </c>
    </row>
    <row r="4694" spans="1:3" x14ac:dyDescent="0.2">
      <c r="A4694" s="3">
        <v>38918</v>
      </c>
      <c r="B4694" s="2">
        <v>6.0049000000000001</v>
      </c>
      <c r="C4694" s="2">
        <f t="shared" si="73"/>
        <v>-5.347961591954194E-3</v>
      </c>
    </row>
    <row r="4695" spans="1:3" x14ac:dyDescent="0.2">
      <c r="A4695" s="3">
        <v>38917</v>
      </c>
      <c r="B4695" s="2">
        <v>6.0370999999999997</v>
      </c>
      <c r="C4695" s="2">
        <f t="shared" si="73"/>
        <v>2.8120238987301666E-2</v>
      </c>
    </row>
    <row r="4696" spans="1:3" x14ac:dyDescent="0.2">
      <c r="A4696" s="3">
        <v>38916</v>
      </c>
      <c r="B4696" s="2">
        <v>5.8696999999999999</v>
      </c>
      <c r="C4696" s="2">
        <f t="shared" si="73"/>
        <v>6.1349361470686399E-3</v>
      </c>
    </row>
    <row r="4697" spans="1:3" x14ac:dyDescent="0.2">
      <c r="A4697" s="3">
        <v>38915</v>
      </c>
      <c r="B4697" s="2">
        <v>5.8338000000000001</v>
      </c>
      <c r="C4697" s="2">
        <f t="shared" si="73"/>
        <v>-5.3679930592576888E-3</v>
      </c>
    </row>
    <row r="4698" spans="1:3" x14ac:dyDescent="0.2">
      <c r="A4698" s="3">
        <v>38912</v>
      </c>
      <c r="B4698" s="2">
        <v>5.8651999999999997</v>
      </c>
      <c r="C4698" s="2">
        <f t="shared" si="73"/>
        <v>-1.0633436634897518E-2</v>
      </c>
    </row>
    <row r="4699" spans="1:3" x14ac:dyDescent="0.2">
      <c r="A4699" s="3">
        <v>38911</v>
      </c>
      <c r="B4699" s="2">
        <v>5.9279000000000002</v>
      </c>
      <c r="C4699" s="2">
        <f t="shared" si="73"/>
        <v>-1.1555974866226879E-2</v>
      </c>
    </row>
    <row r="4700" spans="1:3" x14ac:dyDescent="0.2">
      <c r="A4700" s="3">
        <v>38910</v>
      </c>
      <c r="B4700" s="2">
        <v>5.9968000000000004</v>
      </c>
      <c r="C4700" s="2">
        <f t="shared" si="73"/>
        <v>2.5379029183425282E-3</v>
      </c>
    </row>
    <row r="4701" spans="1:3" x14ac:dyDescent="0.2">
      <c r="A4701" s="3">
        <v>38909</v>
      </c>
      <c r="B4701" s="2">
        <v>5.9816000000000003</v>
      </c>
      <c r="C4701" s="2">
        <f t="shared" si="73"/>
        <v>-1.1452822552401468E-2</v>
      </c>
    </row>
    <row r="4702" spans="1:3" x14ac:dyDescent="0.2">
      <c r="A4702" s="3">
        <v>38908</v>
      </c>
      <c r="B4702" s="2">
        <v>6.0505000000000004</v>
      </c>
      <c r="C4702" s="2">
        <f t="shared" si="73"/>
        <v>-7.9675137934179571E-3</v>
      </c>
    </row>
    <row r="4703" spans="1:3" x14ac:dyDescent="0.2">
      <c r="A4703" s="3">
        <v>38905</v>
      </c>
      <c r="B4703" s="2">
        <v>6.0989000000000004</v>
      </c>
      <c r="C4703" s="2">
        <f t="shared" si="73"/>
        <v>-1.6602142318352671E-2</v>
      </c>
    </row>
    <row r="4704" spans="1:3" x14ac:dyDescent="0.2">
      <c r="A4704" s="3">
        <v>38904</v>
      </c>
      <c r="B4704" s="2">
        <v>6.2009999999999996</v>
      </c>
      <c r="C4704" s="2">
        <f t="shared" si="73"/>
        <v>8.9904626948424642E-3</v>
      </c>
    </row>
    <row r="4705" spans="1:3" x14ac:dyDescent="0.2">
      <c r="A4705" s="3">
        <v>38903</v>
      </c>
      <c r="B4705" s="2">
        <v>6.1455000000000002</v>
      </c>
      <c r="C4705" s="2">
        <f t="shared" si="73"/>
        <v>-1.6173120294802106E-2</v>
      </c>
    </row>
    <row r="4706" spans="1:3" x14ac:dyDescent="0.2">
      <c r="A4706" s="3">
        <v>38902</v>
      </c>
      <c r="B4706" s="2">
        <v>6.2457000000000003</v>
      </c>
      <c r="C4706" s="2">
        <f t="shared" si="73"/>
        <v>2.0033823783782239E-3</v>
      </c>
    </row>
    <row r="4707" spans="1:3" x14ac:dyDescent="0.2">
      <c r="A4707" s="3">
        <v>38901</v>
      </c>
      <c r="B4707" s="2">
        <v>6.2332000000000001</v>
      </c>
      <c r="C4707" s="2">
        <f t="shared" si="73"/>
        <v>1.8409450749066233E-2</v>
      </c>
    </row>
    <row r="4708" spans="1:3" x14ac:dyDescent="0.2">
      <c r="A4708" s="3">
        <v>38898</v>
      </c>
      <c r="B4708" s="2">
        <v>6.1195000000000004</v>
      </c>
      <c r="C4708" s="2">
        <f t="shared" si="73"/>
        <v>4.1100770980536687E-3</v>
      </c>
    </row>
    <row r="4709" spans="1:3" x14ac:dyDescent="0.2">
      <c r="A4709" s="3">
        <v>38897</v>
      </c>
      <c r="B4709" s="2">
        <v>6.0944000000000003</v>
      </c>
      <c r="C4709" s="2">
        <f t="shared" si="73"/>
        <v>3.19435021350453E-2</v>
      </c>
    </row>
    <row r="4710" spans="1:3" x14ac:dyDescent="0.2">
      <c r="A4710" s="3">
        <v>38896</v>
      </c>
      <c r="B4710" s="2">
        <v>5.9028</v>
      </c>
      <c r="C4710" s="2">
        <f t="shared" si="73"/>
        <v>-8.7540090973471617E-3</v>
      </c>
    </row>
    <row r="4711" spans="1:3" x14ac:dyDescent="0.2">
      <c r="A4711" s="3">
        <v>38895</v>
      </c>
      <c r="B4711" s="2">
        <v>5.9546999999999999</v>
      </c>
      <c r="C4711" s="2">
        <f t="shared" si="73"/>
        <v>1.8662665681676703E-2</v>
      </c>
    </row>
    <row r="4712" spans="1:3" x14ac:dyDescent="0.2">
      <c r="A4712" s="3">
        <v>38894</v>
      </c>
      <c r="B4712" s="2">
        <v>5.8445999999999998</v>
      </c>
      <c r="C4712" s="2">
        <f t="shared" si="73"/>
        <v>2.1689222552323001E-2</v>
      </c>
    </row>
    <row r="4713" spans="1:3" x14ac:dyDescent="0.2">
      <c r="A4713" s="3">
        <v>38891</v>
      </c>
      <c r="B4713" s="2">
        <v>5.7191999999999998</v>
      </c>
      <c r="C4713" s="2">
        <f t="shared" si="73"/>
        <v>-5.1622019066122566E-3</v>
      </c>
    </row>
    <row r="4714" spans="1:3" x14ac:dyDescent="0.2">
      <c r="A4714" s="3">
        <v>38890</v>
      </c>
      <c r="B4714" s="2">
        <v>5.7488000000000001</v>
      </c>
      <c r="C4714" s="2">
        <f t="shared" si="73"/>
        <v>1.4913748490146988E-2</v>
      </c>
    </row>
    <row r="4715" spans="1:3" x14ac:dyDescent="0.2">
      <c r="A4715" s="3">
        <v>38889</v>
      </c>
      <c r="B4715" s="2">
        <v>5.6637000000000004</v>
      </c>
      <c r="C4715" s="2">
        <f t="shared" si="73"/>
        <v>-4.2637225874128208E-3</v>
      </c>
    </row>
    <row r="4716" spans="1:3" x14ac:dyDescent="0.2">
      <c r="A4716" s="3">
        <v>38888</v>
      </c>
      <c r="B4716" s="2">
        <v>5.6879</v>
      </c>
      <c r="C4716" s="2">
        <f t="shared" si="73"/>
        <v>4.2637225874129249E-3</v>
      </c>
    </row>
    <row r="4717" spans="1:3" x14ac:dyDescent="0.2">
      <c r="A4717" s="3">
        <v>38887</v>
      </c>
      <c r="B4717" s="2">
        <v>5.6637000000000004</v>
      </c>
      <c r="C4717" s="2">
        <f t="shared" si="73"/>
        <v>1.4172023426899079E-2</v>
      </c>
    </row>
    <row r="4718" spans="1:3" x14ac:dyDescent="0.2">
      <c r="A4718" s="3">
        <v>38884</v>
      </c>
      <c r="B4718" s="2">
        <v>5.5839999999999996</v>
      </c>
      <c r="C4718" s="2">
        <f t="shared" si="73"/>
        <v>-2.236619623225488E-2</v>
      </c>
    </row>
    <row r="4719" spans="1:3" x14ac:dyDescent="0.2">
      <c r="A4719" s="3">
        <v>38883</v>
      </c>
      <c r="B4719" s="2">
        <v>5.7103000000000002</v>
      </c>
      <c r="C4719" s="2">
        <f t="shared" si="73"/>
        <v>2.9122493046182519E-2</v>
      </c>
    </row>
    <row r="4720" spans="1:3" x14ac:dyDescent="0.2">
      <c r="A4720" s="3">
        <v>38882</v>
      </c>
      <c r="B4720" s="2">
        <v>5.5464000000000002</v>
      </c>
      <c r="C4720" s="2">
        <f t="shared" si="73"/>
        <v>1.0876765919624937E-2</v>
      </c>
    </row>
    <row r="4721" spans="1:3" x14ac:dyDescent="0.2">
      <c r="A4721" s="3">
        <v>38881</v>
      </c>
      <c r="B4721" s="2">
        <v>5.4863999999999997</v>
      </c>
      <c r="C4721" s="2">
        <f t="shared" si="73"/>
        <v>-3.0373902009029532E-2</v>
      </c>
    </row>
    <row r="4722" spans="1:3" x14ac:dyDescent="0.2">
      <c r="A4722" s="3">
        <v>38880</v>
      </c>
      <c r="B4722" s="2">
        <v>5.6555999999999997</v>
      </c>
      <c r="C4722" s="2">
        <f t="shared" si="73"/>
        <v>-1.5091712398176754E-2</v>
      </c>
    </row>
    <row r="4723" spans="1:3" x14ac:dyDescent="0.2">
      <c r="A4723" s="3">
        <v>38877</v>
      </c>
      <c r="B4723" s="2">
        <v>5.7416</v>
      </c>
      <c r="C4723" s="2">
        <f t="shared" si="73"/>
        <v>-1.3631070770261442E-2</v>
      </c>
    </row>
    <row r="4724" spans="1:3" x14ac:dyDescent="0.2">
      <c r="A4724" s="3">
        <v>38876</v>
      </c>
      <c r="B4724" s="2">
        <v>5.8204000000000002</v>
      </c>
      <c r="C4724" s="2">
        <f t="shared" si="73"/>
        <v>-9.9496504192825054E-3</v>
      </c>
    </row>
    <row r="4725" spans="1:3" x14ac:dyDescent="0.2">
      <c r="A4725" s="3">
        <v>38875</v>
      </c>
      <c r="B4725" s="2">
        <v>5.8785999999999996</v>
      </c>
      <c r="C4725" s="2">
        <f t="shared" si="73"/>
        <v>2.8434336877350887E-2</v>
      </c>
    </row>
    <row r="4726" spans="1:3" x14ac:dyDescent="0.2">
      <c r="A4726" s="3">
        <v>38874</v>
      </c>
      <c r="B4726" s="2">
        <v>5.7138</v>
      </c>
      <c r="C4726" s="2">
        <f t="shared" si="73"/>
        <v>-3.9043663202180744E-2</v>
      </c>
    </row>
    <row r="4727" spans="1:3" x14ac:dyDescent="0.2">
      <c r="A4727" s="3">
        <v>38873</v>
      </c>
      <c r="B4727" s="2">
        <v>5.9413</v>
      </c>
      <c r="C4727" s="2">
        <f t="shared" si="73"/>
        <v>-6.0075358554651931E-3</v>
      </c>
    </row>
    <row r="4728" spans="1:3" x14ac:dyDescent="0.2">
      <c r="A4728" s="3">
        <v>38870</v>
      </c>
      <c r="B4728" s="2">
        <v>5.9771000000000001</v>
      </c>
      <c r="C4728" s="2">
        <f t="shared" si="73"/>
        <v>1.1002062394181701E-2</v>
      </c>
    </row>
    <row r="4729" spans="1:3" x14ac:dyDescent="0.2">
      <c r="A4729" s="3">
        <v>38869</v>
      </c>
      <c r="B4729" s="2">
        <v>5.9116999999999997</v>
      </c>
      <c r="C4729" s="2">
        <f t="shared" si="73"/>
        <v>-1.0550236255883935E-2</v>
      </c>
    </row>
    <row r="4730" spans="1:3" x14ac:dyDescent="0.2">
      <c r="A4730" s="3">
        <v>38868</v>
      </c>
      <c r="B4730" s="2">
        <v>5.9744000000000002</v>
      </c>
      <c r="C4730" s="2">
        <f t="shared" si="73"/>
        <v>3.911895078973595E-2</v>
      </c>
    </row>
    <row r="4731" spans="1:3" x14ac:dyDescent="0.2">
      <c r="A4731" s="3">
        <v>38867</v>
      </c>
      <c r="B4731" s="2">
        <v>5.7451999999999996</v>
      </c>
      <c r="C4731" s="2">
        <f t="shared" si="73"/>
        <v>-2.8281107842476338E-2</v>
      </c>
    </row>
    <row r="4732" spans="1:3" x14ac:dyDescent="0.2">
      <c r="A4732" s="3">
        <v>38866</v>
      </c>
      <c r="B4732" s="2">
        <v>5.91</v>
      </c>
      <c r="C4732" s="2">
        <f t="shared" si="73"/>
        <v>-3.7661647414079088E-3</v>
      </c>
    </row>
    <row r="4733" spans="1:3" x14ac:dyDescent="0.2">
      <c r="A4733" s="3">
        <v>38863</v>
      </c>
      <c r="B4733" s="2">
        <v>5.9322999999999997</v>
      </c>
      <c r="C4733" s="2">
        <f t="shared" si="73"/>
        <v>1.1068566215691909E-2</v>
      </c>
    </row>
    <row r="4734" spans="1:3" x14ac:dyDescent="0.2">
      <c r="A4734" s="3">
        <v>38862</v>
      </c>
      <c r="B4734" s="2">
        <v>5.867</v>
      </c>
      <c r="C4734" s="2">
        <f t="shared" si="73"/>
        <v>1.2762189065280207E-2</v>
      </c>
    </row>
    <row r="4735" spans="1:3" x14ac:dyDescent="0.2">
      <c r="A4735" s="3">
        <v>38861</v>
      </c>
      <c r="B4735" s="2">
        <v>5.7926000000000002</v>
      </c>
      <c r="C4735" s="2">
        <f t="shared" si="73"/>
        <v>-1.8627118183382966E-3</v>
      </c>
    </row>
    <row r="4736" spans="1:3" x14ac:dyDescent="0.2">
      <c r="A4736" s="3">
        <v>38860</v>
      </c>
      <c r="B4736" s="2">
        <v>5.8033999999999999</v>
      </c>
      <c r="C4736" s="2">
        <f t="shared" si="73"/>
        <v>5.2423942416436428E-2</v>
      </c>
    </row>
    <row r="4737" spans="1:3" x14ac:dyDescent="0.2">
      <c r="A4737" s="3">
        <v>38859</v>
      </c>
      <c r="B4737" s="2">
        <v>5.5069999999999997</v>
      </c>
      <c r="C4737" s="2">
        <f t="shared" si="73"/>
        <v>-7.560494446711287E-2</v>
      </c>
    </row>
    <row r="4738" spans="1:3" x14ac:dyDescent="0.2">
      <c r="A4738" s="3">
        <v>38856</v>
      </c>
      <c r="B4738" s="2">
        <v>5.9394999999999998</v>
      </c>
      <c r="C4738" s="2">
        <f t="shared" si="73"/>
        <v>1.2128136193390215E-2</v>
      </c>
    </row>
    <row r="4739" spans="1:3" x14ac:dyDescent="0.2">
      <c r="A4739" s="3">
        <v>38855</v>
      </c>
      <c r="B4739" s="2">
        <v>5.8678999999999997</v>
      </c>
      <c r="C4739" s="2">
        <f t="shared" ref="C4739:C4802" si="74">+LN(B4739/B4740)</f>
        <v>-2.0828289135808014E-2</v>
      </c>
    </row>
    <row r="4740" spans="1:3" x14ac:dyDescent="0.2">
      <c r="A4740" s="3">
        <v>38854</v>
      </c>
      <c r="B4740" s="2">
        <v>5.9913999999999996</v>
      </c>
      <c r="C4740" s="2">
        <f t="shared" si="74"/>
        <v>7.3373308489438887E-3</v>
      </c>
    </row>
    <row r="4741" spans="1:3" x14ac:dyDescent="0.2">
      <c r="A4741" s="3">
        <v>38853</v>
      </c>
      <c r="B4741" s="2">
        <v>5.9476000000000004</v>
      </c>
      <c r="C4741" s="2">
        <f t="shared" si="74"/>
        <v>-2.2033366370308997E-2</v>
      </c>
    </row>
    <row r="4742" spans="1:3" x14ac:dyDescent="0.2">
      <c r="A4742" s="3">
        <v>38852</v>
      </c>
      <c r="B4742" s="2">
        <v>6.0800999999999998</v>
      </c>
      <c r="C4742" s="2">
        <f t="shared" si="74"/>
        <v>-2.9397053548228078E-3</v>
      </c>
    </row>
    <row r="4743" spans="1:3" x14ac:dyDescent="0.2">
      <c r="A4743" s="3">
        <v>38849</v>
      </c>
      <c r="B4743" s="2">
        <v>6.0979999999999999</v>
      </c>
      <c r="C4743" s="2">
        <f t="shared" si="74"/>
        <v>-3.0220904248536518E-2</v>
      </c>
    </row>
    <row r="4744" spans="1:3" x14ac:dyDescent="0.2">
      <c r="A4744" s="3">
        <v>38848</v>
      </c>
      <c r="B4744" s="2">
        <v>6.2850999999999999</v>
      </c>
      <c r="C4744" s="2">
        <f t="shared" si="74"/>
        <v>1.1167758703142133E-2</v>
      </c>
    </row>
    <row r="4745" spans="1:3" x14ac:dyDescent="0.2">
      <c r="A4745" s="3">
        <v>38847</v>
      </c>
      <c r="B4745" s="2">
        <v>6.2153</v>
      </c>
      <c r="C4745" s="2">
        <f t="shared" si="74"/>
        <v>-6.8945886247559129E-3</v>
      </c>
    </row>
    <row r="4746" spans="1:3" x14ac:dyDescent="0.2">
      <c r="A4746" s="3">
        <v>38846</v>
      </c>
      <c r="B4746" s="2">
        <v>6.2583000000000002</v>
      </c>
      <c r="C4746" s="2">
        <f t="shared" si="74"/>
        <v>-8.4014050897429204E-3</v>
      </c>
    </row>
    <row r="4747" spans="1:3" x14ac:dyDescent="0.2">
      <c r="A4747" s="3">
        <v>38845</v>
      </c>
      <c r="B4747" s="2">
        <v>6.3110999999999997</v>
      </c>
      <c r="C4747" s="2">
        <f t="shared" si="74"/>
        <v>3.2006853396671961E-2</v>
      </c>
    </row>
    <row r="4748" spans="1:3" x14ac:dyDescent="0.2">
      <c r="A4748" s="3">
        <v>38842</v>
      </c>
      <c r="B4748" s="2">
        <v>6.1123000000000003</v>
      </c>
      <c r="C4748" s="2">
        <f t="shared" si="74"/>
        <v>-1.049720358318483E-2</v>
      </c>
    </row>
    <row r="4749" spans="1:3" x14ac:dyDescent="0.2">
      <c r="A4749" s="3">
        <v>38841</v>
      </c>
      <c r="B4749" s="2">
        <v>6.1768000000000001</v>
      </c>
      <c r="C4749" s="2">
        <f t="shared" si="74"/>
        <v>-2.0216566674038797E-3</v>
      </c>
    </row>
    <row r="4750" spans="1:3" x14ac:dyDescent="0.2">
      <c r="A4750" s="3">
        <v>38840</v>
      </c>
      <c r="B4750" s="2">
        <v>6.1893000000000002</v>
      </c>
      <c r="C4750" s="2">
        <f t="shared" si="74"/>
        <v>-5.9120773395436406E-3</v>
      </c>
    </row>
    <row r="4751" spans="1:3" x14ac:dyDescent="0.2">
      <c r="A4751" s="3">
        <v>38839</v>
      </c>
      <c r="B4751" s="2">
        <v>6.226</v>
      </c>
      <c r="C4751" s="2">
        <f t="shared" si="74"/>
        <v>2.7342196366608143E-3</v>
      </c>
    </row>
    <row r="4752" spans="1:3" x14ac:dyDescent="0.2">
      <c r="A4752" s="3">
        <v>38835</v>
      </c>
      <c r="B4752" s="2">
        <v>6.2089999999999996</v>
      </c>
      <c r="C4752" s="2">
        <f t="shared" si="74"/>
        <v>-1.7307878725875893E-2</v>
      </c>
    </row>
    <row r="4753" spans="1:3" x14ac:dyDescent="0.2">
      <c r="A4753" s="3">
        <v>38834</v>
      </c>
      <c r="B4753" s="2">
        <v>6.3174000000000001</v>
      </c>
      <c r="C4753" s="2">
        <f t="shared" si="74"/>
        <v>-1.4910289818046043E-2</v>
      </c>
    </row>
    <row r="4754" spans="1:3" x14ac:dyDescent="0.2">
      <c r="A4754" s="3">
        <v>38833</v>
      </c>
      <c r="B4754" s="2">
        <v>6.4123000000000001</v>
      </c>
      <c r="C4754" s="2">
        <f t="shared" si="74"/>
        <v>-1.7576177244451156E-2</v>
      </c>
    </row>
    <row r="4755" spans="1:3" x14ac:dyDescent="0.2">
      <c r="A4755" s="3">
        <v>38832</v>
      </c>
      <c r="B4755" s="2">
        <v>6.5259999999999998</v>
      </c>
      <c r="C4755" s="2">
        <f t="shared" si="74"/>
        <v>1.3669466282510425E-2</v>
      </c>
    </row>
    <row r="4756" spans="1:3" x14ac:dyDescent="0.2">
      <c r="A4756" s="3">
        <v>38831</v>
      </c>
      <c r="B4756" s="2">
        <v>6.4374000000000002</v>
      </c>
      <c r="C4756" s="2">
        <f t="shared" si="74"/>
        <v>3.136893365388109E-2</v>
      </c>
    </row>
    <row r="4757" spans="1:3" x14ac:dyDescent="0.2">
      <c r="A4757" s="3">
        <v>38828</v>
      </c>
      <c r="B4757" s="2">
        <v>6.2385999999999999</v>
      </c>
      <c r="C4757" s="2">
        <f t="shared" si="74"/>
        <v>7.9338035548645672E-3</v>
      </c>
    </row>
    <row r="4758" spans="1:3" x14ac:dyDescent="0.2">
      <c r="A4758" s="3">
        <v>38827</v>
      </c>
      <c r="B4758" s="2">
        <v>6.1893000000000002</v>
      </c>
      <c r="C4758" s="2">
        <f t="shared" si="74"/>
        <v>1.7504847519752034E-2</v>
      </c>
    </row>
    <row r="4759" spans="1:3" x14ac:dyDescent="0.2">
      <c r="A4759" s="3">
        <v>38826</v>
      </c>
      <c r="B4759" s="2">
        <v>6.0819000000000001</v>
      </c>
      <c r="C4759" s="2">
        <f t="shared" si="74"/>
        <v>3.8875485916355791E-2</v>
      </c>
    </row>
    <row r="4760" spans="1:3" x14ac:dyDescent="0.2">
      <c r="A4760" s="3">
        <v>38825</v>
      </c>
      <c r="B4760" s="2">
        <v>5.85</v>
      </c>
      <c r="C4760" s="2">
        <f t="shared" si="74"/>
        <v>-1.2165021405989388E-2</v>
      </c>
    </row>
    <row r="4761" spans="1:3" x14ac:dyDescent="0.2">
      <c r="A4761" s="3">
        <v>38820</v>
      </c>
      <c r="B4761" s="2">
        <v>5.9215999999999998</v>
      </c>
      <c r="C4761" s="2">
        <f t="shared" si="74"/>
        <v>2.9459003114644913E-2</v>
      </c>
    </row>
    <row r="4762" spans="1:3" x14ac:dyDescent="0.2">
      <c r="A4762" s="3">
        <v>38819</v>
      </c>
      <c r="B4762" s="2">
        <v>5.7496999999999998</v>
      </c>
      <c r="C4762" s="2">
        <f t="shared" si="74"/>
        <v>-1.2375924962981389E-2</v>
      </c>
    </row>
    <row r="4763" spans="1:3" x14ac:dyDescent="0.2">
      <c r="A4763" s="3">
        <v>38818</v>
      </c>
      <c r="B4763" s="2">
        <v>5.8212999999999999</v>
      </c>
      <c r="C4763" s="2">
        <f t="shared" si="74"/>
        <v>-1.222463192811225E-2</v>
      </c>
    </row>
    <row r="4764" spans="1:3" x14ac:dyDescent="0.2">
      <c r="A4764" s="3">
        <v>38817</v>
      </c>
      <c r="B4764" s="2">
        <v>5.8929</v>
      </c>
      <c r="C4764" s="2">
        <f t="shared" si="74"/>
        <v>-1.0281434739910588E-2</v>
      </c>
    </row>
    <row r="4765" spans="1:3" x14ac:dyDescent="0.2">
      <c r="A4765" s="3">
        <v>38814</v>
      </c>
      <c r="B4765" s="2">
        <v>5.9538000000000002</v>
      </c>
      <c r="C4765" s="2">
        <f t="shared" si="74"/>
        <v>3.7693983310794427E-3</v>
      </c>
    </row>
    <row r="4766" spans="1:3" x14ac:dyDescent="0.2">
      <c r="A4766" s="3">
        <v>38813</v>
      </c>
      <c r="B4766" s="2">
        <v>5.9314</v>
      </c>
      <c r="C4766" s="2">
        <f t="shared" si="74"/>
        <v>-1.0665515644443306E-2</v>
      </c>
    </row>
    <row r="4767" spans="1:3" x14ac:dyDescent="0.2">
      <c r="A4767" s="3">
        <v>38812</v>
      </c>
      <c r="B4767" s="2">
        <v>5.9950000000000001</v>
      </c>
      <c r="C4767" s="2">
        <f t="shared" si="74"/>
        <v>5.3856190653395518E-3</v>
      </c>
    </row>
    <row r="4768" spans="1:3" x14ac:dyDescent="0.2">
      <c r="A4768" s="3">
        <v>38811</v>
      </c>
      <c r="B4768" s="2">
        <v>5.9627999999999997</v>
      </c>
      <c r="C4768" s="2">
        <f t="shared" si="74"/>
        <v>1.8346654131332751E-2</v>
      </c>
    </row>
    <row r="4769" spans="1:3" x14ac:dyDescent="0.2">
      <c r="A4769" s="3">
        <v>38810</v>
      </c>
      <c r="B4769" s="2">
        <v>5.8544</v>
      </c>
      <c r="C4769" s="2">
        <f t="shared" si="74"/>
        <v>1.0146271064868923E-2</v>
      </c>
    </row>
    <row r="4770" spans="1:3" x14ac:dyDescent="0.2">
      <c r="A4770" s="3">
        <v>38807</v>
      </c>
      <c r="B4770" s="2">
        <v>5.7953000000000001</v>
      </c>
      <c r="C4770" s="2">
        <f t="shared" si="74"/>
        <v>-1.5036589650121548E-2</v>
      </c>
    </row>
    <row r="4771" spans="1:3" x14ac:dyDescent="0.2">
      <c r="A4771" s="3">
        <v>38806</v>
      </c>
      <c r="B4771" s="2">
        <v>5.8830999999999998</v>
      </c>
      <c r="C4771" s="2">
        <f t="shared" si="74"/>
        <v>5.9499122789756402E-3</v>
      </c>
    </row>
    <row r="4772" spans="1:3" x14ac:dyDescent="0.2">
      <c r="A4772" s="3">
        <v>38805</v>
      </c>
      <c r="B4772" s="2">
        <v>5.8482000000000003</v>
      </c>
      <c r="C4772" s="2">
        <f t="shared" si="74"/>
        <v>8.6208910896185438E-3</v>
      </c>
    </row>
    <row r="4773" spans="1:3" x14ac:dyDescent="0.2">
      <c r="A4773" s="3">
        <v>38804</v>
      </c>
      <c r="B4773" s="2">
        <v>5.798</v>
      </c>
      <c r="C4773" s="2">
        <f t="shared" si="74"/>
        <v>-3.1776724827663506E-2</v>
      </c>
    </row>
    <row r="4774" spans="1:3" x14ac:dyDescent="0.2">
      <c r="A4774" s="3">
        <v>38803</v>
      </c>
      <c r="B4774" s="2">
        <v>5.9851999999999999</v>
      </c>
      <c r="C4774" s="2">
        <f t="shared" si="74"/>
        <v>-8.4849195557152642E-3</v>
      </c>
    </row>
    <row r="4775" spans="1:3" x14ac:dyDescent="0.2">
      <c r="A4775" s="3">
        <v>38800</v>
      </c>
      <c r="B4775" s="2">
        <v>6.0362</v>
      </c>
      <c r="C4775" s="2">
        <f t="shared" si="74"/>
        <v>2.737504477619709E-2</v>
      </c>
    </row>
    <row r="4776" spans="1:3" x14ac:dyDescent="0.2">
      <c r="A4776" s="3">
        <v>38799</v>
      </c>
      <c r="B4776" s="2">
        <v>5.8731999999999998</v>
      </c>
      <c r="C4776" s="2">
        <f t="shared" si="74"/>
        <v>1.9548964722221333E-2</v>
      </c>
    </row>
    <row r="4777" spans="1:3" x14ac:dyDescent="0.2">
      <c r="A4777" s="3">
        <v>38798</v>
      </c>
      <c r="B4777" s="2">
        <v>5.7595000000000001</v>
      </c>
      <c r="C4777" s="2">
        <f t="shared" si="74"/>
        <v>-2.479777223849003E-3</v>
      </c>
    </row>
    <row r="4778" spans="1:3" x14ac:dyDescent="0.2">
      <c r="A4778" s="3">
        <v>38797</v>
      </c>
      <c r="B4778" s="2">
        <v>5.7737999999999996</v>
      </c>
      <c r="C4778" s="2">
        <f t="shared" si="74"/>
        <v>-6.9555592428962891E-3</v>
      </c>
    </row>
    <row r="4779" spans="1:3" x14ac:dyDescent="0.2">
      <c r="A4779" s="3">
        <v>38796</v>
      </c>
      <c r="B4779" s="2">
        <v>5.8140999999999998</v>
      </c>
      <c r="C4779" s="2">
        <f t="shared" si="74"/>
        <v>5.7093237508303125E-3</v>
      </c>
    </row>
    <row r="4780" spans="1:3" x14ac:dyDescent="0.2">
      <c r="A4780" s="3">
        <v>38793</v>
      </c>
      <c r="B4780" s="2">
        <v>5.7809999999999997</v>
      </c>
      <c r="C4780" s="2">
        <f t="shared" si="74"/>
        <v>4.2889083637842711E-2</v>
      </c>
    </row>
    <row r="4781" spans="1:3" x14ac:dyDescent="0.2">
      <c r="A4781" s="3">
        <v>38792</v>
      </c>
      <c r="B4781" s="2">
        <v>5.5382999999999996</v>
      </c>
      <c r="C4781" s="2">
        <f t="shared" si="74"/>
        <v>5.3407808603740947E-3</v>
      </c>
    </row>
    <row r="4782" spans="1:3" x14ac:dyDescent="0.2">
      <c r="A4782" s="3">
        <v>38791</v>
      </c>
      <c r="B4782" s="2">
        <v>5.5087999999999999</v>
      </c>
      <c r="C4782" s="2">
        <f t="shared" si="74"/>
        <v>-3.5697173981972222E-3</v>
      </c>
    </row>
    <row r="4783" spans="1:3" x14ac:dyDescent="0.2">
      <c r="A4783" s="3">
        <v>38790</v>
      </c>
      <c r="B4783" s="2">
        <v>5.5285000000000002</v>
      </c>
      <c r="C4783" s="2">
        <f t="shared" si="74"/>
        <v>4.8849769839635513E-4</v>
      </c>
    </row>
    <row r="4784" spans="1:3" x14ac:dyDescent="0.2">
      <c r="A4784" s="3">
        <v>38789</v>
      </c>
      <c r="B4784" s="2">
        <v>5.5258000000000003</v>
      </c>
      <c r="C4784" s="2">
        <f t="shared" si="74"/>
        <v>5.3528947187517781E-3</v>
      </c>
    </row>
    <row r="4785" spans="1:3" x14ac:dyDescent="0.2">
      <c r="A4785" s="3">
        <v>38786</v>
      </c>
      <c r="B4785" s="2">
        <v>5.4962999999999997</v>
      </c>
      <c r="C4785" s="2">
        <f t="shared" si="74"/>
        <v>-3.7228434640108397E-3</v>
      </c>
    </row>
    <row r="4786" spans="1:3" x14ac:dyDescent="0.2">
      <c r="A4786" s="3">
        <v>38785</v>
      </c>
      <c r="B4786" s="2">
        <v>5.5167999999999999</v>
      </c>
      <c r="C4786" s="2">
        <f t="shared" si="74"/>
        <v>1.1244718888028982E-3</v>
      </c>
    </row>
    <row r="4787" spans="1:3" x14ac:dyDescent="0.2">
      <c r="A4787" s="3">
        <v>38784</v>
      </c>
      <c r="B4787" s="2">
        <v>5.5106000000000002</v>
      </c>
      <c r="C4787" s="2">
        <f t="shared" si="74"/>
        <v>2.2016814178604932E-2</v>
      </c>
    </row>
    <row r="4788" spans="1:3" x14ac:dyDescent="0.2">
      <c r="A4788" s="3">
        <v>38783</v>
      </c>
      <c r="B4788" s="2">
        <v>5.3906000000000001</v>
      </c>
      <c r="C4788" s="2">
        <f t="shared" si="74"/>
        <v>9.1876269428813207E-3</v>
      </c>
    </row>
    <row r="4789" spans="1:3" x14ac:dyDescent="0.2">
      <c r="A4789" s="3">
        <v>38782</v>
      </c>
      <c r="B4789" s="2">
        <v>5.3413000000000004</v>
      </c>
      <c r="C4789" s="2">
        <f t="shared" si="74"/>
        <v>-2.8603764162562469E-3</v>
      </c>
    </row>
    <row r="4790" spans="1:3" x14ac:dyDescent="0.2">
      <c r="A4790" s="3">
        <v>38779</v>
      </c>
      <c r="B4790" s="2">
        <v>5.3566000000000003</v>
      </c>
      <c r="C4790" s="2">
        <f t="shared" si="74"/>
        <v>2.0615786854159327E-2</v>
      </c>
    </row>
    <row r="4791" spans="1:3" x14ac:dyDescent="0.2">
      <c r="A4791" s="3">
        <v>38778</v>
      </c>
      <c r="B4791" s="2">
        <v>5.2473000000000001</v>
      </c>
      <c r="C4791" s="2">
        <f t="shared" si="74"/>
        <v>2.1731190942777368E-2</v>
      </c>
    </row>
    <row r="4792" spans="1:3" x14ac:dyDescent="0.2">
      <c r="A4792" s="3">
        <v>38777</v>
      </c>
      <c r="B4792" s="2">
        <v>5.1345000000000001</v>
      </c>
      <c r="C4792" s="2">
        <f t="shared" si="74"/>
        <v>-2.2566785835154389E-3</v>
      </c>
    </row>
    <row r="4793" spans="1:3" x14ac:dyDescent="0.2">
      <c r="A4793" s="3">
        <v>38776</v>
      </c>
      <c r="B4793" s="2">
        <v>5.1460999999999997</v>
      </c>
      <c r="C4793" s="2">
        <f t="shared" si="74"/>
        <v>-6.7782426998422001E-3</v>
      </c>
    </row>
    <row r="4794" spans="1:3" x14ac:dyDescent="0.2">
      <c r="A4794" s="3">
        <v>38775</v>
      </c>
      <c r="B4794" s="2">
        <v>5.1810999999999998</v>
      </c>
      <c r="C4794" s="2">
        <f t="shared" si="74"/>
        <v>2.361138072961599E-2</v>
      </c>
    </row>
    <row r="4795" spans="1:3" x14ac:dyDescent="0.2">
      <c r="A4795" s="3">
        <v>38772</v>
      </c>
      <c r="B4795" s="2">
        <v>5.0602</v>
      </c>
      <c r="C4795" s="2">
        <f t="shared" si="74"/>
        <v>-3.531167671070012E-3</v>
      </c>
    </row>
    <row r="4796" spans="1:3" x14ac:dyDescent="0.2">
      <c r="A4796" s="3">
        <v>38771</v>
      </c>
      <c r="B4796" s="2">
        <v>5.0781000000000001</v>
      </c>
      <c r="C4796" s="2">
        <f t="shared" si="74"/>
        <v>-7.552980083229072E-3</v>
      </c>
    </row>
    <row r="4797" spans="1:3" x14ac:dyDescent="0.2">
      <c r="A4797" s="3">
        <v>38770</v>
      </c>
      <c r="B4797" s="2">
        <v>5.1166</v>
      </c>
      <c r="C4797" s="2">
        <f t="shared" si="74"/>
        <v>-9.3955853356997437E-3</v>
      </c>
    </row>
    <row r="4798" spans="1:3" x14ac:dyDescent="0.2">
      <c r="A4798" s="3">
        <v>38769</v>
      </c>
      <c r="B4798" s="2">
        <v>5.1649000000000003</v>
      </c>
      <c r="C4798" s="2">
        <f t="shared" si="74"/>
        <v>3.8215000775296431E-3</v>
      </c>
    </row>
    <row r="4799" spans="1:3" x14ac:dyDescent="0.2">
      <c r="A4799" s="3">
        <v>38768</v>
      </c>
      <c r="B4799" s="2">
        <v>5.1452</v>
      </c>
      <c r="C4799" s="2">
        <f t="shared" si="74"/>
        <v>7.3346146540344331E-3</v>
      </c>
    </row>
    <row r="4800" spans="1:3" x14ac:dyDescent="0.2">
      <c r="A4800" s="3">
        <v>38765</v>
      </c>
      <c r="B4800" s="2">
        <v>5.1075999999999997</v>
      </c>
      <c r="C4800" s="2">
        <f t="shared" si="74"/>
        <v>1.0382081070455247E-3</v>
      </c>
    </row>
    <row r="4801" spans="1:3" x14ac:dyDescent="0.2">
      <c r="A4801" s="3">
        <v>38764</v>
      </c>
      <c r="B4801" s="2">
        <v>5.1022999999999996</v>
      </c>
      <c r="C4801" s="2">
        <f t="shared" si="74"/>
        <v>1.2007597173392373E-2</v>
      </c>
    </row>
    <row r="4802" spans="1:3" x14ac:dyDescent="0.2">
      <c r="A4802" s="3">
        <v>38763</v>
      </c>
      <c r="B4802" s="2">
        <v>5.0414000000000003</v>
      </c>
      <c r="C4802" s="2">
        <f t="shared" si="74"/>
        <v>2.22839831577782E-2</v>
      </c>
    </row>
    <row r="4803" spans="1:3" x14ac:dyDescent="0.2">
      <c r="A4803" s="3">
        <v>38762</v>
      </c>
      <c r="B4803" s="2">
        <v>4.9302999999999999</v>
      </c>
      <c r="C4803" s="2">
        <f t="shared" ref="C4803:C4818" si="75">+LN(B4803/B4804)</f>
        <v>5.6341614935933966E-3</v>
      </c>
    </row>
    <row r="4804" spans="1:3" x14ac:dyDescent="0.2">
      <c r="A4804" s="3">
        <v>38761</v>
      </c>
      <c r="B4804" s="2">
        <v>4.9025999999999996</v>
      </c>
      <c r="C4804" s="2">
        <f t="shared" si="75"/>
        <v>-2.256803890954635E-2</v>
      </c>
    </row>
    <row r="4805" spans="1:3" x14ac:dyDescent="0.2">
      <c r="A4805" s="3">
        <v>38758</v>
      </c>
      <c r="B4805" s="2">
        <v>5.0145</v>
      </c>
      <c r="C4805" s="2">
        <f t="shared" si="75"/>
        <v>-6.2224985325022028E-3</v>
      </c>
    </row>
    <row r="4806" spans="1:3" x14ac:dyDescent="0.2">
      <c r="A4806" s="3">
        <v>38757</v>
      </c>
      <c r="B4806" s="2">
        <v>5.0457999999999998</v>
      </c>
      <c r="C4806" s="2">
        <f t="shared" si="75"/>
        <v>-7.132102687615919E-4</v>
      </c>
    </row>
    <row r="4807" spans="1:3" x14ac:dyDescent="0.2">
      <c r="A4807" s="3">
        <v>38756</v>
      </c>
      <c r="B4807" s="2">
        <v>5.0494000000000003</v>
      </c>
      <c r="C4807" s="2">
        <f t="shared" si="75"/>
        <v>4.2670224408772198E-3</v>
      </c>
    </row>
    <row r="4808" spans="1:3" x14ac:dyDescent="0.2">
      <c r="A4808" s="3">
        <v>38755</v>
      </c>
      <c r="B4808" s="2">
        <v>5.0278999999999998</v>
      </c>
      <c r="C4808" s="2">
        <f t="shared" si="75"/>
        <v>-1.6097142755882342E-3</v>
      </c>
    </row>
    <row r="4809" spans="1:3" x14ac:dyDescent="0.2">
      <c r="A4809" s="3">
        <v>38754</v>
      </c>
      <c r="B4809" s="2">
        <v>5.0359999999999996</v>
      </c>
      <c r="C4809" s="2">
        <f t="shared" si="75"/>
        <v>-9.2108255013225743E-3</v>
      </c>
    </row>
    <row r="4810" spans="1:3" x14ac:dyDescent="0.2">
      <c r="A4810" s="3">
        <v>38751</v>
      </c>
      <c r="B4810" s="2">
        <v>5.0826000000000002</v>
      </c>
      <c r="C4810" s="2">
        <f t="shared" si="75"/>
        <v>-4.906684884965676E-3</v>
      </c>
    </row>
    <row r="4811" spans="1:3" x14ac:dyDescent="0.2">
      <c r="A4811" s="3">
        <v>38750</v>
      </c>
      <c r="B4811" s="2">
        <v>5.1075999999999997</v>
      </c>
      <c r="C4811" s="2">
        <f t="shared" si="75"/>
        <v>5.4380502111214752E-3</v>
      </c>
    </row>
    <row r="4812" spans="1:3" x14ac:dyDescent="0.2">
      <c r="A4812" s="3">
        <v>38749</v>
      </c>
      <c r="B4812" s="2">
        <v>5.0799000000000003</v>
      </c>
      <c r="C4812" s="2">
        <f t="shared" si="75"/>
        <v>1.8697704374902254E-2</v>
      </c>
    </row>
    <row r="4813" spans="1:3" x14ac:dyDescent="0.2">
      <c r="A4813" s="3">
        <v>38748</v>
      </c>
      <c r="B4813" s="2">
        <v>4.9858000000000002</v>
      </c>
      <c r="C4813" s="2">
        <f t="shared" si="75"/>
        <v>-6.2781371860172932E-3</v>
      </c>
    </row>
    <row r="4814" spans="1:3" x14ac:dyDescent="0.2">
      <c r="A4814" s="3">
        <v>38747</v>
      </c>
      <c r="B4814" s="2">
        <v>5.0171999999999999</v>
      </c>
      <c r="C4814" s="2">
        <f t="shared" si="75"/>
        <v>6.9803773609419684E-3</v>
      </c>
    </row>
    <row r="4815" spans="1:3" x14ac:dyDescent="0.2">
      <c r="A4815" s="3">
        <v>38744</v>
      </c>
      <c r="B4815" s="2">
        <v>4.9823000000000004</v>
      </c>
      <c r="C4815" s="2">
        <f t="shared" si="75"/>
        <v>5.2321371849224996E-3</v>
      </c>
    </row>
    <row r="4816" spans="1:3" x14ac:dyDescent="0.2">
      <c r="A4816" s="3">
        <v>38743</v>
      </c>
      <c r="B4816" s="2">
        <v>4.9562999999999997</v>
      </c>
      <c r="C4816" s="2">
        <f t="shared" si="75"/>
        <v>3.0715161456542155E-3</v>
      </c>
    </row>
    <row r="4817" spans="1:3" x14ac:dyDescent="0.2">
      <c r="A4817" s="3">
        <v>38742</v>
      </c>
      <c r="B4817" s="2">
        <v>4.9410999999999996</v>
      </c>
      <c r="C4817" s="2">
        <f t="shared" si="75"/>
        <v>5.4658637931483405E-4</v>
      </c>
    </row>
    <row r="4818" spans="1:3" x14ac:dyDescent="0.2">
      <c r="A4818" s="3">
        <v>38741</v>
      </c>
      <c r="B4818" s="2">
        <v>4.9383999999999997</v>
      </c>
      <c r="C4818" s="2">
        <f t="shared" si="75"/>
        <v>2.189337991866993E-3</v>
      </c>
    </row>
    <row r="4819" spans="1:3" x14ac:dyDescent="0.2">
      <c r="A4819" s="3">
        <v>38740</v>
      </c>
      <c r="B4819" s="2">
        <v>4.9276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275-90B2-5148-87E9-8D056ABBC725}">
  <dimension ref="A1:L64"/>
  <sheetViews>
    <sheetView workbookViewId="0">
      <selection activeCell="B9" sqref="B2:B9"/>
    </sheetView>
  </sheetViews>
  <sheetFormatPr baseColWidth="10" defaultRowHeight="15" x14ac:dyDescent="0.2"/>
  <sheetData>
    <row r="1" spans="1:12" x14ac:dyDescent="0.2">
      <c r="A1" s="13" t="s">
        <v>12</v>
      </c>
      <c r="B1" s="12" t="s">
        <v>11</v>
      </c>
      <c r="C1" s="11" t="s">
        <v>10</v>
      </c>
      <c r="D1" s="12" t="s">
        <v>9</v>
      </c>
      <c r="E1" s="12" t="s">
        <v>8</v>
      </c>
      <c r="F1" s="11" t="s">
        <v>7</v>
      </c>
      <c r="G1" s="12" t="s">
        <v>6</v>
      </c>
      <c r="H1" s="11" t="s">
        <v>5</v>
      </c>
    </row>
    <row r="2" spans="1:12" x14ac:dyDescent="0.2">
      <c r="A2" s="10">
        <v>45930</v>
      </c>
      <c r="B2">
        <v>499.20699999999999</v>
      </c>
      <c r="C2" s="9">
        <f t="shared" ref="C2:C33" si="0">+LN(B2/B3)</f>
        <v>-0.10657410488134915</v>
      </c>
      <c r="D2">
        <v>173.845</v>
      </c>
      <c r="E2">
        <f t="shared" ref="E2:E33" si="1">+B2-D2</f>
        <v>325.36199999999997</v>
      </c>
      <c r="F2" s="9">
        <f t="shared" ref="F2:F33" si="2">+E2/B2</f>
        <v>0.6517576876926805</v>
      </c>
      <c r="G2">
        <v>113.673</v>
      </c>
      <c r="H2" s="8">
        <f t="shared" ref="H2:H33" si="3">+B2-E2-G2</f>
        <v>60.172000000000025</v>
      </c>
      <c r="J2">
        <f>+B2*4</f>
        <v>1996.828</v>
      </c>
      <c r="L2">
        <f>+CORREL(C2:C62,C3:C63)</f>
        <v>-3.6837699243898202E-2</v>
      </c>
    </row>
    <row r="3" spans="1:12" x14ac:dyDescent="0.2">
      <c r="A3" s="10">
        <v>45838</v>
      </c>
      <c r="B3">
        <v>555.34799999999996</v>
      </c>
      <c r="C3" s="9">
        <f t="shared" si="0"/>
        <v>6.2741864258213251E-2</v>
      </c>
      <c r="D3">
        <v>206.06800000000001</v>
      </c>
      <c r="E3">
        <f t="shared" si="1"/>
        <v>349.28</v>
      </c>
      <c r="F3" s="9">
        <f t="shared" si="2"/>
        <v>0.62893897159978973</v>
      </c>
      <c r="G3">
        <v>130.333</v>
      </c>
      <c r="H3" s="8">
        <f t="shared" si="3"/>
        <v>75.734999999999985</v>
      </c>
    </row>
    <row r="4" spans="1:12" x14ac:dyDescent="0.2">
      <c r="A4" s="10">
        <v>45747</v>
      </c>
      <c r="B4">
        <v>521.57500000000005</v>
      </c>
      <c r="C4" s="9">
        <f t="shared" si="0"/>
        <v>6.2672203908789845E-2</v>
      </c>
      <c r="D4">
        <v>187.149</v>
      </c>
      <c r="E4">
        <f t="shared" si="1"/>
        <v>334.42600000000004</v>
      </c>
      <c r="F4" s="9">
        <f t="shared" si="2"/>
        <v>0.64118487274121649</v>
      </c>
      <c r="G4">
        <v>116.64400000000001</v>
      </c>
      <c r="H4" s="8">
        <f t="shared" si="3"/>
        <v>70.504999999999995</v>
      </c>
    </row>
    <row r="5" spans="1:12" x14ac:dyDescent="0.2">
      <c r="A5" s="10">
        <v>45657</v>
      </c>
      <c r="B5">
        <v>489.89</v>
      </c>
      <c r="C5" s="9">
        <f t="shared" si="0"/>
        <v>-5.9326821645868926E-3</v>
      </c>
      <c r="D5">
        <v>158.50200000000001</v>
      </c>
      <c r="E5">
        <f t="shared" si="1"/>
        <v>331.38799999999998</v>
      </c>
      <c r="F5" s="9">
        <f t="shared" si="2"/>
        <v>0.67645389781379495</v>
      </c>
      <c r="G5">
        <v>91.102999999999994</v>
      </c>
      <c r="H5" s="8">
        <f t="shared" si="3"/>
        <v>67.399000000000015</v>
      </c>
    </row>
    <row r="6" spans="1:12" x14ac:dyDescent="0.2">
      <c r="A6" s="10">
        <v>45565</v>
      </c>
      <c r="B6">
        <v>492.80500000000001</v>
      </c>
      <c r="C6" s="9">
        <f t="shared" si="0"/>
        <v>-0.10950831239403709</v>
      </c>
      <c r="D6">
        <v>171.78800000000001</v>
      </c>
      <c r="E6">
        <f t="shared" si="1"/>
        <v>321.017</v>
      </c>
      <c r="F6" s="9">
        <f t="shared" si="2"/>
        <v>0.65140775763232917</v>
      </c>
      <c r="G6">
        <v>110.31399999999999</v>
      </c>
      <c r="H6" s="8">
        <f t="shared" si="3"/>
        <v>61.474000000000018</v>
      </c>
    </row>
    <row r="7" spans="1:12" x14ac:dyDescent="0.2">
      <c r="A7" s="10">
        <v>45473</v>
      </c>
      <c r="B7">
        <v>549.83699999999999</v>
      </c>
      <c r="C7" s="9">
        <f t="shared" si="0"/>
        <v>7.2465143372568916E-3</v>
      </c>
      <c r="D7">
        <v>191.68</v>
      </c>
      <c r="E7">
        <f t="shared" si="1"/>
        <v>358.15699999999998</v>
      </c>
      <c r="F7" s="9">
        <f t="shared" si="2"/>
        <v>0.65138759305030403</v>
      </c>
      <c r="G7">
        <v>123.518</v>
      </c>
      <c r="H7" s="8">
        <f t="shared" si="3"/>
        <v>68.162000000000006</v>
      </c>
    </row>
    <row r="8" spans="1:12" x14ac:dyDescent="0.2">
      <c r="A8" s="10">
        <v>45382</v>
      </c>
      <c r="B8">
        <v>545.86699999999996</v>
      </c>
      <c r="C8" s="9">
        <f t="shared" si="0"/>
        <v>4.9321845220793678E-2</v>
      </c>
      <c r="D8">
        <v>191.67599999999999</v>
      </c>
      <c r="E8">
        <f t="shared" si="1"/>
        <v>354.19099999999997</v>
      </c>
      <c r="F8" s="9">
        <f t="shared" si="2"/>
        <v>0.6488595207257446</v>
      </c>
      <c r="G8">
        <v>126.749</v>
      </c>
      <c r="H8" s="8">
        <f t="shared" si="3"/>
        <v>64.926999999999992</v>
      </c>
    </row>
    <row r="9" spans="1:12" x14ac:dyDescent="0.2">
      <c r="A9" s="10">
        <v>45291</v>
      </c>
      <c r="B9">
        <v>519.59699999999998</v>
      </c>
      <c r="C9" s="9">
        <f t="shared" si="0"/>
        <v>-3.0908993439897954E-2</v>
      </c>
      <c r="D9">
        <v>172.79900000000001</v>
      </c>
      <c r="E9">
        <f t="shared" si="1"/>
        <v>346.798</v>
      </c>
      <c r="F9" s="9">
        <f t="shared" si="2"/>
        <v>0.66743649405212124</v>
      </c>
      <c r="G9">
        <v>109.152</v>
      </c>
      <c r="H9" s="8">
        <f t="shared" si="3"/>
        <v>63.646999999999977</v>
      </c>
    </row>
    <row r="10" spans="1:12" x14ac:dyDescent="0.2">
      <c r="A10" s="10">
        <v>45199</v>
      </c>
      <c r="B10">
        <v>535.90800000000002</v>
      </c>
      <c r="C10" s="9">
        <f t="shared" si="0"/>
        <v>-9.9863336141548895E-2</v>
      </c>
      <c r="D10">
        <v>188.14</v>
      </c>
      <c r="E10">
        <f t="shared" si="1"/>
        <v>347.76800000000003</v>
      </c>
      <c r="F10" s="9">
        <f t="shared" si="2"/>
        <v>0.64893227942109466</v>
      </c>
      <c r="G10">
        <v>129.44800000000001</v>
      </c>
      <c r="H10" s="8">
        <f t="shared" si="3"/>
        <v>58.691999999999979</v>
      </c>
    </row>
    <row r="11" spans="1:12" x14ac:dyDescent="0.2">
      <c r="A11" s="10">
        <v>45107</v>
      </c>
      <c r="B11">
        <v>592.18899999999996</v>
      </c>
      <c r="C11" s="9">
        <f t="shared" si="0"/>
        <v>-2.6339472045873848E-4</v>
      </c>
      <c r="D11">
        <v>207.65899999999999</v>
      </c>
      <c r="E11">
        <f t="shared" si="1"/>
        <v>384.53</v>
      </c>
      <c r="F11" s="9">
        <f t="shared" si="2"/>
        <v>0.64933661381754815</v>
      </c>
      <c r="G11">
        <v>144.72399999999999</v>
      </c>
      <c r="H11" s="8">
        <f t="shared" si="3"/>
        <v>62.935000000000002</v>
      </c>
    </row>
    <row r="12" spans="1:12" x14ac:dyDescent="0.2">
      <c r="A12" s="10">
        <v>45016</v>
      </c>
      <c r="B12">
        <v>592.34500000000003</v>
      </c>
      <c r="C12" s="9">
        <f t="shared" si="0"/>
        <v>0.1055209080285585</v>
      </c>
      <c r="D12">
        <v>211.374</v>
      </c>
      <c r="E12">
        <f t="shared" si="1"/>
        <v>380.971</v>
      </c>
      <c r="F12" s="9">
        <f t="shared" si="2"/>
        <v>0.64315728165174013</v>
      </c>
      <c r="G12">
        <v>149.006</v>
      </c>
      <c r="H12" s="8">
        <f t="shared" si="3"/>
        <v>62.368000000000023</v>
      </c>
    </row>
    <row r="13" spans="1:12" x14ac:dyDescent="0.2">
      <c r="A13" s="10">
        <v>44926</v>
      </c>
      <c r="B13">
        <v>533.02499999999998</v>
      </c>
      <c r="C13" s="9">
        <f t="shared" si="0"/>
        <v>2.7344829767526061E-2</v>
      </c>
      <c r="D13">
        <v>188.036</v>
      </c>
      <c r="E13">
        <f t="shared" si="1"/>
        <v>344.98899999999998</v>
      </c>
      <c r="F13" s="9">
        <f t="shared" si="2"/>
        <v>0.64722855400778578</v>
      </c>
      <c r="G13">
        <v>119.041</v>
      </c>
      <c r="H13" s="8">
        <f t="shared" si="3"/>
        <v>68.995000000000005</v>
      </c>
    </row>
    <row r="14" spans="1:12" x14ac:dyDescent="0.2">
      <c r="A14" s="10">
        <v>44834</v>
      </c>
      <c r="B14">
        <v>518.64700000000005</v>
      </c>
      <c r="C14" s="9">
        <f t="shared" si="0"/>
        <v>-3.59136127748493E-2</v>
      </c>
      <c r="D14">
        <v>176.56399999999999</v>
      </c>
      <c r="E14">
        <f t="shared" si="1"/>
        <v>342.08300000000008</v>
      </c>
      <c r="F14" s="9">
        <f t="shared" si="2"/>
        <v>0.6595680684550379</v>
      </c>
      <c r="G14">
        <v>123.15</v>
      </c>
      <c r="H14" s="8">
        <f t="shared" si="3"/>
        <v>53.413999999999959</v>
      </c>
    </row>
    <row r="15" spans="1:12" x14ac:dyDescent="0.2">
      <c r="A15" s="10">
        <v>44742</v>
      </c>
      <c r="B15">
        <v>537.61199999999997</v>
      </c>
      <c r="C15" s="9">
        <f t="shared" si="0"/>
        <v>9.5429231852532673E-2</v>
      </c>
      <c r="D15">
        <v>189.18799999999999</v>
      </c>
      <c r="E15">
        <f t="shared" si="1"/>
        <v>348.42399999999998</v>
      </c>
      <c r="F15" s="9">
        <f t="shared" si="2"/>
        <v>0.64809565262680147</v>
      </c>
      <c r="G15">
        <v>126.139</v>
      </c>
      <c r="H15" s="8">
        <f t="shared" si="3"/>
        <v>63.048999999999992</v>
      </c>
    </row>
    <row r="16" spans="1:12" x14ac:dyDescent="0.2">
      <c r="A16" s="10">
        <v>44651</v>
      </c>
      <c r="B16">
        <v>488.68</v>
      </c>
      <c r="C16" s="9">
        <f t="shared" si="0"/>
        <v>8.3156093338042525E-2</v>
      </c>
      <c r="D16">
        <v>170.72499999999999</v>
      </c>
      <c r="E16">
        <f t="shared" si="1"/>
        <v>317.95500000000004</v>
      </c>
      <c r="F16" s="9">
        <f t="shared" si="2"/>
        <v>0.65064050094131132</v>
      </c>
      <c r="G16">
        <v>114.09399999999999</v>
      </c>
      <c r="H16" s="8">
        <f t="shared" si="3"/>
        <v>56.630999999999972</v>
      </c>
    </row>
    <row r="17" spans="1:8" x14ac:dyDescent="0.2">
      <c r="A17" s="10">
        <v>44561</v>
      </c>
      <c r="B17">
        <v>449.68700000000001</v>
      </c>
      <c r="C17" s="9">
        <f t="shared" si="0"/>
        <v>0.18559629806102576</v>
      </c>
      <c r="D17">
        <v>153.88</v>
      </c>
      <c r="E17">
        <f t="shared" si="1"/>
        <v>295.80700000000002</v>
      </c>
      <c r="F17" s="9">
        <f t="shared" si="2"/>
        <v>0.65780642980562032</v>
      </c>
      <c r="G17">
        <v>97.168999999999997</v>
      </c>
      <c r="H17" s="8">
        <f t="shared" si="3"/>
        <v>56.710999999999999</v>
      </c>
    </row>
    <row r="18" spans="1:8" x14ac:dyDescent="0.2">
      <c r="A18" s="10">
        <v>44469</v>
      </c>
      <c r="B18">
        <v>373.51400000000001</v>
      </c>
      <c r="C18" s="9">
        <f t="shared" si="0"/>
        <v>-8.2128394365798538E-2</v>
      </c>
      <c r="D18">
        <v>132.74100000000001</v>
      </c>
      <c r="E18">
        <f t="shared" si="1"/>
        <v>240.773</v>
      </c>
      <c r="F18" s="9">
        <f t="shared" si="2"/>
        <v>0.644615730601798</v>
      </c>
      <c r="G18">
        <v>88.043999999999997</v>
      </c>
      <c r="H18" s="8">
        <f t="shared" si="3"/>
        <v>44.697000000000017</v>
      </c>
    </row>
    <row r="19" spans="1:8" x14ac:dyDescent="0.2">
      <c r="A19" s="10">
        <v>44377</v>
      </c>
      <c r="B19">
        <v>405.48500000000001</v>
      </c>
      <c r="C19" s="9">
        <f t="shared" si="0"/>
        <v>7.6641672185938717E-2</v>
      </c>
      <c r="D19">
        <v>151.572</v>
      </c>
      <c r="E19">
        <f t="shared" si="1"/>
        <v>253.91300000000001</v>
      </c>
      <c r="F19" s="9">
        <f t="shared" si="2"/>
        <v>0.62619579022651883</v>
      </c>
      <c r="G19">
        <v>101.447</v>
      </c>
      <c r="H19" s="8">
        <f t="shared" si="3"/>
        <v>50.125</v>
      </c>
    </row>
    <row r="20" spans="1:8" x14ac:dyDescent="0.2">
      <c r="A20" s="10">
        <v>44286</v>
      </c>
      <c r="B20">
        <v>375.56900000000002</v>
      </c>
      <c r="C20" s="9">
        <f t="shared" si="0"/>
        <v>9.9126072122009495E-2</v>
      </c>
      <c r="D20">
        <v>136.49799999999999</v>
      </c>
      <c r="E20">
        <f t="shared" si="1"/>
        <v>239.07100000000003</v>
      </c>
      <c r="F20" s="9">
        <f t="shared" si="2"/>
        <v>0.63655679781877639</v>
      </c>
      <c r="G20">
        <v>90.513999999999996</v>
      </c>
      <c r="H20" s="8">
        <f t="shared" si="3"/>
        <v>45.983999999999995</v>
      </c>
    </row>
    <row r="21" spans="1:8" x14ac:dyDescent="0.2">
      <c r="A21" s="10">
        <v>44196</v>
      </c>
      <c r="B21">
        <v>340.12599999999998</v>
      </c>
      <c r="C21" s="9">
        <f t="shared" si="0"/>
        <v>7.7693155499840377E-2</v>
      </c>
      <c r="D21">
        <v>120.94799999999999</v>
      </c>
      <c r="E21">
        <f t="shared" si="1"/>
        <v>219.178</v>
      </c>
      <c r="F21" s="9">
        <f t="shared" si="2"/>
        <v>0.64440236853401389</v>
      </c>
      <c r="G21">
        <v>77.819999999999993</v>
      </c>
      <c r="H21" s="8">
        <f t="shared" si="3"/>
        <v>43.127999999999986</v>
      </c>
    </row>
    <row r="22" spans="1:8" x14ac:dyDescent="0.2">
      <c r="A22" s="10">
        <v>44104</v>
      </c>
      <c r="B22">
        <v>314.70100000000002</v>
      </c>
      <c r="C22" s="9">
        <f t="shared" si="0"/>
        <v>6.2734202878604164E-2</v>
      </c>
      <c r="D22">
        <v>114.651</v>
      </c>
      <c r="E22">
        <f t="shared" si="1"/>
        <v>200.05</v>
      </c>
      <c r="F22" s="9">
        <f t="shared" si="2"/>
        <v>0.63568275919046968</v>
      </c>
      <c r="G22">
        <v>75.730999999999995</v>
      </c>
      <c r="H22" s="8">
        <f t="shared" si="3"/>
        <v>38.920000000000016</v>
      </c>
    </row>
    <row r="23" spans="1:8" x14ac:dyDescent="0.2">
      <c r="A23" s="10">
        <v>44012</v>
      </c>
      <c r="B23">
        <v>295.565</v>
      </c>
      <c r="C23" s="9">
        <f t="shared" si="0"/>
        <v>-0.15166857267797937</v>
      </c>
      <c r="D23">
        <v>105.229</v>
      </c>
      <c r="E23">
        <f t="shared" si="1"/>
        <v>190.33600000000001</v>
      </c>
      <c r="F23" s="9">
        <f t="shared" si="2"/>
        <v>0.6439734068648183</v>
      </c>
      <c r="G23">
        <v>61.896000000000001</v>
      </c>
      <c r="H23" s="8">
        <f t="shared" si="3"/>
        <v>43.332999999999984</v>
      </c>
    </row>
    <row r="24" spans="1:8" x14ac:dyDescent="0.2">
      <c r="A24" s="10">
        <v>43921</v>
      </c>
      <c r="B24">
        <v>343.971</v>
      </c>
      <c r="C24" s="9">
        <f t="shared" si="0"/>
        <v>4.329490371390422E-3</v>
      </c>
      <c r="D24">
        <v>122.657</v>
      </c>
      <c r="E24">
        <f t="shared" si="1"/>
        <v>221.31400000000002</v>
      </c>
      <c r="F24" s="9">
        <f t="shared" si="2"/>
        <v>0.64340889202868856</v>
      </c>
      <c r="G24">
        <v>69.221000000000004</v>
      </c>
      <c r="H24" s="8">
        <f t="shared" si="3"/>
        <v>53.435999999999979</v>
      </c>
    </row>
    <row r="25" spans="1:8" x14ac:dyDescent="0.2">
      <c r="A25" s="10">
        <v>43830</v>
      </c>
      <c r="B25">
        <v>342.48500000000001</v>
      </c>
      <c r="C25" s="9">
        <f t="shared" si="0"/>
        <v>5.8792279653180006E-2</v>
      </c>
      <c r="D25">
        <v>124.706</v>
      </c>
      <c r="E25">
        <f t="shared" si="1"/>
        <v>217.779</v>
      </c>
      <c r="F25" s="9">
        <f t="shared" si="2"/>
        <v>0.6358789436033695</v>
      </c>
      <c r="G25">
        <v>77.093000000000004</v>
      </c>
      <c r="H25" s="8">
        <f t="shared" si="3"/>
        <v>47.613000000000014</v>
      </c>
    </row>
    <row r="26" spans="1:8" x14ac:dyDescent="0.2">
      <c r="A26" s="10">
        <v>43738</v>
      </c>
      <c r="B26">
        <v>322.93</v>
      </c>
      <c r="C26" s="9">
        <f t="shared" si="0"/>
        <v>-0.10753725486497809</v>
      </c>
      <c r="D26">
        <v>120.595</v>
      </c>
      <c r="E26">
        <f t="shared" si="1"/>
        <v>202.33500000000001</v>
      </c>
      <c r="F26" s="9">
        <f t="shared" si="2"/>
        <v>0.62655993558975631</v>
      </c>
      <c r="G26">
        <v>77.784999999999997</v>
      </c>
      <c r="H26" s="8">
        <f t="shared" si="3"/>
        <v>42.81</v>
      </c>
    </row>
    <row r="27" spans="1:8" x14ac:dyDescent="0.2">
      <c r="A27" s="10">
        <v>43646</v>
      </c>
      <c r="B27">
        <v>359.59300000000002</v>
      </c>
      <c r="C27" s="9">
        <f t="shared" si="0"/>
        <v>4.5465543039137905E-2</v>
      </c>
      <c r="D27">
        <v>131.892</v>
      </c>
      <c r="E27">
        <f t="shared" si="1"/>
        <v>227.70100000000002</v>
      </c>
      <c r="F27" s="9">
        <f t="shared" si="2"/>
        <v>0.63321866665925086</v>
      </c>
      <c r="G27">
        <v>83.111000000000004</v>
      </c>
      <c r="H27" s="8">
        <f t="shared" si="3"/>
        <v>48.780999999999992</v>
      </c>
    </row>
    <row r="28" spans="1:8" x14ac:dyDescent="0.2">
      <c r="A28" s="10">
        <v>43555</v>
      </c>
      <c r="B28">
        <v>343.61</v>
      </c>
      <c r="C28" s="9">
        <f t="shared" si="0"/>
        <v>5.3865300826729294E-2</v>
      </c>
      <c r="D28">
        <v>124.724</v>
      </c>
      <c r="E28">
        <f t="shared" si="1"/>
        <v>218.88600000000002</v>
      </c>
      <c r="F28" s="9">
        <f t="shared" si="2"/>
        <v>0.63701871307587099</v>
      </c>
      <c r="G28">
        <v>78.509</v>
      </c>
      <c r="H28" s="8">
        <f t="shared" si="3"/>
        <v>46.214999999999989</v>
      </c>
    </row>
    <row r="29" spans="1:8" x14ac:dyDescent="0.2">
      <c r="A29" s="10">
        <v>43465</v>
      </c>
      <c r="B29">
        <v>325.59100000000001</v>
      </c>
      <c r="C29" s="9">
        <f t="shared" si="0"/>
        <v>4.859238956304663E-2</v>
      </c>
      <c r="D29">
        <v>117.34399999999999</v>
      </c>
      <c r="E29">
        <f t="shared" si="1"/>
        <v>208.24700000000001</v>
      </c>
      <c r="F29" s="9">
        <f t="shared" si="2"/>
        <v>0.63959691760521642</v>
      </c>
      <c r="G29">
        <v>68.506</v>
      </c>
      <c r="H29" s="8">
        <f t="shared" si="3"/>
        <v>48.837999999999994</v>
      </c>
    </row>
    <row r="30" spans="1:8" x14ac:dyDescent="0.2">
      <c r="A30" s="10">
        <v>43373</v>
      </c>
      <c r="B30">
        <v>310.14800000000002</v>
      </c>
      <c r="C30" s="9">
        <f t="shared" si="0"/>
        <v>-6.5467484515965971E-2</v>
      </c>
      <c r="D30">
        <v>116.02200000000001</v>
      </c>
      <c r="E30">
        <f t="shared" si="1"/>
        <v>194.12600000000003</v>
      </c>
      <c r="F30" s="9">
        <f t="shared" si="2"/>
        <v>0.6259140797296775</v>
      </c>
      <c r="G30">
        <v>72.671000000000006</v>
      </c>
      <c r="H30" s="8">
        <f t="shared" si="3"/>
        <v>43.350999999999985</v>
      </c>
    </row>
    <row r="31" spans="1:8" x14ac:dyDescent="0.2">
      <c r="A31" s="10">
        <v>43281</v>
      </c>
      <c r="B31">
        <v>331.13200000000001</v>
      </c>
      <c r="C31" s="9">
        <f t="shared" si="0"/>
        <v>5.8565631411875103E-2</v>
      </c>
      <c r="D31">
        <v>124.871</v>
      </c>
      <c r="E31">
        <f t="shared" si="1"/>
        <v>206.26100000000002</v>
      </c>
      <c r="F31" s="9">
        <f t="shared" si="2"/>
        <v>0.62289660920720447</v>
      </c>
      <c r="G31">
        <v>76.39</v>
      </c>
      <c r="H31" s="8">
        <f t="shared" si="3"/>
        <v>48.48099999999998</v>
      </c>
    </row>
    <row r="32" spans="1:8" x14ac:dyDescent="0.2">
      <c r="A32" s="10">
        <v>43190</v>
      </c>
      <c r="B32">
        <v>312.29599999999999</v>
      </c>
      <c r="C32" s="9">
        <f t="shared" si="0"/>
        <v>0.15353180057645183</v>
      </c>
      <c r="D32">
        <v>115.63500000000001</v>
      </c>
      <c r="E32">
        <f t="shared" si="1"/>
        <v>196.661</v>
      </c>
      <c r="F32" s="9">
        <f t="shared" si="2"/>
        <v>0.62972628531905628</v>
      </c>
      <c r="G32">
        <v>69.811000000000007</v>
      </c>
      <c r="H32" s="8">
        <f t="shared" si="3"/>
        <v>45.823999999999984</v>
      </c>
    </row>
    <row r="33" spans="1:8" x14ac:dyDescent="0.2">
      <c r="A33" s="10">
        <v>43100</v>
      </c>
      <c r="B33">
        <v>267.84800000000001</v>
      </c>
      <c r="C33" s="9">
        <f t="shared" si="0"/>
        <v>2.99380444204486E-2</v>
      </c>
      <c r="D33">
        <v>100.419</v>
      </c>
      <c r="E33">
        <f t="shared" si="1"/>
        <v>167.42900000000003</v>
      </c>
      <c r="F33" s="9">
        <f t="shared" si="2"/>
        <v>0.62508960305845118</v>
      </c>
      <c r="G33">
        <v>55.865000000000002</v>
      </c>
      <c r="H33" s="8">
        <f t="shared" si="3"/>
        <v>44.553999999999981</v>
      </c>
    </row>
    <row r="34" spans="1:8" x14ac:dyDescent="0.2">
      <c r="A34" s="10">
        <v>43008</v>
      </c>
      <c r="B34">
        <v>259.94799999999998</v>
      </c>
      <c r="C34" s="9">
        <f t="shared" ref="C34:C63" si="4">+LN(B34/B35)</f>
        <v>-9.5545164230694368E-2</v>
      </c>
      <c r="D34">
        <v>98.671000000000006</v>
      </c>
      <c r="E34">
        <f t="shared" ref="E34:E64" si="5">+B34-D34</f>
        <v>161.27699999999999</v>
      </c>
      <c r="F34" s="9">
        <f t="shared" ref="F34:F64" si="6">+E34/B34</f>
        <v>0.62042023789373257</v>
      </c>
      <c r="G34">
        <v>48.85</v>
      </c>
      <c r="H34" s="8">
        <f t="shared" ref="H34:H64" si="7">+B34-E34-G34</f>
        <v>49.820999999999991</v>
      </c>
    </row>
    <row r="35" spans="1:8" x14ac:dyDescent="0.2">
      <c r="A35" s="10">
        <v>42916</v>
      </c>
      <c r="B35">
        <v>286.01</v>
      </c>
      <c r="C35" s="9">
        <f t="shared" si="4"/>
        <v>4.7504148325025239E-2</v>
      </c>
      <c r="D35">
        <v>110.46899999999999</v>
      </c>
      <c r="E35">
        <f t="shared" si="5"/>
        <v>175.541</v>
      </c>
      <c r="F35" s="9">
        <f t="shared" si="6"/>
        <v>0.61375826020069224</v>
      </c>
      <c r="G35">
        <v>55.18</v>
      </c>
      <c r="H35" s="8">
        <f t="shared" si="7"/>
        <v>55.288999999999994</v>
      </c>
    </row>
    <row r="36" spans="1:8" x14ac:dyDescent="0.2">
      <c r="A36" s="10">
        <v>42825</v>
      </c>
      <c r="B36">
        <v>272.74099999999999</v>
      </c>
      <c r="C36" s="9">
        <f t="shared" si="4"/>
        <v>0.17133066809575134</v>
      </c>
      <c r="D36">
        <v>104.44</v>
      </c>
      <c r="E36">
        <f t="shared" si="5"/>
        <v>168.30099999999999</v>
      </c>
      <c r="F36" s="9">
        <f t="shared" si="6"/>
        <v>0.61707260734543024</v>
      </c>
      <c r="G36">
        <v>62.555</v>
      </c>
      <c r="H36" s="8">
        <f t="shared" si="7"/>
        <v>41.884999999999998</v>
      </c>
    </row>
    <row r="37" spans="1:8" x14ac:dyDescent="0.2">
      <c r="A37" s="10">
        <v>42735</v>
      </c>
      <c r="B37">
        <v>229.79599999999999</v>
      </c>
      <c r="C37" s="9">
        <f t="shared" si="4"/>
        <v>4.1049395959304243E-2</v>
      </c>
      <c r="D37">
        <v>83.188999999999993</v>
      </c>
      <c r="E37">
        <f t="shared" si="5"/>
        <v>146.607</v>
      </c>
      <c r="F37" s="9">
        <f t="shared" si="6"/>
        <v>0.63798760639871888</v>
      </c>
      <c r="G37">
        <v>46.225999999999999</v>
      </c>
      <c r="H37" s="8">
        <f t="shared" si="7"/>
        <v>36.962999999999994</v>
      </c>
    </row>
    <row r="38" spans="1:8" x14ac:dyDescent="0.2">
      <c r="A38" s="10">
        <v>42643</v>
      </c>
      <c r="B38">
        <v>220.554</v>
      </c>
      <c r="C38" s="9">
        <f t="shared" si="4"/>
        <v>-0.10821288709583315</v>
      </c>
      <c r="D38">
        <v>82.516999999999996</v>
      </c>
      <c r="E38">
        <f t="shared" si="5"/>
        <v>138.03700000000001</v>
      </c>
      <c r="F38" s="9">
        <f t="shared" si="6"/>
        <v>0.62586486756077875</v>
      </c>
      <c r="G38">
        <v>49.496000000000002</v>
      </c>
      <c r="H38" s="8">
        <f t="shared" si="7"/>
        <v>33.020999999999994</v>
      </c>
    </row>
    <row r="39" spans="1:8" x14ac:dyDescent="0.2">
      <c r="A39" s="10">
        <v>42551</v>
      </c>
      <c r="B39">
        <v>245.76</v>
      </c>
      <c r="C39" s="9">
        <f t="shared" si="4"/>
        <v>8.0692604140364721E-2</v>
      </c>
      <c r="D39">
        <v>90.378</v>
      </c>
      <c r="E39">
        <f t="shared" si="5"/>
        <v>155.38200000000001</v>
      </c>
      <c r="F39" s="9">
        <f t="shared" si="6"/>
        <v>0.63225097656250007</v>
      </c>
      <c r="G39">
        <v>54.27</v>
      </c>
      <c r="H39" s="8">
        <f t="shared" si="7"/>
        <v>36.107999999999983</v>
      </c>
    </row>
    <row r="40" spans="1:8" x14ac:dyDescent="0.2">
      <c r="A40" s="10">
        <v>42460</v>
      </c>
      <c r="B40">
        <v>226.708</v>
      </c>
      <c r="C40" s="9">
        <f t="shared" si="4"/>
        <v>6.213596587302142E-2</v>
      </c>
      <c r="D40">
        <v>81.918000000000006</v>
      </c>
      <c r="E40">
        <f t="shared" si="5"/>
        <v>144.79</v>
      </c>
      <c r="F40" s="9">
        <f t="shared" si="6"/>
        <v>0.63866294969740811</v>
      </c>
      <c r="G40">
        <v>47.585000000000001</v>
      </c>
      <c r="H40" s="8">
        <f t="shared" si="7"/>
        <v>34.333000000000006</v>
      </c>
    </row>
    <row r="41" spans="1:8" x14ac:dyDescent="0.2">
      <c r="A41" s="10">
        <v>42369</v>
      </c>
      <c r="B41">
        <v>213.05</v>
      </c>
      <c r="C41" s="9">
        <f t="shared" si="4"/>
        <v>-8.5016601560627819E-3</v>
      </c>
      <c r="D41">
        <v>72.004999999999995</v>
      </c>
      <c r="E41">
        <f t="shared" si="5"/>
        <v>141.04500000000002</v>
      </c>
      <c r="F41" s="9">
        <f t="shared" si="6"/>
        <v>0.66202769302980524</v>
      </c>
      <c r="G41">
        <v>38.246000000000002</v>
      </c>
      <c r="H41" s="8">
        <f t="shared" si="7"/>
        <v>33.758999999999993</v>
      </c>
    </row>
    <row r="42" spans="1:8" x14ac:dyDescent="0.2">
      <c r="A42" s="10">
        <v>42277</v>
      </c>
      <c r="B42">
        <v>214.869</v>
      </c>
      <c r="C42" s="9">
        <f t="shared" si="4"/>
        <v>-0.12871221860398968</v>
      </c>
      <c r="D42">
        <v>77.316999999999993</v>
      </c>
      <c r="E42">
        <f t="shared" si="5"/>
        <v>137.55200000000002</v>
      </c>
      <c r="F42" s="9">
        <f t="shared" si="6"/>
        <v>0.64016679930562348</v>
      </c>
      <c r="G42">
        <v>44.695999999999998</v>
      </c>
      <c r="H42" s="8">
        <f t="shared" si="7"/>
        <v>32.620999999999981</v>
      </c>
    </row>
    <row r="43" spans="1:8" x14ac:dyDescent="0.2">
      <c r="A43" s="10">
        <v>42185</v>
      </c>
      <c r="B43">
        <v>244.38399999999999</v>
      </c>
      <c r="C43" s="9">
        <f t="shared" si="4"/>
        <v>9.3252017096147791E-2</v>
      </c>
      <c r="D43">
        <v>89.957999999999998</v>
      </c>
      <c r="E43">
        <f t="shared" si="5"/>
        <v>154.42599999999999</v>
      </c>
      <c r="F43" s="9">
        <f t="shared" si="6"/>
        <v>0.63189897865654054</v>
      </c>
      <c r="G43">
        <v>52.597999999999999</v>
      </c>
      <c r="H43" s="8">
        <f t="shared" si="7"/>
        <v>37.36</v>
      </c>
    </row>
    <row r="44" spans="1:8" x14ac:dyDescent="0.2">
      <c r="A44" s="10">
        <v>42094</v>
      </c>
      <c r="B44">
        <v>222.625</v>
      </c>
      <c r="C44" s="9">
        <f t="shared" si="4"/>
        <v>0.3182998967977943</v>
      </c>
      <c r="D44">
        <v>78.337999999999994</v>
      </c>
      <c r="E44">
        <f t="shared" si="5"/>
        <v>144.28700000000001</v>
      </c>
      <c r="F44" s="9">
        <f t="shared" si="6"/>
        <v>0.64811678832116792</v>
      </c>
      <c r="G44">
        <v>43.241999999999997</v>
      </c>
      <c r="H44" s="8">
        <f t="shared" si="7"/>
        <v>35.095999999999997</v>
      </c>
    </row>
    <row r="45" spans="1:8" x14ac:dyDescent="0.2">
      <c r="A45" s="10">
        <v>42004</v>
      </c>
      <c r="B45">
        <v>161.934</v>
      </c>
      <c r="C45" s="9">
        <f t="shared" si="4"/>
        <v>-4.1638290257215403E-2</v>
      </c>
      <c r="D45">
        <v>58.298999999999999</v>
      </c>
      <c r="E45">
        <f t="shared" si="5"/>
        <v>103.63499999999999</v>
      </c>
      <c r="F45" s="9">
        <f t="shared" si="6"/>
        <v>0.63998295601911881</v>
      </c>
      <c r="G45">
        <v>29.82</v>
      </c>
      <c r="H45" s="8">
        <f t="shared" si="7"/>
        <v>28.479000000000006</v>
      </c>
    </row>
    <row r="46" spans="1:8" x14ac:dyDescent="0.2">
      <c r="A46" s="10">
        <v>41912</v>
      </c>
      <c r="B46">
        <v>168.81899999999999</v>
      </c>
      <c r="C46" s="9">
        <f t="shared" si="4"/>
        <v>-6.987429519518322E-2</v>
      </c>
      <c r="D46">
        <v>61.204999999999998</v>
      </c>
      <c r="E46">
        <f t="shared" si="5"/>
        <v>107.61399999999999</v>
      </c>
      <c r="F46" s="9">
        <f t="shared" si="6"/>
        <v>0.63745194557484641</v>
      </c>
      <c r="G46">
        <v>34.445</v>
      </c>
      <c r="H46" s="8">
        <f t="shared" si="7"/>
        <v>26.759999999999998</v>
      </c>
    </row>
    <row r="47" spans="1:8" x14ac:dyDescent="0.2">
      <c r="A47" s="10">
        <v>41820</v>
      </c>
      <c r="B47">
        <v>181.03700000000001</v>
      </c>
      <c r="C47" s="9">
        <f t="shared" si="4"/>
        <v>0.12222221743291452</v>
      </c>
      <c r="D47">
        <v>67.87</v>
      </c>
      <c r="E47">
        <f t="shared" si="5"/>
        <v>113.167</v>
      </c>
      <c r="F47" s="9">
        <f t="shared" si="6"/>
        <v>0.62510426045504508</v>
      </c>
      <c r="G47">
        <v>38.512999999999998</v>
      </c>
      <c r="H47" s="8">
        <f t="shared" si="7"/>
        <v>29.357000000000006</v>
      </c>
    </row>
    <row r="48" spans="1:8" x14ac:dyDescent="0.2">
      <c r="A48" s="10">
        <v>41729</v>
      </c>
      <c r="B48">
        <v>160.209</v>
      </c>
      <c r="C48" s="9">
        <f t="shared" si="4"/>
        <v>0.14186140515917536</v>
      </c>
      <c r="D48">
        <v>58.039000000000001</v>
      </c>
      <c r="E48">
        <f t="shared" si="5"/>
        <v>102.17</v>
      </c>
      <c r="F48" s="9">
        <f t="shared" si="6"/>
        <v>0.63772946588518742</v>
      </c>
      <c r="G48">
        <v>31.673999999999999</v>
      </c>
      <c r="H48" s="8">
        <f t="shared" si="7"/>
        <v>26.365000000000002</v>
      </c>
    </row>
    <row r="49" spans="1:8" x14ac:dyDescent="0.2">
      <c r="A49" s="10">
        <v>41639</v>
      </c>
      <c r="B49">
        <v>139.02000000000001</v>
      </c>
      <c r="C49" s="9">
        <f t="shared" si="4"/>
        <v>1.4841282294607594E-2</v>
      </c>
      <c r="D49">
        <v>49.152000000000001</v>
      </c>
      <c r="E49">
        <f t="shared" si="5"/>
        <v>89.868000000000009</v>
      </c>
      <c r="F49" s="9">
        <f t="shared" si="6"/>
        <v>0.64643936124298662</v>
      </c>
      <c r="G49">
        <v>25.494</v>
      </c>
      <c r="H49" s="8">
        <f t="shared" si="7"/>
        <v>23.658000000000001</v>
      </c>
    </row>
    <row r="50" spans="1:8" x14ac:dyDescent="0.2">
      <c r="A50" s="10">
        <v>41547</v>
      </c>
      <c r="B50">
        <v>136.97200000000001</v>
      </c>
      <c r="C50" s="9">
        <f t="shared" si="4"/>
        <v>-7.9170728923332337E-2</v>
      </c>
      <c r="D50">
        <v>49.838999999999999</v>
      </c>
      <c r="E50">
        <f t="shared" si="5"/>
        <v>87.13300000000001</v>
      </c>
      <c r="F50" s="9">
        <f t="shared" si="6"/>
        <v>0.6361373127354496</v>
      </c>
      <c r="G50">
        <v>25.292999999999999</v>
      </c>
      <c r="H50" s="8">
        <f t="shared" si="7"/>
        <v>24.545999999999999</v>
      </c>
    </row>
    <row r="51" spans="1:8" x14ac:dyDescent="0.2">
      <c r="A51" s="10">
        <v>41455</v>
      </c>
      <c r="B51">
        <v>148.25700000000001</v>
      </c>
      <c r="C51" s="9">
        <f t="shared" si="4"/>
        <v>0.11414732905202077</v>
      </c>
      <c r="D51">
        <v>53.884999999999998</v>
      </c>
      <c r="E51">
        <f t="shared" si="5"/>
        <v>94.372000000000014</v>
      </c>
      <c r="F51" s="9">
        <f t="shared" si="6"/>
        <v>0.63654329981046431</v>
      </c>
      <c r="G51">
        <v>26.952999999999999</v>
      </c>
      <c r="H51" s="8">
        <f t="shared" si="7"/>
        <v>26.931999999999992</v>
      </c>
    </row>
    <row r="52" spans="1:8" x14ac:dyDescent="0.2">
      <c r="A52" s="10">
        <v>41364</v>
      </c>
      <c r="B52">
        <v>132.26400000000001</v>
      </c>
      <c r="C52" s="9">
        <f t="shared" si="4"/>
        <v>8.3495682436367499E-2</v>
      </c>
      <c r="D52">
        <v>49.884</v>
      </c>
      <c r="E52">
        <f t="shared" si="5"/>
        <v>82.38000000000001</v>
      </c>
      <c r="F52" s="9">
        <f t="shared" si="6"/>
        <v>0.62284521865360187</v>
      </c>
      <c r="G52">
        <v>25.312999999999999</v>
      </c>
      <c r="H52" s="8">
        <f t="shared" si="7"/>
        <v>24.571000000000002</v>
      </c>
    </row>
    <row r="53" spans="1:8" x14ac:dyDescent="0.2">
      <c r="A53" s="10">
        <v>41274</v>
      </c>
      <c r="B53">
        <v>121.669</v>
      </c>
      <c r="C53" s="9">
        <f t="shared" si="4"/>
        <v>-3.7735761849946058E-2</v>
      </c>
      <c r="D53">
        <v>45.411999999999999</v>
      </c>
      <c r="E53">
        <f t="shared" si="5"/>
        <v>76.257000000000005</v>
      </c>
      <c r="F53" s="9">
        <f t="shared" si="6"/>
        <v>0.62675784300027126</v>
      </c>
      <c r="G53">
        <v>20.443000000000001</v>
      </c>
      <c r="H53" s="8">
        <f t="shared" si="7"/>
        <v>24.968999999999991</v>
      </c>
    </row>
    <row r="54" spans="1:8" x14ac:dyDescent="0.2">
      <c r="A54" s="10">
        <v>41182</v>
      </c>
      <c r="B54">
        <v>126.348</v>
      </c>
      <c r="C54" s="9">
        <f t="shared" si="4"/>
        <v>-0.10764681640565513</v>
      </c>
      <c r="D54">
        <v>48.558</v>
      </c>
      <c r="E54">
        <f t="shared" si="5"/>
        <v>77.789999999999992</v>
      </c>
      <c r="F54" s="9">
        <f t="shared" si="6"/>
        <v>0.6156805014721245</v>
      </c>
      <c r="G54">
        <v>35.130000000000003</v>
      </c>
      <c r="H54" s="8">
        <f t="shared" si="7"/>
        <v>13.428000000000004</v>
      </c>
    </row>
    <row r="55" spans="1:8" x14ac:dyDescent="0.2">
      <c r="A55" s="10">
        <v>41090</v>
      </c>
      <c r="B55">
        <v>140.708</v>
      </c>
      <c r="C55" s="9">
        <f t="shared" si="4"/>
        <v>1.6170348653267143E-2</v>
      </c>
      <c r="D55">
        <v>53.15</v>
      </c>
      <c r="E55">
        <f t="shared" si="5"/>
        <v>87.557999999999993</v>
      </c>
      <c r="F55" s="9">
        <f t="shared" si="6"/>
        <v>0.62226739062455583</v>
      </c>
      <c r="G55">
        <v>28.6</v>
      </c>
      <c r="H55" s="8">
        <f t="shared" si="7"/>
        <v>24.550000000000004</v>
      </c>
    </row>
    <row r="56" spans="1:8" x14ac:dyDescent="0.2">
      <c r="A56" s="10">
        <v>40999</v>
      </c>
      <c r="B56">
        <v>138.45099999999999</v>
      </c>
      <c r="C56" s="9">
        <f t="shared" si="4"/>
        <v>0.15047743215814957</v>
      </c>
      <c r="D56">
        <v>53.222999999999999</v>
      </c>
      <c r="E56">
        <f t="shared" si="5"/>
        <v>85.227999999999994</v>
      </c>
      <c r="F56" s="9">
        <f t="shared" si="6"/>
        <v>0.61558240821662535</v>
      </c>
      <c r="G56">
        <v>29.75</v>
      </c>
      <c r="H56" s="8">
        <f t="shared" si="7"/>
        <v>23.472999999999999</v>
      </c>
    </row>
    <row r="57" spans="1:8" x14ac:dyDescent="0.2">
      <c r="A57" s="10">
        <v>40908</v>
      </c>
      <c r="B57">
        <v>119.10899999999999</v>
      </c>
      <c r="C57" s="9">
        <f t="shared" si="4"/>
        <v>4.9443980863284415E-2</v>
      </c>
      <c r="D57">
        <v>44.267000000000003</v>
      </c>
      <c r="E57">
        <f t="shared" si="5"/>
        <v>74.841999999999985</v>
      </c>
      <c r="F57" s="9">
        <f t="shared" si="6"/>
        <v>0.62834882334668229</v>
      </c>
      <c r="G57">
        <v>22.308</v>
      </c>
      <c r="H57" s="8">
        <f t="shared" si="7"/>
        <v>21.95900000000001</v>
      </c>
    </row>
    <row r="58" spans="1:8" x14ac:dyDescent="0.2">
      <c r="A58" s="10">
        <v>40816</v>
      </c>
      <c r="B58">
        <v>113.363</v>
      </c>
      <c r="C58" s="9">
        <f t="shared" si="4"/>
        <v>-8.1987590632733129E-2</v>
      </c>
      <c r="D58">
        <v>43.901000000000003</v>
      </c>
      <c r="E58">
        <f t="shared" si="5"/>
        <v>69.461999999999989</v>
      </c>
      <c r="F58" s="9">
        <f t="shared" si="6"/>
        <v>0.61273960639714886</v>
      </c>
      <c r="G58">
        <v>23.951000000000001</v>
      </c>
      <c r="H58" s="8">
        <f t="shared" si="7"/>
        <v>19.95000000000001</v>
      </c>
    </row>
    <row r="59" spans="1:8" x14ac:dyDescent="0.2">
      <c r="A59" s="10">
        <v>40724</v>
      </c>
      <c r="B59">
        <v>123.04900000000001</v>
      </c>
      <c r="C59" s="9">
        <f t="shared" si="4"/>
        <v>5.8147987999696872E-2</v>
      </c>
      <c r="D59">
        <v>45.984999999999999</v>
      </c>
      <c r="E59">
        <f t="shared" si="5"/>
        <v>77.064000000000007</v>
      </c>
      <c r="F59" s="9">
        <f t="shared" si="6"/>
        <v>0.62628708888329043</v>
      </c>
      <c r="G59">
        <v>24.826000000000001</v>
      </c>
      <c r="H59" s="8">
        <f t="shared" si="7"/>
        <v>21.158999999999999</v>
      </c>
    </row>
    <row r="60" spans="1:8" x14ac:dyDescent="0.2">
      <c r="A60" s="10">
        <v>40633</v>
      </c>
      <c r="B60">
        <v>116.098</v>
      </c>
      <c r="C60" s="9">
        <f t="shared" si="4"/>
        <v>5.3172783513014001E-2</v>
      </c>
      <c r="D60">
        <v>43.088000000000001</v>
      </c>
      <c r="E60">
        <f t="shared" si="5"/>
        <v>73.009999999999991</v>
      </c>
      <c r="F60" s="9">
        <f t="shared" si="6"/>
        <v>0.62886526899688189</v>
      </c>
      <c r="G60">
        <v>22.628</v>
      </c>
      <c r="H60" s="8">
        <f t="shared" si="7"/>
        <v>20.460000000000008</v>
      </c>
    </row>
    <row r="61" spans="1:8" x14ac:dyDescent="0.2">
      <c r="A61" s="10">
        <v>40543</v>
      </c>
      <c r="B61">
        <v>110.086</v>
      </c>
      <c r="C61" s="9">
        <f t="shared" si="4"/>
        <v>5.080288906681435E-2</v>
      </c>
      <c r="D61">
        <v>38.786999999999999</v>
      </c>
      <c r="E61">
        <f t="shared" si="5"/>
        <v>71.299000000000007</v>
      </c>
      <c r="F61" s="9">
        <f t="shared" si="6"/>
        <v>0.64766636992896465</v>
      </c>
      <c r="G61">
        <v>18.754000000000001</v>
      </c>
      <c r="H61" s="8">
        <f t="shared" si="7"/>
        <v>20.032999999999991</v>
      </c>
    </row>
    <row r="62" spans="1:8" x14ac:dyDescent="0.2">
      <c r="A62" s="10">
        <v>40451</v>
      </c>
      <c r="B62">
        <v>104.633</v>
      </c>
      <c r="C62" s="9">
        <f t="shared" si="4"/>
        <v>-5.7051154905627934E-2</v>
      </c>
      <c r="D62">
        <v>38.378999999999998</v>
      </c>
      <c r="E62">
        <f t="shared" si="5"/>
        <v>66.253999999999991</v>
      </c>
      <c r="F62" s="9">
        <f t="shared" si="6"/>
        <v>0.63320367379316267</v>
      </c>
      <c r="G62">
        <v>19.599</v>
      </c>
      <c r="H62" s="8">
        <f t="shared" si="7"/>
        <v>18.780000000000005</v>
      </c>
    </row>
    <row r="63" spans="1:8" x14ac:dyDescent="0.2">
      <c r="A63" s="10">
        <v>40359</v>
      </c>
      <c r="B63">
        <v>110.776</v>
      </c>
      <c r="C63" s="9">
        <f t="shared" si="4"/>
        <v>0.10805626536043039</v>
      </c>
      <c r="D63">
        <v>40.192</v>
      </c>
      <c r="E63">
        <f t="shared" si="5"/>
        <v>70.584000000000003</v>
      </c>
      <c r="F63" s="9">
        <f t="shared" si="6"/>
        <v>0.63717772802773165</v>
      </c>
      <c r="G63">
        <v>19.233000000000001</v>
      </c>
      <c r="H63" s="8">
        <f t="shared" si="7"/>
        <v>20.958999999999993</v>
      </c>
    </row>
    <row r="64" spans="1:8" x14ac:dyDescent="0.2">
      <c r="A64" s="7">
        <v>40268</v>
      </c>
      <c r="B64" s="5">
        <v>99.43</v>
      </c>
      <c r="C64" s="4"/>
      <c r="D64" s="5">
        <v>34.930999999999997</v>
      </c>
      <c r="E64" s="5">
        <f t="shared" si="5"/>
        <v>64.499000000000009</v>
      </c>
      <c r="F64" s="6">
        <f t="shared" si="6"/>
        <v>0.64868751885748777</v>
      </c>
      <c r="G64" s="5">
        <v>15.996</v>
      </c>
      <c r="H64" s="4">
        <f t="shared" si="7"/>
        <v>18.934999999999995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A58E-E41F-C74B-BC9F-70328A323656}">
  <dimension ref="A1:I18"/>
  <sheetViews>
    <sheetView tabSelected="1" workbookViewId="0">
      <selection activeCell="B5" sqref="B5"/>
    </sheetView>
  </sheetViews>
  <sheetFormatPr baseColWidth="10" defaultRowHeight="15" x14ac:dyDescent="0.2"/>
  <sheetData>
    <row r="1" spans="1:9" x14ac:dyDescent="0.2">
      <c r="A1" t="s">
        <v>22</v>
      </c>
    </row>
    <row r="2" spans="1:9" ht="16" thickBot="1" x14ac:dyDescent="0.25"/>
    <row r="3" spans="1:9" x14ac:dyDescent="0.2">
      <c r="A3" s="18" t="s">
        <v>23</v>
      </c>
      <c r="B3" s="18"/>
    </row>
    <row r="4" spans="1:9" x14ac:dyDescent="0.2">
      <c r="A4" t="s">
        <v>24</v>
      </c>
      <c r="B4">
        <v>0.95143765594739294</v>
      </c>
    </row>
    <row r="5" spans="1:9" x14ac:dyDescent="0.2">
      <c r="A5" t="s">
        <v>25</v>
      </c>
      <c r="B5">
        <v>0.90523361315466955</v>
      </c>
    </row>
    <row r="6" spans="1:9" x14ac:dyDescent="0.2">
      <c r="A6" t="s">
        <v>26</v>
      </c>
      <c r="B6">
        <v>0.90347868006494125</v>
      </c>
    </row>
    <row r="7" spans="1:9" x14ac:dyDescent="0.2">
      <c r="A7" t="s">
        <v>27</v>
      </c>
      <c r="B7">
        <v>4.4648897743940719</v>
      </c>
    </row>
    <row r="8" spans="1:9" ht="16" thickBot="1" x14ac:dyDescent="0.25">
      <c r="A8" s="16" t="s">
        <v>28</v>
      </c>
      <c r="B8" s="16">
        <v>56</v>
      </c>
    </row>
    <row r="10" spans="1:9" ht="16" thickBot="1" x14ac:dyDescent="0.25">
      <c r="A10" t="s">
        <v>29</v>
      </c>
    </row>
    <row r="11" spans="1:9" x14ac:dyDescent="0.2">
      <c r="A11" s="17"/>
      <c r="B11" s="17" t="s">
        <v>34</v>
      </c>
      <c r="C11" s="17" t="s">
        <v>35</v>
      </c>
      <c r="D11" s="17" t="s">
        <v>36</v>
      </c>
      <c r="E11" s="17" t="s">
        <v>19</v>
      </c>
      <c r="F11" s="17" t="s">
        <v>37</v>
      </c>
    </row>
    <row r="12" spans="1:9" x14ac:dyDescent="0.2">
      <c r="A12" t="s">
        <v>30</v>
      </c>
      <c r="B12">
        <v>1</v>
      </c>
      <c r="C12">
        <v>10283.041599317745</v>
      </c>
      <c r="D12">
        <v>10283.041599317745</v>
      </c>
      <c r="E12">
        <v>515.82229456668188</v>
      </c>
      <c r="F12">
        <v>2.6558942493791344E-29</v>
      </c>
    </row>
    <row r="13" spans="1:9" x14ac:dyDescent="0.2">
      <c r="A13" t="s">
        <v>31</v>
      </c>
      <c r="B13">
        <v>54</v>
      </c>
      <c r="C13">
        <v>1076.5029976643923</v>
      </c>
      <c r="D13">
        <v>19.935240697488748</v>
      </c>
    </row>
    <row r="14" spans="1:9" ht="16" thickBot="1" x14ac:dyDescent="0.25">
      <c r="A14" s="16" t="s">
        <v>32</v>
      </c>
      <c r="B14" s="16">
        <v>55</v>
      </c>
      <c r="C14" s="16">
        <v>11359.544596982138</v>
      </c>
      <c r="D14" s="16"/>
      <c r="E14" s="16"/>
      <c r="F14" s="16"/>
    </row>
    <row r="15" spans="1:9" ht="16" thickBot="1" x14ac:dyDescent="0.25"/>
    <row r="16" spans="1:9" x14ac:dyDescent="0.2">
      <c r="A16" s="17"/>
      <c r="B16" s="17" t="s">
        <v>38</v>
      </c>
      <c r="C16" s="17" t="s">
        <v>27</v>
      </c>
      <c r="D16" s="17" t="s">
        <v>39</v>
      </c>
      <c r="E16" s="17" t="s">
        <v>40</v>
      </c>
      <c r="F16" s="17" t="s">
        <v>41</v>
      </c>
      <c r="G16" s="17" t="s">
        <v>42</v>
      </c>
      <c r="H16" s="17" t="s">
        <v>43</v>
      </c>
      <c r="I16" s="17" t="s">
        <v>44</v>
      </c>
    </row>
    <row r="17" spans="1:9" x14ac:dyDescent="0.2">
      <c r="A17" t="s">
        <v>33</v>
      </c>
      <c r="B17">
        <v>12.212018372271295</v>
      </c>
      <c r="C17">
        <v>1.3106645552251646</v>
      </c>
      <c r="D17">
        <v>9.317424754935363</v>
      </c>
      <c r="E17">
        <v>7.856317974636754E-13</v>
      </c>
      <c r="F17">
        <v>9.5842941517381508</v>
      </c>
      <c r="G17">
        <v>14.83974259280444</v>
      </c>
      <c r="H17">
        <v>9.5842941517381508</v>
      </c>
      <c r="I17">
        <v>14.83974259280444</v>
      </c>
    </row>
    <row r="18" spans="1:9" ht="16" thickBot="1" x14ac:dyDescent="0.25">
      <c r="A18" s="16" t="s">
        <v>45</v>
      </c>
      <c r="B18" s="16">
        <v>9.6248272633656651E-2</v>
      </c>
      <c r="C18" s="16">
        <v>4.2378237393206376E-3</v>
      </c>
      <c r="D18" s="16">
        <v>22.711721523624799</v>
      </c>
      <c r="E18" s="16">
        <v>2.6558942493790968E-29</v>
      </c>
      <c r="F18" s="16">
        <v>8.7751947591701032E-2</v>
      </c>
      <c r="G18" s="16">
        <v>0.10474459767561227</v>
      </c>
      <c r="H18" s="16">
        <v>8.7751947591701032E-2</v>
      </c>
      <c r="I18" s="16">
        <v>0.10474459767561227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059F-422C-5D4E-8A70-8DB6CA9206F9}">
  <dimension ref="A2:E18"/>
  <sheetViews>
    <sheetView workbookViewId="0">
      <selection activeCell="B14" sqref="B14"/>
    </sheetView>
  </sheetViews>
  <sheetFormatPr baseColWidth="10" defaultRowHeight="15" x14ac:dyDescent="0.2"/>
  <cols>
    <col min="3" max="3" width="11.83203125" bestFit="1" customWidth="1"/>
  </cols>
  <sheetData>
    <row r="2" spans="1:5" x14ac:dyDescent="0.2">
      <c r="A2" s="14" t="s">
        <v>13</v>
      </c>
    </row>
    <row r="3" spans="1:5" x14ac:dyDescent="0.2">
      <c r="A3" t="s">
        <v>14</v>
      </c>
      <c r="B3" s="19">
        <f>+'IP - FA'!B60*4</f>
        <v>464.392</v>
      </c>
    </row>
    <row r="4" spans="1:5" x14ac:dyDescent="0.2">
      <c r="A4" t="s">
        <v>15</v>
      </c>
      <c r="B4" s="15">
        <f>+AVERAGE('IP - FA'!C60:C63)*4</f>
        <v>0.15498078303463081</v>
      </c>
    </row>
    <row r="5" spans="1:5" x14ac:dyDescent="0.2">
      <c r="A5" t="s">
        <v>16</v>
      </c>
      <c r="B5" s="15">
        <f>+_xlfn.STDEV.S('IP - FA'!C9:C63)/0.5</f>
        <v>0.18518353952562089</v>
      </c>
    </row>
    <row r="6" spans="1:5" x14ac:dyDescent="0.2">
      <c r="A6" t="s">
        <v>17</v>
      </c>
      <c r="B6" s="15">
        <f>+AVERAGE('IP - FA'!F9:F64)</f>
        <v>0.63601184251403609</v>
      </c>
    </row>
    <row r="7" spans="1:5" x14ac:dyDescent="0.2">
      <c r="A7" t="s">
        <v>18</v>
      </c>
      <c r="B7" s="15">
        <f>+'IP - Cost'!B18</f>
        <v>9.6248272633656651E-2</v>
      </c>
      <c r="C7" s="20">
        <f>+'IP - Cost'!E18</f>
        <v>2.6558942493790968E-29</v>
      </c>
      <c r="D7" t="s">
        <v>48</v>
      </c>
      <c r="E7">
        <f>+'IP - Cost'!B5</f>
        <v>0.90523361315466955</v>
      </c>
    </row>
    <row r="8" spans="1:5" x14ac:dyDescent="0.2">
      <c r="A8" t="s">
        <v>19</v>
      </c>
      <c r="B8" s="19">
        <f>+'IP - Cost'!B17</f>
        <v>12.212018372271295</v>
      </c>
      <c r="C8" s="20">
        <f>+'IP - Cost'!E17</f>
        <v>7.856317974636754E-13</v>
      </c>
      <c r="D8" t="s">
        <v>49</v>
      </c>
      <c r="E8">
        <f>+'IP - Cost'!B8</f>
        <v>56</v>
      </c>
    </row>
    <row r="9" spans="1:5" x14ac:dyDescent="0.2">
      <c r="A9" t="s">
        <v>20</v>
      </c>
      <c r="B9" s="15">
        <f>+SQRT(252*_xlfn.VAR.S(IP!C:C))</f>
        <v>0.32439331889654305</v>
      </c>
    </row>
    <row r="11" spans="1:5" x14ac:dyDescent="0.2">
      <c r="A11" s="14" t="s">
        <v>21</v>
      </c>
    </row>
    <row r="12" spans="1:5" x14ac:dyDescent="0.2">
      <c r="A12" t="s">
        <v>14</v>
      </c>
      <c r="B12" s="19">
        <f>+'IP - FA'!B9*4</f>
        <v>2078.3879999999999</v>
      </c>
    </row>
    <row r="13" spans="1:5" x14ac:dyDescent="0.2">
      <c r="A13" t="s">
        <v>15</v>
      </c>
      <c r="B13" s="15">
        <f>+AVERAGE('IP - FA'!C9:C13)*4</f>
        <v>1.4640107953431652E-3</v>
      </c>
    </row>
    <row r="14" spans="1:5" x14ac:dyDescent="0.2">
      <c r="A14" t="s">
        <v>16</v>
      </c>
      <c r="B14" s="15">
        <f>+B5</f>
        <v>0.18518353952562089</v>
      </c>
    </row>
    <row r="15" spans="1:5" x14ac:dyDescent="0.2">
      <c r="A15" t="s">
        <v>17</v>
      </c>
      <c r="B15" s="15">
        <f>+B6</f>
        <v>0.63601184251403609</v>
      </c>
    </row>
    <row r="16" spans="1:5" x14ac:dyDescent="0.2">
      <c r="A16" t="s">
        <v>18</v>
      </c>
      <c r="B16" s="15">
        <f t="shared" ref="B16:B17" si="0">+B7</f>
        <v>9.6248272633656651E-2</v>
      </c>
    </row>
    <row r="17" spans="1:2" x14ac:dyDescent="0.2">
      <c r="A17" t="s">
        <v>19</v>
      </c>
      <c r="B17" s="19">
        <f t="shared" si="0"/>
        <v>12.212018372271295</v>
      </c>
    </row>
    <row r="18" spans="1:2" x14ac:dyDescent="0.2">
      <c r="A18" t="s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4276-8331-3D45-804C-4D93B3B4DDE5}">
  <dimension ref="A1:C4314"/>
  <sheetViews>
    <sheetView workbookViewId="0">
      <selection activeCell="C2" sqref="C2"/>
    </sheetView>
  </sheetViews>
  <sheetFormatPr baseColWidth="10" defaultColWidth="8.83203125" defaultRowHeight="16" x14ac:dyDescent="0.2"/>
  <cols>
    <col min="3" max="3" width="8.83203125" style="2"/>
  </cols>
  <sheetData>
    <row r="1" spans="1:3" x14ac:dyDescent="0.2">
      <c r="A1" t="s">
        <v>0</v>
      </c>
      <c r="B1" t="s">
        <v>1</v>
      </c>
      <c r="C1" s="2" t="s">
        <v>46</v>
      </c>
    </row>
    <row r="2" spans="1:3" x14ac:dyDescent="0.2">
      <c r="A2" s="1">
        <v>46072</v>
      </c>
      <c r="B2">
        <v>93.224999999999994</v>
      </c>
      <c r="C2" s="2">
        <f>+LN(B2/B3)</f>
        <v>-2.0895290090774989E-3</v>
      </c>
    </row>
    <row r="3" spans="1:3" x14ac:dyDescent="0.2">
      <c r="A3" s="1">
        <v>46071</v>
      </c>
      <c r="B3">
        <v>93.42</v>
      </c>
      <c r="C3" s="2">
        <f t="shared" ref="C3:C66" si="0">+LN(B3/B4)</f>
        <v>-9.3757345654497878E-3</v>
      </c>
    </row>
    <row r="4" spans="1:3" x14ac:dyDescent="0.2">
      <c r="A4" s="1">
        <v>46070</v>
      </c>
      <c r="B4">
        <v>94.3</v>
      </c>
      <c r="C4" s="2">
        <f t="shared" si="0"/>
        <v>-3.91597050138804E-3</v>
      </c>
    </row>
    <row r="5" spans="1:3" x14ac:dyDescent="0.2">
      <c r="A5" s="1">
        <v>46066</v>
      </c>
      <c r="B5">
        <v>94.67</v>
      </c>
      <c r="C5" s="2">
        <f t="shared" si="0"/>
        <v>4.128082072869463E-3</v>
      </c>
    </row>
    <row r="6" spans="1:3" x14ac:dyDescent="0.2">
      <c r="A6" s="1">
        <v>46065</v>
      </c>
      <c r="B6">
        <v>94.28</v>
      </c>
      <c r="C6" s="2">
        <f t="shared" si="0"/>
        <v>-2.119093821176509E-3</v>
      </c>
    </row>
    <row r="7" spans="1:3" x14ac:dyDescent="0.2">
      <c r="A7" s="1">
        <v>46064</v>
      </c>
      <c r="B7">
        <v>94.48</v>
      </c>
      <c r="C7" s="2">
        <f t="shared" si="0"/>
        <v>2.7556986172118042E-3</v>
      </c>
    </row>
    <row r="8" spans="1:3" x14ac:dyDescent="0.2">
      <c r="A8" s="1">
        <v>46063</v>
      </c>
      <c r="B8">
        <v>94.22</v>
      </c>
      <c r="C8" s="2">
        <f t="shared" si="0"/>
        <v>1.5724771784350614E-2</v>
      </c>
    </row>
    <row r="9" spans="1:3" x14ac:dyDescent="0.2">
      <c r="A9" s="1">
        <v>46062</v>
      </c>
      <c r="B9">
        <v>92.75</v>
      </c>
      <c r="C9" s="2">
        <f t="shared" si="0"/>
        <v>-1.0781089978645886E-4</v>
      </c>
    </row>
    <row r="10" spans="1:3" x14ac:dyDescent="0.2">
      <c r="A10" s="1">
        <v>46059</v>
      </c>
      <c r="B10">
        <v>92.76</v>
      </c>
      <c r="C10" s="2">
        <f t="shared" si="0"/>
        <v>3.672106945210665E-3</v>
      </c>
    </row>
    <row r="11" spans="1:3" x14ac:dyDescent="0.2">
      <c r="A11" s="1">
        <v>46058</v>
      </c>
      <c r="B11">
        <v>92.42</v>
      </c>
      <c r="C11" s="2">
        <f t="shared" si="0"/>
        <v>9.1304982131708828E-3</v>
      </c>
    </row>
    <row r="12" spans="1:3" x14ac:dyDescent="0.2">
      <c r="A12" s="1">
        <v>46057</v>
      </c>
      <c r="B12">
        <v>91.58</v>
      </c>
      <c r="C12" s="2">
        <f t="shared" si="0"/>
        <v>3.0938876184713856E-2</v>
      </c>
    </row>
    <row r="13" spans="1:3" x14ac:dyDescent="0.2">
      <c r="A13" s="1">
        <v>46056</v>
      </c>
      <c r="B13">
        <v>88.79</v>
      </c>
      <c r="C13" s="2">
        <f t="shared" si="0"/>
        <v>3.4974932702108285E-3</v>
      </c>
    </row>
    <row r="14" spans="1:3" x14ac:dyDescent="0.2">
      <c r="A14" s="1">
        <v>46055</v>
      </c>
      <c r="B14">
        <v>88.48</v>
      </c>
      <c r="C14" s="2">
        <f t="shared" si="0"/>
        <v>1.3082491348383195E-2</v>
      </c>
    </row>
    <row r="15" spans="1:3" x14ac:dyDescent="0.2">
      <c r="A15" s="1">
        <v>46052</v>
      </c>
      <c r="B15">
        <v>87.33</v>
      </c>
      <c r="C15" s="2">
        <f t="shared" si="0"/>
        <v>-2.8586149476107249E-3</v>
      </c>
    </row>
    <row r="16" spans="1:3" x14ac:dyDescent="0.2">
      <c r="A16" s="1">
        <v>46051</v>
      </c>
      <c r="B16">
        <v>87.58</v>
      </c>
      <c r="C16" s="2">
        <f t="shared" si="0"/>
        <v>8.6004773006985273E-3</v>
      </c>
    </row>
    <row r="17" spans="1:3" x14ac:dyDescent="0.2">
      <c r="A17" s="1">
        <v>46050</v>
      </c>
      <c r="B17">
        <v>86.83</v>
      </c>
      <c r="C17" s="2">
        <f t="shared" si="0"/>
        <v>-9.3994272946898542E-3</v>
      </c>
    </row>
    <row r="18" spans="1:3" x14ac:dyDescent="0.2">
      <c r="A18" s="1">
        <v>46049</v>
      </c>
      <c r="B18">
        <v>87.65</v>
      </c>
      <c r="C18" s="2">
        <f t="shared" si="0"/>
        <v>1.0205925408569841E-2</v>
      </c>
    </row>
    <row r="19" spans="1:3" x14ac:dyDescent="0.2">
      <c r="A19" s="1">
        <v>46048</v>
      </c>
      <c r="B19">
        <v>86.76</v>
      </c>
      <c r="C19" s="2">
        <f t="shared" si="0"/>
        <v>2.4234043364554378E-3</v>
      </c>
    </row>
    <row r="20" spans="1:3" x14ac:dyDescent="0.2">
      <c r="A20" s="1">
        <v>46045</v>
      </c>
      <c r="B20">
        <v>86.55</v>
      </c>
      <c r="C20" s="2">
        <f t="shared" si="0"/>
        <v>-1.1373550140531138E-2</v>
      </c>
    </row>
    <row r="21" spans="1:3" x14ac:dyDescent="0.2">
      <c r="A21" s="1">
        <v>46044</v>
      </c>
      <c r="B21">
        <v>87.54</v>
      </c>
      <c r="C21" s="2">
        <f t="shared" si="0"/>
        <v>5.9578544702154172E-3</v>
      </c>
    </row>
    <row r="22" spans="1:3" x14ac:dyDescent="0.2">
      <c r="A22" s="1">
        <v>46043</v>
      </c>
      <c r="B22">
        <v>87.02</v>
      </c>
      <c r="C22" s="2">
        <f t="shared" si="0"/>
        <v>2.5135137518355197E-2</v>
      </c>
    </row>
    <row r="23" spans="1:3" x14ac:dyDescent="0.2">
      <c r="A23" s="1">
        <v>46042</v>
      </c>
      <c r="B23">
        <v>84.86</v>
      </c>
      <c r="C23" s="2">
        <f t="shared" si="0"/>
        <v>-3.542447032118716E-2</v>
      </c>
    </row>
    <row r="24" spans="1:3" x14ac:dyDescent="0.2">
      <c r="A24" s="1">
        <v>46038</v>
      </c>
      <c r="B24">
        <v>87.92</v>
      </c>
      <c r="C24" s="2">
        <f t="shared" si="0"/>
        <v>4.2172513635050871E-3</v>
      </c>
    </row>
    <row r="25" spans="1:3" x14ac:dyDescent="0.2">
      <c r="A25" s="1">
        <v>46037</v>
      </c>
      <c r="B25">
        <v>87.55</v>
      </c>
      <c r="C25" s="2">
        <f t="shared" si="0"/>
        <v>9.9868820637024434E-3</v>
      </c>
    </row>
    <row r="26" spans="1:3" x14ac:dyDescent="0.2">
      <c r="A26" s="1">
        <v>46036</v>
      </c>
      <c r="B26">
        <v>86.68</v>
      </c>
      <c r="C26" s="2">
        <f t="shared" si="0"/>
        <v>7.4108722686290936E-3</v>
      </c>
    </row>
    <row r="27" spans="1:3" x14ac:dyDescent="0.2">
      <c r="A27" s="1">
        <v>46035</v>
      </c>
      <c r="B27">
        <v>86.04</v>
      </c>
      <c r="C27" s="2">
        <f t="shared" si="0"/>
        <v>4.6598406780472635E-3</v>
      </c>
    </row>
    <row r="28" spans="1:3" x14ac:dyDescent="0.2">
      <c r="A28" s="1">
        <v>46034</v>
      </c>
      <c r="B28">
        <v>85.64</v>
      </c>
      <c r="C28" s="2">
        <f t="shared" si="0"/>
        <v>-3.6132681073762028E-3</v>
      </c>
    </row>
    <row r="29" spans="1:3" x14ac:dyDescent="0.2">
      <c r="A29" s="1">
        <v>46031</v>
      </c>
      <c r="B29">
        <v>85.95</v>
      </c>
      <c r="C29" s="2">
        <f t="shared" si="0"/>
        <v>8.8816757741091643E-3</v>
      </c>
    </row>
    <row r="30" spans="1:3" x14ac:dyDescent="0.2">
      <c r="A30" s="1">
        <v>46030</v>
      </c>
      <c r="B30">
        <v>85.19</v>
      </c>
      <c r="C30" s="2">
        <f t="shared" si="0"/>
        <v>2.4358122230257774E-2</v>
      </c>
    </row>
    <row r="31" spans="1:3" x14ac:dyDescent="0.2">
      <c r="A31" s="1">
        <v>46029</v>
      </c>
      <c r="B31">
        <v>83.14</v>
      </c>
      <c r="C31" s="2">
        <f t="shared" si="0"/>
        <v>-1.8825767468659622E-2</v>
      </c>
    </row>
    <row r="32" spans="1:3" x14ac:dyDescent="0.2">
      <c r="A32" s="1">
        <v>46028</v>
      </c>
      <c r="B32">
        <v>84.72</v>
      </c>
      <c r="C32" s="2">
        <f t="shared" si="0"/>
        <v>1.4385316128012922E-2</v>
      </c>
    </row>
    <row r="33" spans="1:3" x14ac:dyDescent="0.2">
      <c r="A33" s="1">
        <v>46027</v>
      </c>
      <c r="B33">
        <v>83.51</v>
      </c>
      <c r="C33" s="2">
        <f t="shared" si="0"/>
        <v>1.047256035375496E-2</v>
      </c>
    </row>
    <row r="34" spans="1:3" x14ac:dyDescent="0.2">
      <c r="A34" s="1">
        <v>46024</v>
      </c>
      <c r="B34">
        <v>82.64</v>
      </c>
      <c r="C34" s="2">
        <f t="shared" si="0"/>
        <v>8.1404981464438045E-3</v>
      </c>
    </row>
    <row r="35" spans="1:3" x14ac:dyDescent="0.2">
      <c r="A35" s="1">
        <v>46022</v>
      </c>
      <c r="B35">
        <v>81.97</v>
      </c>
      <c r="C35" s="2">
        <f t="shared" si="0"/>
        <v>-1.35710310119507E-2</v>
      </c>
    </row>
    <row r="36" spans="1:3" x14ac:dyDescent="0.2">
      <c r="A36" s="1">
        <v>46021</v>
      </c>
      <c r="B36">
        <v>83.09</v>
      </c>
      <c r="C36" s="2">
        <f t="shared" si="0"/>
        <v>-2.0438840899394263E-3</v>
      </c>
    </row>
    <row r="37" spans="1:3" x14ac:dyDescent="0.2">
      <c r="A37" s="1">
        <v>46020</v>
      </c>
      <c r="B37">
        <v>83.26</v>
      </c>
      <c r="C37" s="2">
        <f t="shared" si="0"/>
        <v>-1.6800675978717291E-3</v>
      </c>
    </row>
    <row r="38" spans="1:3" x14ac:dyDescent="0.2">
      <c r="A38" s="1">
        <v>46017</v>
      </c>
      <c r="B38">
        <v>83.4</v>
      </c>
      <c r="C38" s="2">
        <f t="shared" si="0"/>
        <v>-2.3952107259547105E-3</v>
      </c>
    </row>
    <row r="39" spans="1:3" x14ac:dyDescent="0.2">
      <c r="A39" s="1">
        <v>46015</v>
      </c>
      <c r="B39">
        <v>83.6</v>
      </c>
      <c r="C39" s="2">
        <f t="shared" si="0"/>
        <v>1.6760449272494736E-3</v>
      </c>
    </row>
    <row r="40" spans="1:3" x14ac:dyDescent="0.2">
      <c r="A40" s="1">
        <v>46014</v>
      </c>
      <c r="B40">
        <v>83.46</v>
      </c>
      <c r="C40" s="2">
        <f t="shared" si="0"/>
        <v>1.1982505556227685E-4</v>
      </c>
    </row>
    <row r="41" spans="1:3" x14ac:dyDescent="0.2">
      <c r="A41" s="1">
        <v>46013</v>
      </c>
      <c r="B41">
        <v>83.45</v>
      </c>
      <c r="C41" s="2">
        <f t="shared" si="0"/>
        <v>9.26991529427648E-3</v>
      </c>
    </row>
    <row r="42" spans="1:3" x14ac:dyDescent="0.2">
      <c r="A42" s="1">
        <v>46010</v>
      </c>
      <c r="B42">
        <v>82.68</v>
      </c>
      <c r="C42" s="2">
        <f t="shared" si="0"/>
        <v>-5.1872967513673261E-3</v>
      </c>
    </row>
    <row r="43" spans="1:3" x14ac:dyDescent="0.2">
      <c r="A43" s="1">
        <v>46009</v>
      </c>
      <c r="B43">
        <v>83.11</v>
      </c>
      <c r="C43" s="2">
        <f t="shared" si="0"/>
        <v>-6.0143142487719683E-4</v>
      </c>
    </row>
    <row r="44" spans="1:3" x14ac:dyDescent="0.2">
      <c r="A44" s="1">
        <v>46008</v>
      </c>
      <c r="B44">
        <v>83.16</v>
      </c>
      <c r="C44" s="2">
        <f t="shared" si="0"/>
        <v>5.3050522296930981E-3</v>
      </c>
    </row>
    <row r="45" spans="1:3" x14ac:dyDescent="0.2">
      <c r="A45" s="1">
        <v>46007</v>
      </c>
      <c r="B45">
        <v>82.72</v>
      </c>
      <c r="C45" s="2">
        <f t="shared" si="0"/>
        <v>-2.06982324936901E-2</v>
      </c>
    </row>
    <row r="46" spans="1:3" x14ac:dyDescent="0.2">
      <c r="A46" s="1">
        <v>46006</v>
      </c>
      <c r="B46">
        <v>84.45</v>
      </c>
      <c r="C46" s="2">
        <f t="shared" si="0"/>
        <v>1.0355386234039752E-2</v>
      </c>
    </row>
    <row r="47" spans="1:3" x14ac:dyDescent="0.2">
      <c r="A47" s="1">
        <v>46003</v>
      </c>
      <c r="B47">
        <v>83.58</v>
      </c>
      <c r="C47" s="2">
        <f t="shared" si="0"/>
        <v>-1.4347204756604054E-3</v>
      </c>
    </row>
    <row r="48" spans="1:3" x14ac:dyDescent="0.2">
      <c r="A48" s="1">
        <v>46002</v>
      </c>
      <c r="B48">
        <v>83.7</v>
      </c>
      <c r="C48" s="2">
        <f t="shared" si="0"/>
        <v>1.9057385344696722E-2</v>
      </c>
    </row>
    <row r="49" spans="1:3" x14ac:dyDescent="0.2">
      <c r="A49" s="1">
        <v>46001</v>
      </c>
      <c r="B49">
        <v>82.12</v>
      </c>
      <c r="C49" s="2">
        <f t="shared" si="0"/>
        <v>1.0281608320561152E-2</v>
      </c>
    </row>
    <row r="50" spans="1:3" x14ac:dyDescent="0.2">
      <c r="A50" s="1">
        <v>46000</v>
      </c>
      <c r="B50">
        <v>81.28</v>
      </c>
      <c r="C50" s="2">
        <f t="shared" si="0"/>
        <v>-1.9252452819083953E-2</v>
      </c>
    </row>
    <row r="51" spans="1:3" x14ac:dyDescent="0.2">
      <c r="A51" s="1">
        <v>45999</v>
      </c>
      <c r="B51">
        <v>82.86</v>
      </c>
      <c r="C51" s="2">
        <f t="shared" si="0"/>
        <v>-7.3348492133894858E-3</v>
      </c>
    </row>
    <row r="52" spans="1:3" x14ac:dyDescent="0.2">
      <c r="A52" s="1">
        <v>45996</v>
      </c>
      <c r="B52">
        <v>83.47</v>
      </c>
      <c r="C52" s="2">
        <f t="shared" si="0"/>
        <v>5.9919709384600897E-4</v>
      </c>
    </row>
    <row r="53" spans="1:3" x14ac:dyDescent="0.2">
      <c r="A53" s="1">
        <v>45995</v>
      </c>
      <c r="B53">
        <v>83.42</v>
      </c>
      <c r="C53" s="2">
        <f t="shared" si="0"/>
        <v>5.1679701584425976E-3</v>
      </c>
    </row>
    <row r="54" spans="1:3" x14ac:dyDescent="0.2">
      <c r="A54" s="1">
        <v>45994</v>
      </c>
      <c r="B54">
        <v>82.99</v>
      </c>
      <c r="C54" s="2">
        <f t="shared" si="0"/>
        <v>6.1642789016519437E-3</v>
      </c>
    </row>
    <row r="55" spans="1:3" x14ac:dyDescent="0.2">
      <c r="A55" s="1">
        <v>45993</v>
      </c>
      <c r="B55">
        <v>82.48</v>
      </c>
      <c r="C55" s="2">
        <f t="shared" si="0"/>
        <v>2.7924500632231565E-3</v>
      </c>
    </row>
    <row r="56" spans="1:3" x14ac:dyDescent="0.2">
      <c r="A56" s="1">
        <v>45992</v>
      </c>
      <c r="B56">
        <v>82.25</v>
      </c>
      <c r="C56" s="2">
        <f t="shared" si="0"/>
        <v>-2.3073663767769802E-3</v>
      </c>
    </row>
    <row r="57" spans="1:3" x14ac:dyDescent="0.2">
      <c r="A57" s="1">
        <v>45989</v>
      </c>
      <c r="B57">
        <v>82.44</v>
      </c>
      <c r="C57" s="2">
        <f t="shared" si="0"/>
        <v>1.578149037705708E-3</v>
      </c>
    </row>
    <row r="58" spans="1:3" x14ac:dyDescent="0.2">
      <c r="A58" s="1">
        <v>45987</v>
      </c>
      <c r="B58">
        <v>82.31</v>
      </c>
      <c r="C58" s="2">
        <f t="shared" si="0"/>
        <v>-6.7805078763985074E-3</v>
      </c>
    </row>
    <row r="59" spans="1:3" x14ac:dyDescent="0.2">
      <c r="A59" s="1">
        <v>45986</v>
      </c>
      <c r="B59">
        <v>82.87</v>
      </c>
      <c r="C59" s="2">
        <f t="shared" si="0"/>
        <v>2.4801222325530881E-2</v>
      </c>
    </row>
    <row r="60" spans="1:3" x14ac:dyDescent="0.2">
      <c r="A60" s="1">
        <v>45985</v>
      </c>
      <c r="B60">
        <v>80.84</v>
      </c>
      <c r="C60" s="2">
        <f t="shared" si="0"/>
        <v>-1.7656172249336084E-2</v>
      </c>
    </row>
    <row r="61" spans="1:3" x14ac:dyDescent="0.2">
      <c r="A61" s="1">
        <v>45982</v>
      </c>
      <c r="B61">
        <v>82.28</v>
      </c>
      <c r="C61" s="2">
        <f t="shared" si="0"/>
        <v>3.2109451508413586E-2</v>
      </c>
    </row>
    <row r="62" spans="1:3" x14ac:dyDescent="0.2">
      <c r="A62" s="1">
        <v>45981</v>
      </c>
      <c r="B62">
        <v>79.680000000000007</v>
      </c>
      <c r="C62" s="2">
        <f t="shared" si="0"/>
        <v>4.024150299725548E-3</v>
      </c>
    </row>
    <row r="63" spans="1:3" x14ac:dyDescent="0.2">
      <c r="A63" s="1">
        <v>45980</v>
      </c>
      <c r="B63">
        <v>79.36</v>
      </c>
      <c r="C63" s="2">
        <f t="shared" si="0"/>
        <v>2.7760270193391296E-3</v>
      </c>
    </row>
    <row r="64" spans="1:3" x14ac:dyDescent="0.2">
      <c r="A64" s="1">
        <v>45979</v>
      </c>
      <c r="B64">
        <v>79.14</v>
      </c>
      <c r="C64" s="2">
        <f t="shared" si="0"/>
        <v>-1.7674540644542804E-3</v>
      </c>
    </row>
    <row r="65" spans="1:3" x14ac:dyDescent="0.2">
      <c r="A65" s="1">
        <v>45978</v>
      </c>
      <c r="B65">
        <v>79.28</v>
      </c>
      <c r="C65" s="2">
        <f t="shared" si="0"/>
        <v>-1.0913989033829456E-2</v>
      </c>
    </row>
    <row r="66" spans="1:3" x14ac:dyDescent="0.2">
      <c r="A66" s="1">
        <v>45975</v>
      </c>
      <c r="B66">
        <v>80.150000000000006</v>
      </c>
      <c r="C66" s="2">
        <f t="shared" si="0"/>
        <v>-1.2769032355189756E-2</v>
      </c>
    </row>
    <row r="67" spans="1:3" x14ac:dyDescent="0.2">
      <c r="A67" s="1">
        <v>45974</v>
      </c>
      <c r="B67">
        <v>81.180000000000007</v>
      </c>
      <c r="C67" s="2">
        <f t="shared" ref="C67:C130" si="1">+LN(B67/B68)</f>
        <v>-1.6492952193841091E-2</v>
      </c>
    </row>
    <row r="68" spans="1:3" x14ac:dyDescent="0.2">
      <c r="A68" s="1">
        <v>45973</v>
      </c>
      <c r="B68">
        <v>82.53</v>
      </c>
      <c r="C68" s="2">
        <f t="shared" si="1"/>
        <v>6.1987436406796314E-3</v>
      </c>
    </row>
    <row r="69" spans="1:3" x14ac:dyDescent="0.2">
      <c r="A69" s="1">
        <v>45972</v>
      </c>
      <c r="B69">
        <v>82.02</v>
      </c>
      <c r="C69" s="2">
        <f t="shared" si="1"/>
        <v>2.9304050274167829E-3</v>
      </c>
    </row>
    <row r="70" spans="1:3" x14ac:dyDescent="0.2">
      <c r="A70" s="1">
        <v>45971</v>
      </c>
      <c r="B70">
        <v>81.78</v>
      </c>
      <c r="C70" s="2">
        <f t="shared" si="1"/>
        <v>1.5908955200220969E-3</v>
      </c>
    </row>
    <row r="71" spans="1:3" x14ac:dyDescent="0.2">
      <c r="A71" s="1">
        <v>45968</v>
      </c>
      <c r="B71">
        <v>81.650000000000006</v>
      </c>
      <c r="C71" s="2">
        <f t="shared" si="1"/>
        <v>5.034082704290406E-3</v>
      </c>
    </row>
    <row r="72" spans="1:3" x14ac:dyDescent="0.2">
      <c r="A72" s="1">
        <v>45967</v>
      </c>
      <c r="B72">
        <v>81.239999999999995</v>
      </c>
      <c r="C72" s="2">
        <f t="shared" si="1"/>
        <v>-1.1990844757548511E-2</v>
      </c>
    </row>
    <row r="73" spans="1:3" x14ac:dyDescent="0.2">
      <c r="A73" s="1">
        <v>45966</v>
      </c>
      <c r="B73">
        <v>82.22</v>
      </c>
      <c r="C73" s="2">
        <f t="shared" si="1"/>
        <v>6.5894076133221425E-3</v>
      </c>
    </row>
    <row r="74" spans="1:3" x14ac:dyDescent="0.2">
      <c r="A74" s="1">
        <v>45965</v>
      </c>
      <c r="B74">
        <v>81.680000000000007</v>
      </c>
      <c r="C74" s="2">
        <f t="shared" si="1"/>
        <v>2.6970716361437454E-3</v>
      </c>
    </row>
    <row r="75" spans="1:3" x14ac:dyDescent="0.2">
      <c r="A75" s="1">
        <v>45964</v>
      </c>
      <c r="B75">
        <v>81.459999999999994</v>
      </c>
      <c r="C75" s="2">
        <f t="shared" si="1"/>
        <v>-3.7983259536193883E-3</v>
      </c>
    </row>
    <row r="76" spans="1:3" x14ac:dyDescent="0.2">
      <c r="A76" s="1">
        <v>45961</v>
      </c>
      <c r="B76">
        <v>81.77</v>
      </c>
      <c r="C76" s="2">
        <f t="shared" si="1"/>
        <v>1.3667638728663835E-2</v>
      </c>
    </row>
    <row r="77" spans="1:3" x14ac:dyDescent="0.2">
      <c r="A77" s="1">
        <v>45960</v>
      </c>
      <c r="B77">
        <v>80.66</v>
      </c>
      <c r="C77" s="2">
        <f t="shared" si="1"/>
        <v>-1.7341760818276105E-3</v>
      </c>
    </row>
    <row r="78" spans="1:3" x14ac:dyDescent="0.2">
      <c r="A78" s="1">
        <v>45959</v>
      </c>
      <c r="B78">
        <v>80.8</v>
      </c>
      <c r="C78" s="2">
        <f t="shared" si="1"/>
        <v>-7.2754498119003783E-3</v>
      </c>
    </row>
    <row r="79" spans="1:3" x14ac:dyDescent="0.2">
      <c r="A79" s="1">
        <v>45958</v>
      </c>
      <c r="B79">
        <v>81.39</v>
      </c>
      <c r="C79" s="2">
        <f t="shared" si="1"/>
        <v>-6.8568898508886119E-3</v>
      </c>
    </row>
    <row r="80" spans="1:3" x14ac:dyDescent="0.2">
      <c r="A80" s="1">
        <v>45957</v>
      </c>
      <c r="B80">
        <v>81.95</v>
      </c>
      <c r="C80" s="2">
        <f t="shared" si="1"/>
        <v>-5.4761317255874048E-3</v>
      </c>
    </row>
    <row r="81" spans="1:3" x14ac:dyDescent="0.2">
      <c r="A81" s="1">
        <v>45954</v>
      </c>
      <c r="B81">
        <v>82.4</v>
      </c>
      <c r="C81" s="2">
        <f t="shared" si="1"/>
        <v>8.8986995452417957E-3</v>
      </c>
    </row>
    <row r="82" spans="1:3" x14ac:dyDescent="0.2">
      <c r="A82" s="1">
        <v>45953</v>
      </c>
      <c r="B82">
        <v>81.67</v>
      </c>
      <c r="C82" s="2">
        <f t="shared" si="1"/>
        <v>7.34933889032821E-4</v>
      </c>
    </row>
    <row r="83" spans="1:3" x14ac:dyDescent="0.2">
      <c r="A83" s="1">
        <v>45952</v>
      </c>
      <c r="B83">
        <v>81.61</v>
      </c>
      <c r="C83" s="2">
        <f t="shared" si="1"/>
        <v>-2.7196938261465051E-2</v>
      </c>
    </row>
    <row r="84" spans="1:3" x14ac:dyDescent="0.2">
      <c r="A84" s="1">
        <v>45951</v>
      </c>
      <c r="B84">
        <v>83.86</v>
      </c>
      <c r="C84" s="2">
        <f t="shared" si="1"/>
        <v>1.8291725400857956E-2</v>
      </c>
    </row>
    <row r="85" spans="1:3" x14ac:dyDescent="0.2">
      <c r="A85" s="1">
        <v>45950</v>
      </c>
      <c r="B85">
        <v>82.34</v>
      </c>
      <c r="C85" s="2">
        <f t="shared" si="1"/>
        <v>4.8590865873462659E-4</v>
      </c>
    </row>
    <row r="86" spans="1:3" x14ac:dyDescent="0.2">
      <c r="A86" s="1">
        <v>45947</v>
      </c>
      <c r="B86">
        <v>82.3</v>
      </c>
      <c r="C86" s="2">
        <f t="shared" si="1"/>
        <v>8.9095603705351689E-3</v>
      </c>
    </row>
    <row r="87" spans="1:3" x14ac:dyDescent="0.2">
      <c r="A87" s="1">
        <v>45946</v>
      </c>
      <c r="B87">
        <v>81.569999999999993</v>
      </c>
      <c r="C87" s="2">
        <f t="shared" si="1"/>
        <v>-8.1802543943659111E-3</v>
      </c>
    </row>
    <row r="88" spans="1:3" x14ac:dyDescent="0.2">
      <c r="A88" s="1">
        <v>45945</v>
      </c>
      <c r="B88">
        <v>82.24</v>
      </c>
      <c r="C88" s="2">
        <f t="shared" si="1"/>
        <v>3.2884750419156857E-3</v>
      </c>
    </row>
    <row r="89" spans="1:3" x14ac:dyDescent="0.2">
      <c r="A89" s="1">
        <v>45944</v>
      </c>
      <c r="B89">
        <v>81.97</v>
      </c>
      <c r="C89" s="2">
        <f t="shared" si="1"/>
        <v>1.165728889039477E-2</v>
      </c>
    </row>
    <row r="90" spans="1:3" x14ac:dyDescent="0.2">
      <c r="A90" s="1">
        <v>45943</v>
      </c>
      <c r="B90">
        <v>81.02</v>
      </c>
      <c r="C90" s="2">
        <f t="shared" si="1"/>
        <v>9.798528008979842E-3</v>
      </c>
    </row>
    <row r="91" spans="1:3" x14ac:dyDescent="0.2">
      <c r="A91" s="1">
        <v>45940</v>
      </c>
      <c r="B91">
        <v>80.23</v>
      </c>
      <c r="C91" s="2">
        <f t="shared" si="1"/>
        <v>-1.9746414773725664E-2</v>
      </c>
    </row>
    <row r="92" spans="1:3" x14ac:dyDescent="0.2">
      <c r="A92" s="1">
        <v>45939</v>
      </c>
      <c r="B92">
        <v>81.83</v>
      </c>
      <c r="C92" s="2">
        <f t="shared" si="1"/>
        <v>-2.0681634529739028E-2</v>
      </c>
    </row>
    <row r="93" spans="1:3" x14ac:dyDescent="0.2">
      <c r="A93" s="1">
        <v>45938</v>
      </c>
      <c r="B93">
        <v>83.54</v>
      </c>
      <c r="C93" s="2">
        <f t="shared" si="1"/>
        <v>9.5808390562290575E-4</v>
      </c>
    </row>
    <row r="94" spans="1:3" x14ac:dyDescent="0.2">
      <c r="A94" s="1">
        <v>45937</v>
      </c>
      <c r="B94">
        <v>83.46</v>
      </c>
      <c r="C94" s="2">
        <f t="shared" si="1"/>
        <v>-1.5338271097153163E-2</v>
      </c>
    </row>
    <row r="95" spans="1:3" x14ac:dyDescent="0.2">
      <c r="A95" s="1">
        <v>45936</v>
      </c>
      <c r="B95">
        <v>84.75</v>
      </c>
      <c r="C95" s="2">
        <f t="shared" si="1"/>
        <v>-1.179871395387645E-4</v>
      </c>
    </row>
    <row r="96" spans="1:3" x14ac:dyDescent="0.2">
      <c r="A96" s="1">
        <v>45933</v>
      </c>
      <c r="B96">
        <v>84.76</v>
      </c>
      <c r="C96" s="2">
        <f t="shared" si="1"/>
        <v>-1.1791063740803837E-3</v>
      </c>
    </row>
    <row r="97" spans="1:3" x14ac:dyDescent="0.2">
      <c r="A97" s="1">
        <v>45932</v>
      </c>
      <c r="B97">
        <v>84.86</v>
      </c>
      <c r="C97" s="2">
        <f t="shared" si="1"/>
        <v>3.8963388333424281E-3</v>
      </c>
    </row>
    <row r="98" spans="1:3" x14ac:dyDescent="0.2">
      <c r="A98" s="1">
        <v>45931</v>
      </c>
      <c r="B98">
        <v>84.53</v>
      </c>
      <c r="C98" s="2">
        <f t="shared" si="1"/>
        <v>-5.0740565527923592E-3</v>
      </c>
    </row>
    <row r="99" spans="1:3" x14ac:dyDescent="0.2">
      <c r="A99" s="1">
        <v>45930</v>
      </c>
      <c r="B99">
        <v>84.96</v>
      </c>
      <c r="C99" s="2">
        <f t="shared" si="1"/>
        <v>5.5473733288752295E-3</v>
      </c>
    </row>
    <row r="100" spans="1:3" x14ac:dyDescent="0.2">
      <c r="A100" s="1">
        <v>45929</v>
      </c>
      <c r="B100">
        <v>84.49</v>
      </c>
      <c r="C100" s="2">
        <f t="shared" si="1"/>
        <v>-2.6004742787060797E-3</v>
      </c>
    </row>
    <row r="101" spans="1:3" x14ac:dyDescent="0.2">
      <c r="A101" s="1">
        <v>45926</v>
      </c>
      <c r="B101">
        <v>84.71</v>
      </c>
      <c r="C101" s="2">
        <f t="shared" si="1"/>
        <v>7.9407824666598535E-3</v>
      </c>
    </row>
    <row r="102" spans="1:3" x14ac:dyDescent="0.2">
      <c r="A102" s="1">
        <v>45925</v>
      </c>
      <c r="B102">
        <v>84.04</v>
      </c>
      <c r="C102" s="2">
        <f t="shared" si="1"/>
        <v>-8.3258999754618748E-4</v>
      </c>
    </row>
    <row r="103" spans="1:3" x14ac:dyDescent="0.2">
      <c r="A103" s="1">
        <v>45924</v>
      </c>
      <c r="B103">
        <v>84.11</v>
      </c>
      <c r="C103" s="2">
        <f t="shared" si="1"/>
        <v>-1.0055091519282749E-2</v>
      </c>
    </row>
    <row r="104" spans="1:3" x14ac:dyDescent="0.2">
      <c r="A104" s="1">
        <v>45923</v>
      </c>
      <c r="B104">
        <v>84.96</v>
      </c>
      <c r="C104" s="2">
        <f t="shared" si="1"/>
        <v>5.9025079878312547E-3</v>
      </c>
    </row>
    <row r="105" spans="1:3" x14ac:dyDescent="0.2">
      <c r="A105" s="1">
        <v>45922</v>
      </c>
      <c r="B105">
        <v>84.46</v>
      </c>
      <c r="C105" s="2">
        <f t="shared" si="1"/>
        <v>-2.1289186041917835E-3</v>
      </c>
    </row>
    <row r="106" spans="1:3" x14ac:dyDescent="0.2">
      <c r="A106" s="1">
        <v>45919</v>
      </c>
      <c r="B106">
        <v>84.64</v>
      </c>
      <c r="C106" s="2">
        <f t="shared" si="1"/>
        <v>-4.7147659237033535E-3</v>
      </c>
    </row>
    <row r="107" spans="1:3" x14ac:dyDescent="0.2">
      <c r="A107" s="1">
        <v>45918</v>
      </c>
      <c r="B107">
        <v>85.04</v>
      </c>
      <c r="C107" s="2">
        <f t="shared" si="1"/>
        <v>2.8261912358352663E-3</v>
      </c>
    </row>
    <row r="108" spans="1:3" x14ac:dyDescent="0.2">
      <c r="A108" s="1">
        <v>45917</v>
      </c>
      <c r="B108">
        <v>84.8</v>
      </c>
      <c r="C108" s="2">
        <f t="shared" si="1"/>
        <v>5.8979653729773274E-4</v>
      </c>
    </row>
    <row r="109" spans="1:3" x14ac:dyDescent="0.2">
      <c r="A109" s="1">
        <v>45916</v>
      </c>
      <c r="B109">
        <v>84.75</v>
      </c>
      <c r="C109" s="2">
        <f t="shared" si="1"/>
        <v>0</v>
      </c>
    </row>
    <row r="110" spans="1:3" x14ac:dyDescent="0.2">
      <c r="A110" s="1">
        <v>45915</v>
      </c>
      <c r="B110">
        <v>84.75</v>
      </c>
      <c r="C110" s="2">
        <f t="shared" si="1"/>
        <v>3.6645232804397472E-3</v>
      </c>
    </row>
    <row r="111" spans="1:3" x14ac:dyDescent="0.2">
      <c r="A111" s="1">
        <v>45912</v>
      </c>
      <c r="B111">
        <v>84.44</v>
      </c>
      <c r="C111" s="2">
        <f t="shared" si="1"/>
        <v>-1.9003504430333801E-2</v>
      </c>
    </row>
    <row r="112" spans="1:3" x14ac:dyDescent="0.2">
      <c r="A112" s="1">
        <v>45911</v>
      </c>
      <c r="B112">
        <v>86.06</v>
      </c>
      <c r="C112" s="2">
        <f t="shared" si="1"/>
        <v>1.4749184612596283E-2</v>
      </c>
    </row>
    <row r="113" spans="1:3" x14ac:dyDescent="0.2">
      <c r="A113" s="1">
        <v>45910</v>
      </c>
      <c r="B113">
        <v>84.8</v>
      </c>
      <c r="C113" s="2">
        <f t="shared" si="1"/>
        <v>3.5383617754331968E-4</v>
      </c>
    </row>
    <row r="114" spans="1:3" x14ac:dyDescent="0.2">
      <c r="A114" s="1">
        <v>45909</v>
      </c>
      <c r="B114">
        <v>84.77</v>
      </c>
      <c r="C114" s="2">
        <f t="shared" si="1"/>
        <v>-1.382402520854412E-2</v>
      </c>
    </row>
    <row r="115" spans="1:3" x14ac:dyDescent="0.2">
      <c r="A115" s="1">
        <v>45908</v>
      </c>
      <c r="B115">
        <v>85.95</v>
      </c>
      <c r="C115" s="2">
        <f t="shared" si="1"/>
        <v>9.3120714446484761E-4</v>
      </c>
    </row>
    <row r="116" spans="1:3" x14ac:dyDescent="0.2">
      <c r="A116" s="1">
        <v>45905</v>
      </c>
      <c r="B116">
        <v>85.87</v>
      </c>
      <c r="C116" s="2">
        <f t="shared" si="1"/>
        <v>-3.8356529852540222E-3</v>
      </c>
    </row>
    <row r="117" spans="1:3" x14ac:dyDescent="0.2">
      <c r="A117" s="1">
        <v>45904</v>
      </c>
      <c r="B117">
        <v>86.2</v>
      </c>
      <c r="C117" s="2">
        <f t="shared" si="1"/>
        <v>1.9800307113256508E-2</v>
      </c>
    </row>
    <row r="118" spans="1:3" x14ac:dyDescent="0.2">
      <c r="A118" s="1">
        <v>45903</v>
      </c>
      <c r="B118">
        <v>84.51</v>
      </c>
      <c r="C118" s="2">
        <f t="shared" si="1"/>
        <v>-3.5492458225294259E-4</v>
      </c>
    </row>
    <row r="119" spans="1:3" x14ac:dyDescent="0.2">
      <c r="A119" s="1">
        <v>45902</v>
      </c>
      <c r="B119">
        <v>84.54</v>
      </c>
      <c r="C119" s="2">
        <f t="shared" si="1"/>
        <v>-1.0004202780870892E-2</v>
      </c>
    </row>
    <row r="120" spans="1:3" x14ac:dyDescent="0.2">
      <c r="A120" s="1">
        <v>45898</v>
      </c>
      <c r="B120">
        <v>85.39</v>
      </c>
      <c r="C120" s="2">
        <f t="shared" si="1"/>
        <v>-8.3965507885589829E-3</v>
      </c>
    </row>
    <row r="121" spans="1:3" x14ac:dyDescent="0.2">
      <c r="A121" s="1">
        <v>45897</v>
      </c>
      <c r="B121">
        <v>86.11</v>
      </c>
      <c r="C121" s="2">
        <f t="shared" si="1"/>
        <v>-1.0512428584460221E-2</v>
      </c>
    </row>
    <row r="122" spans="1:3" x14ac:dyDescent="0.2">
      <c r="A122" s="1">
        <v>45896</v>
      </c>
      <c r="B122">
        <v>87.02</v>
      </c>
      <c r="C122" s="2">
        <f t="shared" si="1"/>
        <v>3.5687599034649083E-3</v>
      </c>
    </row>
    <row r="123" spans="1:3" x14ac:dyDescent="0.2">
      <c r="A123" s="1">
        <v>45895</v>
      </c>
      <c r="B123">
        <v>86.71</v>
      </c>
      <c r="C123" s="2">
        <f t="shared" si="1"/>
        <v>-1.4981276210221032E-3</v>
      </c>
    </row>
    <row r="124" spans="1:3" x14ac:dyDescent="0.2">
      <c r="A124" s="1">
        <v>45894</v>
      </c>
      <c r="B124">
        <v>86.84</v>
      </c>
      <c r="C124" s="2">
        <f t="shared" si="1"/>
        <v>-5.626701415550427E-3</v>
      </c>
    </row>
    <row r="125" spans="1:3" x14ac:dyDescent="0.2">
      <c r="A125" s="1">
        <v>45891</v>
      </c>
      <c r="B125">
        <v>87.33</v>
      </c>
      <c r="C125" s="2">
        <f t="shared" si="1"/>
        <v>3.081460015897702E-2</v>
      </c>
    </row>
    <row r="126" spans="1:3" x14ac:dyDescent="0.2">
      <c r="A126" s="1">
        <v>45890</v>
      </c>
      <c r="B126">
        <v>84.68</v>
      </c>
      <c r="C126" s="2">
        <f t="shared" si="1"/>
        <v>-7.295008230968859E-3</v>
      </c>
    </row>
    <row r="127" spans="1:3" x14ac:dyDescent="0.2">
      <c r="A127" s="1">
        <v>45889</v>
      </c>
      <c r="B127">
        <v>85.3</v>
      </c>
      <c r="C127" s="2">
        <f t="shared" si="1"/>
        <v>-1.0727714821355176E-2</v>
      </c>
    </row>
    <row r="128" spans="1:3" x14ac:dyDescent="0.2">
      <c r="A128" s="1">
        <v>45888</v>
      </c>
      <c r="B128">
        <v>86.22</v>
      </c>
      <c r="C128" s="2">
        <f t="shared" si="1"/>
        <v>1.5428076001686948E-2</v>
      </c>
    </row>
    <row r="129" spans="1:3" x14ac:dyDescent="0.2">
      <c r="A129" s="1">
        <v>45887</v>
      </c>
      <c r="B129">
        <v>84.9</v>
      </c>
      <c r="C129" s="2">
        <f t="shared" si="1"/>
        <v>5.9066917153901798E-3</v>
      </c>
    </row>
    <row r="130" spans="1:3" x14ac:dyDescent="0.2">
      <c r="A130" s="1">
        <v>45884</v>
      </c>
      <c r="B130">
        <v>84.4</v>
      </c>
      <c r="C130" s="2">
        <f t="shared" si="1"/>
        <v>-1.0489812729106691E-2</v>
      </c>
    </row>
    <row r="131" spans="1:3" x14ac:dyDescent="0.2">
      <c r="A131" s="1">
        <v>45883</v>
      </c>
      <c r="B131">
        <v>85.29</v>
      </c>
      <c r="C131" s="2">
        <f t="shared" ref="C131:C194" si="2">+LN(B131/B132)</f>
        <v>-2.5810124342652875E-2</v>
      </c>
    </row>
    <row r="132" spans="1:3" x14ac:dyDescent="0.2">
      <c r="A132" s="1">
        <v>45882</v>
      </c>
      <c r="B132">
        <v>87.52</v>
      </c>
      <c r="C132" s="2">
        <f t="shared" si="2"/>
        <v>2.510688943322156E-2</v>
      </c>
    </row>
    <row r="133" spans="1:3" x14ac:dyDescent="0.2">
      <c r="A133" s="1">
        <v>45881</v>
      </c>
      <c r="B133">
        <v>85.35</v>
      </c>
      <c r="C133" s="2">
        <f t="shared" si="2"/>
        <v>2.5993986250637431E-2</v>
      </c>
    </row>
    <row r="134" spans="1:3" x14ac:dyDescent="0.2">
      <c r="A134" s="1">
        <v>45880</v>
      </c>
      <c r="B134">
        <v>83.16</v>
      </c>
      <c r="C134" s="2">
        <f t="shared" si="2"/>
        <v>-4.0801688669977092E-3</v>
      </c>
    </row>
    <row r="135" spans="1:3" x14ac:dyDescent="0.2">
      <c r="A135" s="1">
        <v>45877</v>
      </c>
      <c r="B135">
        <v>83.5</v>
      </c>
      <c r="C135" s="2">
        <f t="shared" si="2"/>
        <v>-4.8981640251681601E-3</v>
      </c>
    </row>
    <row r="136" spans="1:3" x14ac:dyDescent="0.2">
      <c r="A136" s="1">
        <v>45876</v>
      </c>
      <c r="B136">
        <v>83.91</v>
      </c>
      <c r="C136" s="2">
        <f t="shared" si="2"/>
        <v>5.9765896284575664E-3</v>
      </c>
    </row>
    <row r="137" spans="1:3" x14ac:dyDescent="0.2">
      <c r="A137" s="1">
        <v>45875</v>
      </c>
      <c r="B137">
        <v>83.41</v>
      </c>
      <c r="C137" s="2">
        <f t="shared" si="2"/>
        <v>-5.6189997801986908E-3</v>
      </c>
    </row>
    <row r="138" spans="1:3" x14ac:dyDescent="0.2">
      <c r="A138" s="1">
        <v>45874</v>
      </c>
      <c r="B138">
        <v>83.88</v>
      </c>
      <c r="C138" s="2">
        <f t="shared" si="2"/>
        <v>9.4628483568291177E-3</v>
      </c>
    </row>
    <row r="139" spans="1:3" x14ac:dyDescent="0.2">
      <c r="A139" s="1">
        <v>45873</v>
      </c>
      <c r="B139">
        <v>83.09</v>
      </c>
      <c r="C139" s="2">
        <f t="shared" si="2"/>
        <v>6.1568372189458563E-3</v>
      </c>
    </row>
    <row r="140" spans="1:3" x14ac:dyDescent="0.2">
      <c r="A140" s="1">
        <v>45870</v>
      </c>
      <c r="B140">
        <v>82.58</v>
      </c>
      <c r="C140" s="2">
        <f t="shared" si="2"/>
        <v>-1.6811154798103141E-2</v>
      </c>
    </row>
    <row r="141" spans="1:3" x14ac:dyDescent="0.2">
      <c r="A141" s="1">
        <v>45869</v>
      </c>
      <c r="B141">
        <v>83.98</v>
      </c>
      <c r="C141" s="2">
        <f t="shared" si="2"/>
        <v>6.5707183420639758E-3</v>
      </c>
    </row>
    <row r="142" spans="1:3" x14ac:dyDescent="0.2">
      <c r="A142" s="1">
        <v>45868</v>
      </c>
      <c r="B142">
        <v>83.43</v>
      </c>
      <c r="C142" s="2">
        <f t="shared" si="2"/>
        <v>-1.3571636880147592E-2</v>
      </c>
    </row>
    <row r="143" spans="1:3" x14ac:dyDescent="0.2">
      <c r="A143" s="1">
        <v>45867</v>
      </c>
      <c r="B143">
        <v>84.57</v>
      </c>
      <c r="C143" s="2">
        <f t="shared" si="2"/>
        <v>1.0647738361794492E-3</v>
      </c>
    </row>
    <row r="144" spans="1:3" x14ac:dyDescent="0.2">
      <c r="A144" s="1">
        <v>45866</v>
      </c>
      <c r="B144">
        <v>84.48</v>
      </c>
      <c r="C144" s="2">
        <f t="shared" si="2"/>
        <v>-1.3012363579717858E-3</v>
      </c>
    </row>
    <row r="145" spans="1:3" x14ac:dyDescent="0.2">
      <c r="A145" s="1">
        <v>45863</v>
      </c>
      <c r="B145">
        <v>84.59</v>
      </c>
      <c r="C145" s="2">
        <f t="shared" si="2"/>
        <v>-2.9510733805584921E-3</v>
      </c>
    </row>
    <row r="146" spans="1:3" x14ac:dyDescent="0.2">
      <c r="A146" s="1">
        <v>45862</v>
      </c>
      <c r="B146">
        <v>84.84</v>
      </c>
      <c r="C146" s="2">
        <f t="shared" si="2"/>
        <v>-2.720781711376484E-2</v>
      </c>
    </row>
    <row r="147" spans="1:3" x14ac:dyDescent="0.2">
      <c r="A147" s="1">
        <v>45861</v>
      </c>
      <c r="B147">
        <v>87.18</v>
      </c>
      <c r="C147" s="2">
        <f t="shared" si="2"/>
        <v>-2.2938410468740117E-4</v>
      </c>
    </row>
    <row r="148" spans="1:3" x14ac:dyDescent="0.2">
      <c r="A148" s="1">
        <v>45860</v>
      </c>
      <c r="B148">
        <v>87.2</v>
      </c>
      <c r="C148" s="2">
        <f t="shared" si="2"/>
        <v>1.165016925562618E-2</v>
      </c>
    </row>
    <row r="149" spans="1:3" x14ac:dyDescent="0.2">
      <c r="A149" s="1">
        <v>45859</v>
      </c>
      <c r="B149">
        <v>86.19</v>
      </c>
      <c r="C149" s="2">
        <f t="shared" si="2"/>
        <v>-7.1676607444087579E-3</v>
      </c>
    </row>
    <row r="150" spans="1:3" x14ac:dyDescent="0.2">
      <c r="A150" s="1">
        <v>45856</v>
      </c>
      <c r="B150">
        <v>86.81</v>
      </c>
      <c r="C150" s="2">
        <f t="shared" si="2"/>
        <v>-1.0200076974420769E-2</v>
      </c>
    </row>
    <row r="151" spans="1:3" x14ac:dyDescent="0.2">
      <c r="A151" s="1">
        <v>45855</v>
      </c>
      <c r="B151">
        <v>87.7</v>
      </c>
      <c r="C151" s="2">
        <f t="shared" si="2"/>
        <v>1.4124366405798509E-2</v>
      </c>
    </row>
    <row r="152" spans="1:3" x14ac:dyDescent="0.2">
      <c r="A152" s="1">
        <v>45854</v>
      </c>
      <c r="B152">
        <v>86.47</v>
      </c>
      <c r="C152" s="2">
        <f t="shared" si="2"/>
        <v>5.9154611980291039E-3</v>
      </c>
    </row>
    <row r="153" spans="1:3" x14ac:dyDescent="0.2">
      <c r="A153" s="1">
        <v>45853</v>
      </c>
      <c r="B153">
        <v>85.96</v>
      </c>
      <c r="C153" s="2">
        <f t="shared" si="2"/>
        <v>-1.3863438302109492E-2</v>
      </c>
    </row>
    <row r="154" spans="1:3" x14ac:dyDescent="0.2">
      <c r="A154" s="1">
        <v>45852</v>
      </c>
      <c r="B154">
        <v>87.16</v>
      </c>
      <c r="C154" s="2">
        <f t="shared" si="2"/>
        <v>-5.8342555240751314E-3</v>
      </c>
    </row>
    <row r="155" spans="1:3" x14ac:dyDescent="0.2">
      <c r="A155" s="1">
        <v>45849</v>
      </c>
      <c r="B155">
        <v>87.67</v>
      </c>
      <c r="C155" s="2">
        <f t="shared" si="2"/>
        <v>-1.291949066991847E-2</v>
      </c>
    </row>
    <row r="156" spans="1:3" x14ac:dyDescent="0.2">
      <c r="A156" s="1">
        <v>45848</v>
      </c>
      <c r="B156">
        <v>88.81</v>
      </c>
      <c r="C156" s="2">
        <f t="shared" si="2"/>
        <v>4.0618356646184798E-3</v>
      </c>
    </row>
    <row r="157" spans="1:3" x14ac:dyDescent="0.2">
      <c r="A157" s="1">
        <v>45847</v>
      </c>
      <c r="B157">
        <v>88.45</v>
      </c>
      <c r="C157" s="2">
        <f t="shared" si="2"/>
        <v>3.2840752011900187E-3</v>
      </c>
    </row>
    <row r="158" spans="1:3" x14ac:dyDescent="0.2">
      <c r="A158" s="1">
        <v>45846</v>
      </c>
      <c r="B158">
        <v>88.16</v>
      </c>
      <c r="C158" s="2">
        <f t="shared" si="2"/>
        <v>6.2581987263318024E-3</v>
      </c>
    </row>
    <row r="159" spans="1:3" x14ac:dyDescent="0.2">
      <c r="A159" s="1">
        <v>45845</v>
      </c>
      <c r="B159">
        <v>87.61</v>
      </c>
      <c r="C159" s="2">
        <f t="shared" si="2"/>
        <v>-1.3378884365963097E-2</v>
      </c>
    </row>
    <row r="160" spans="1:3" x14ac:dyDescent="0.2">
      <c r="A160" s="1">
        <v>45841</v>
      </c>
      <c r="B160">
        <v>88.79</v>
      </c>
      <c r="C160" s="2">
        <f t="shared" si="2"/>
        <v>3.3844797649766733E-3</v>
      </c>
    </row>
    <row r="161" spans="1:3" x14ac:dyDescent="0.2">
      <c r="A161" s="1">
        <v>45840</v>
      </c>
      <c r="B161">
        <v>88.49</v>
      </c>
      <c r="C161" s="2">
        <f t="shared" si="2"/>
        <v>9.3097856787645837E-3</v>
      </c>
    </row>
    <row r="162" spans="1:3" x14ac:dyDescent="0.2">
      <c r="A162" s="1">
        <v>45839</v>
      </c>
      <c r="B162">
        <v>87.67</v>
      </c>
      <c r="C162" s="2">
        <f t="shared" si="2"/>
        <v>1.9581367414141609E-2</v>
      </c>
    </row>
    <row r="163" spans="1:3" x14ac:dyDescent="0.2">
      <c r="A163" s="1">
        <v>45838</v>
      </c>
      <c r="B163">
        <v>85.97</v>
      </c>
      <c r="C163" s="2">
        <f t="shared" si="2"/>
        <v>-2.0915647875860473E-3</v>
      </c>
    </row>
    <row r="164" spans="1:3" x14ac:dyDescent="0.2">
      <c r="A164" s="1">
        <v>45835</v>
      </c>
      <c r="B164">
        <v>86.15</v>
      </c>
      <c r="C164" s="2">
        <f t="shared" si="2"/>
        <v>-1.2760282457584757E-3</v>
      </c>
    </row>
    <row r="165" spans="1:3" x14ac:dyDescent="0.2">
      <c r="A165" s="1">
        <v>45834</v>
      </c>
      <c r="B165">
        <v>86.26</v>
      </c>
      <c r="C165" s="2">
        <f t="shared" si="2"/>
        <v>1.1308776888678901E-2</v>
      </c>
    </row>
    <row r="166" spans="1:3" x14ac:dyDescent="0.2">
      <c r="A166" s="1">
        <v>45833</v>
      </c>
      <c r="B166">
        <v>85.29</v>
      </c>
      <c r="C166" s="2">
        <f t="shared" si="2"/>
        <v>-2.9268884677445097E-3</v>
      </c>
    </row>
    <row r="167" spans="1:3" x14ac:dyDescent="0.2">
      <c r="A167" s="1">
        <v>45832</v>
      </c>
      <c r="B167">
        <v>85.54</v>
      </c>
      <c r="C167" s="2">
        <f t="shared" si="2"/>
        <v>2.3408250389086072E-3</v>
      </c>
    </row>
    <row r="168" spans="1:3" x14ac:dyDescent="0.2">
      <c r="A168" s="1">
        <v>45831</v>
      </c>
      <c r="B168">
        <v>85.34</v>
      </c>
      <c r="C168" s="2">
        <f t="shared" si="2"/>
        <v>1.5826478916540279E-2</v>
      </c>
    </row>
    <row r="169" spans="1:3" x14ac:dyDescent="0.2">
      <c r="A169" s="1">
        <v>45828</v>
      </c>
      <c r="B169">
        <v>84</v>
      </c>
      <c r="C169" s="2">
        <f t="shared" si="2"/>
        <v>-7.2356640930959209E-3</v>
      </c>
    </row>
    <row r="170" spans="1:3" x14ac:dyDescent="0.2">
      <c r="A170" s="1">
        <v>45826</v>
      </c>
      <c r="B170">
        <v>84.61</v>
      </c>
      <c r="C170" s="2">
        <f t="shared" si="2"/>
        <v>1.2008942845753613E-2</v>
      </c>
    </row>
    <row r="171" spans="1:3" x14ac:dyDescent="0.2">
      <c r="A171" s="1">
        <v>45825</v>
      </c>
      <c r="B171">
        <v>83.6</v>
      </c>
      <c r="C171" s="2">
        <f t="shared" si="2"/>
        <v>-1.6960615307045315E-2</v>
      </c>
    </row>
    <row r="172" spans="1:3" x14ac:dyDescent="0.2">
      <c r="A172" s="1">
        <v>45824</v>
      </c>
      <c r="B172">
        <v>85.03</v>
      </c>
      <c r="C172" s="2">
        <f t="shared" si="2"/>
        <v>1.7678576328671692E-2</v>
      </c>
    </row>
    <row r="173" spans="1:3" x14ac:dyDescent="0.2">
      <c r="A173" s="1">
        <v>45821</v>
      </c>
      <c r="B173">
        <v>83.54</v>
      </c>
      <c r="C173" s="2">
        <f t="shared" si="2"/>
        <v>-1.8853940826936279E-2</v>
      </c>
    </row>
    <row r="174" spans="1:3" x14ac:dyDescent="0.2">
      <c r="A174" s="1">
        <v>45820</v>
      </c>
      <c r="B174">
        <v>85.13</v>
      </c>
      <c r="C174" s="2">
        <f t="shared" si="2"/>
        <v>-4.1029305549812592E-3</v>
      </c>
    </row>
    <row r="175" spans="1:3" x14ac:dyDescent="0.2">
      <c r="A175" s="1">
        <v>45819</v>
      </c>
      <c r="B175">
        <v>85.48</v>
      </c>
      <c r="C175" s="2">
        <f t="shared" si="2"/>
        <v>-4.6783626584281126E-4</v>
      </c>
    </row>
    <row r="176" spans="1:3" x14ac:dyDescent="0.2">
      <c r="A176" s="1">
        <v>45818</v>
      </c>
      <c r="B176">
        <v>85.52</v>
      </c>
      <c r="C176" s="2">
        <f t="shared" si="2"/>
        <v>5.9813700875221507E-3</v>
      </c>
    </row>
    <row r="177" spans="1:3" x14ac:dyDescent="0.2">
      <c r="A177" s="1">
        <v>45817</v>
      </c>
      <c r="B177">
        <v>85.01</v>
      </c>
      <c r="C177" s="2">
        <f t="shared" si="2"/>
        <v>-2.3523876843364156E-4</v>
      </c>
    </row>
    <row r="178" spans="1:3" x14ac:dyDescent="0.2">
      <c r="A178" s="1">
        <v>45814</v>
      </c>
      <c r="B178">
        <v>85.03</v>
      </c>
      <c r="C178" s="2">
        <f t="shared" si="2"/>
        <v>1.2544543202229254E-2</v>
      </c>
    </row>
    <row r="179" spans="1:3" x14ac:dyDescent="0.2">
      <c r="A179" s="1">
        <v>45813</v>
      </c>
      <c r="B179">
        <v>83.97</v>
      </c>
      <c r="C179" s="2">
        <f t="shared" si="2"/>
        <v>-3.803641813919035E-3</v>
      </c>
    </row>
    <row r="180" spans="1:3" x14ac:dyDescent="0.2">
      <c r="A180" s="1">
        <v>45812</v>
      </c>
      <c r="B180">
        <v>84.29</v>
      </c>
      <c r="C180" s="2">
        <f t="shared" si="2"/>
        <v>-1.541106344961816E-3</v>
      </c>
    </row>
    <row r="181" spans="1:3" x14ac:dyDescent="0.2">
      <c r="A181" s="1">
        <v>45811</v>
      </c>
      <c r="B181">
        <v>84.42</v>
      </c>
      <c r="C181" s="2">
        <f t="shared" si="2"/>
        <v>7.8487737920712036E-3</v>
      </c>
    </row>
    <row r="182" spans="1:3" x14ac:dyDescent="0.2">
      <c r="A182" s="1">
        <v>45810</v>
      </c>
      <c r="B182">
        <v>83.76</v>
      </c>
      <c r="C182" s="2">
        <f t="shared" si="2"/>
        <v>-1.0687668530496078E-2</v>
      </c>
    </row>
    <row r="183" spans="1:3" x14ac:dyDescent="0.2">
      <c r="A183" s="1">
        <v>45807</v>
      </c>
      <c r="B183">
        <v>84.66</v>
      </c>
      <c r="C183" s="2">
        <f t="shared" si="2"/>
        <v>-1.1811256140821221E-4</v>
      </c>
    </row>
    <row r="184" spans="1:3" x14ac:dyDescent="0.2">
      <c r="A184" s="1">
        <v>45806</v>
      </c>
      <c r="B184">
        <v>84.67</v>
      </c>
      <c r="C184" s="2">
        <f t="shared" si="2"/>
        <v>9.3741416204666753E-3</v>
      </c>
    </row>
    <row r="185" spans="1:3" x14ac:dyDescent="0.2">
      <c r="A185" s="1">
        <v>45805</v>
      </c>
      <c r="B185">
        <v>83.88</v>
      </c>
      <c r="C185" s="2">
        <f t="shared" si="2"/>
        <v>-1.255791885140595E-2</v>
      </c>
    </row>
    <row r="186" spans="1:3" x14ac:dyDescent="0.2">
      <c r="A186" s="1">
        <v>45804</v>
      </c>
      <c r="B186">
        <v>84.94</v>
      </c>
      <c r="C186" s="2">
        <f t="shared" si="2"/>
        <v>1.5423250324692351E-2</v>
      </c>
    </row>
    <row r="187" spans="1:3" x14ac:dyDescent="0.2">
      <c r="A187" s="1">
        <v>45800</v>
      </c>
      <c r="B187">
        <v>83.64</v>
      </c>
      <c r="C187" s="2">
        <f t="shared" si="2"/>
        <v>-1.0466318187423086E-2</v>
      </c>
    </row>
    <row r="188" spans="1:3" x14ac:dyDescent="0.2">
      <c r="A188" s="1">
        <v>45799</v>
      </c>
      <c r="B188">
        <v>84.52</v>
      </c>
      <c r="C188" s="2">
        <f t="shared" si="2"/>
        <v>-1.1824525440656227E-3</v>
      </c>
    </row>
    <row r="189" spans="1:3" x14ac:dyDescent="0.2">
      <c r="A189" s="1">
        <v>45798</v>
      </c>
      <c r="B189">
        <v>84.62</v>
      </c>
      <c r="C189" s="2">
        <f t="shared" si="2"/>
        <v>-2.4975040666752237E-2</v>
      </c>
    </row>
    <row r="190" spans="1:3" x14ac:dyDescent="0.2">
      <c r="A190" s="1">
        <v>45797</v>
      </c>
      <c r="B190">
        <v>86.76</v>
      </c>
      <c r="C190" s="2">
        <f t="shared" si="2"/>
        <v>-2.8773686192594731E-3</v>
      </c>
    </row>
    <row r="191" spans="1:3" x14ac:dyDescent="0.2">
      <c r="A191" s="1">
        <v>45796</v>
      </c>
      <c r="B191">
        <v>87.01</v>
      </c>
      <c r="C191" s="2">
        <f t="shared" si="2"/>
        <v>-2.8691131175304502E-3</v>
      </c>
    </row>
    <row r="192" spans="1:3" x14ac:dyDescent="0.2">
      <c r="A192" s="1">
        <v>45793</v>
      </c>
      <c r="B192">
        <v>87.26</v>
      </c>
      <c r="C192" s="2">
        <f t="shared" si="2"/>
        <v>1.5359156370331806E-2</v>
      </c>
    </row>
    <row r="193" spans="1:3" x14ac:dyDescent="0.2">
      <c r="A193" s="1">
        <v>45792</v>
      </c>
      <c r="B193">
        <v>85.93</v>
      </c>
      <c r="C193" s="2">
        <f t="shared" si="2"/>
        <v>1.0058564337338823E-2</v>
      </c>
    </row>
    <row r="194" spans="1:3" x14ac:dyDescent="0.2">
      <c r="A194" s="1">
        <v>45791</v>
      </c>
      <c r="B194">
        <v>85.07</v>
      </c>
      <c r="C194" s="2">
        <f t="shared" si="2"/>
        <v>-7.8450141820381111E-3</v>
      </c>
    </row>
    <row r="195" spans="1:3" x14ac:dyDescent="0.2">
      <c r="A195" s="1">
        <v>45790</v>
      </c>
      <c r="B195">
        <v>85.74</v>
      </c>
      <c r="C195" s="2">
        <f t="shared" ref="C195:C258" si="3">+LN(B195/B196)</f>
        <v>-8.131070468854187E-3</v>
      </c>
    </row>
    <row r="196" spans="1:3" x14ac:dyDescent="0.2">
      <c r="A196" s="1">
        <v>45789</v>
      </c>
      <c r="B196">
        <v>86.44</v>
      </c>
      <c r="C196" s="2">
        <f t="shared" si="3"/>
        <v>3.7362191390957339E-2</v>
      </c>
    </row>
    <row r="197" spans="1:3" x14ac:dyDescent="0.2">
      <c r="A197" s="1">
        <v>45786</v>
      </c>
      <c r="B197">
        <v>83.27</v>
      </c>
      <c r="C197" s="2">
        <f t="shared" si="3"/>
        <v>-5.8672263145536085E-3</v>
      </c>
    </row>
    <row r="198" spans="1:3" x14ac:dyDescent="0.2">
      <c r="A198" s="1">
        <v>45785</v>
      </c>
      <c r="B198">
        <v>83.76</v>
      </c>
      <c r="C198" s="2">
        <f t="shared" si="3"/>
        <v>2.1480251486089882E-2</v>
      </c>
    </row>
    <row r="199" spans="1:3" x14ac:dyDescent="0.2">
      <c r="A199" s="1">
        <v>45784</v>
      </c>
      <c r="B199">
        <v>81.98</v>
      </c>
      <c r="C199" s="2">
        <f t="shared" si="3"/>
        <v>4.6460531061303812E-3</v>
      </c>
    </row>
    <row r="200" spans="1:3" x14ac:dyDescent="0.2">
      <c r="A200" s="1">
        <v>45783</v>
      </c>
      <c r="B200">
        <v>81.599999999999994</v>
      </c>
      <c r="C200" s="2">
        <f t="shared" si="3"/>
        <v>-7.5693194996711384E-3</v>
      </c>
    </row>
    <row r="201" spans="1:3" x14ac:dyDescent="0.2">
      <c r="A201" s="1">
        <v>45782</v>
      </c>
      <c r="B201">
        <v>82.22</v>
      </c>
      <c r="C201" s="2">
        <f t="shared" si="3"/>
        <v>-1.2209278288271523E-2</v>
      </c>
    </row>
    <row r="202" spans="1:3" x14ac:dyDescent="0.2">
      <c r="A202" s="1">
        <v>45779</v>
      </c>
      <c r="B202">
        <v>83.23</v>
      </c>
      <c r="C202" s="2">
        <f t="shared" si="3"/>
        <v>1.8798685901593663E-2</v>
      </c>
    </row>
    <row r="203" spans="1:3" x14ac:dyDescent="0.2">
      <c r="A203" s="1">
        <v>45778</v>
      </c>
      <c r="B203">
        <v>81.680000000000007</v>
      </c>
      <c r="C203" s="2">
        <f t="shared" si="3"/>
        <v>8.5737037525880719E-4</v>
      </c>
    </row>
    <row r="204" spans="1:3" x14ac:dyDescent="0.2">
      <c r="A204" s="1">
        <v>45777</v>
      </c>
      <c r="B204">
        <v>81.61</v>
      </c>
      <c r="C204" s="2">
        <f t="shared" si="3"/>
        <v>1.4714901490232007E-3</v>
      </c>
    </row>
    <row r="205" spans="1:3" x14ac:dyDescent="0.2">
      <c r="A205" s="1">
        <v>45776</v>
      </c>
      <c r="B205">
        <v>81.489999999999995</v>
      </c>
      <c r="C205" s="2">
        <f t="shared" si="3"/>
        <v>2.0883245719825476E-3</v>
      </c>
    </row>
    <row r="206" spans="1:3" x14ac:dyDescent="0.2">
      <c r="A206" s="1">
        <v>45775</v>
      </c>
      <c r="B206">
        <v>81.319999999999993</v>
      </c>
      <c r="C206" s="2">
        <f t="shared" si="3"/>
        <v>-4.9176298015872694E-4</v>
      </c>
    </row>
    <row r="207" spans="1:3" x14ac:dyDescent="0.2">
      <c r="A207" s="1">
        <v>45772</v>
      </c>
      <c r="B207">
        <v>81.36</v>
      </c>
      <c r="C207" s="2">
        <f t="shared" si="3"/>
        <v>1.062656731578677E-2</v>
      </c>
    </row>
    <row r="208" spans="1:3" x14ac:dyDescent="0.2">
      <c r="A208" s="1">
        <v>45771</v>
      </c>
      <c r="B208">
        <v>80.5</v>
      </c>
      <c r="C208" s="2">
        <f t="shared" si="3"/>
        <v>1.9189150915028153E-2</v>
      </c>
    </row>
    <row r="209" spans="1:3" x14ac:dyDescent="0.2">
      <c r="A209" s="1">
        <v>45770</v>
      </c>
      <c r="B209">
        <v>78.97</v>
      </c>
      <c r="C209" s="2">
        <f t="shared" si="3"/>
        <v>-1.2662234901381005E-4</v>
      </c>
    </row>
    <row r="210" spans="1:3" x14ac:dyDescent="0.2">
      <c r="A210" s="1">
        <v>45769</v>
      </c>
      <c r="B210">
        <v>78.98</v>
      </c>
      <c r="C210" s="2">
        <f t="shared" si="3"/>
        <v>3.007552219589834E-2</v>
      </c>
    </row>
    <row r="211" spans="1:3" x14ac:dyDescent="0.2">
      <c r="A211" s="1">
        <v>45768</v>
      </c>
      <c r="B211">
        <v>76.64</v>
      </c>
      <c r="C211" s="2">
        <f t="shared" si="3"/>
        <v>-2.4998080467708572E-2</v>
      </c>
    </row>
    <row r="212" spans="1:3" x14ac:dyDescent="0.2">
      <c r="A212" s="1">
        <v>45764</v>
      </c>
      <c r="B212">
        <v>78.58</v>
      </c>
      <c r="C212" s="2">
        <f t="shared" si="3"/>
        <v>2.038217266128016E-3</v>
      </c>
    </row>
    <row r="213" spans="1:3" x14ac:dyDescent="0.2">
      <c r="A213" s="1">
        <v>45763</v>
      </c>
      <c r="B213">
        <v>78.42</v>
      </c>
      <c r="C213" s="2">
        <f t="shared" si="3"/>
        <v>-1.0149795329584956E-2</v>
      </c>
    </row>
    <row r="214" spans="1:3" x14ac:dyDescent="0.2">
      <c r="A214" s="1">
        <v>45762</v>
      </c>
      <c r="B214">
        <v>79.22</v>
      </c>
      <c r="C214" s="2">
        <f t="shared" si="3"/>
        <v>-6.7933334598123596E-3</v>
      </c>
    </row>
    <row r="215" spans="1:3" x14ac:dyDescent="0.2">
      <c r="A215" s="1">
        <v>45761</v>
      </c>
      <c r="B215">
        <v>79.760000000000005</v>
      </c>
      <c r="C215" s="2">
        <f t="shared" si="3"/>
        <v>6.2707721375123251E-4</v>
      </c>
    </row>
    <row r="216" spans="1:3" x14ac:dyDescent="0.2">
      <c r="A216" s="1">
        <v>45758</v>
      </c>
      <c r="B216">
        <v>79.709999999999994</v>
      </c>
      <c r="C216" s="2">
        <f t="shared" si="3"/>
        <v>2.271238910555215E-2</v>
      </c>
    </row>
    <row r="217" spans="1:3" x14ac:dyDescent="0.2">
      <c r="A217" s="1">
        <v>45757</v>
      </c>
      <c r="B217">
        <v>77.92</v>
      </c>
      <c r="C217" s="2">
        <f t="shared" si="3"/>
        <v>-1.3765193132741818E-2</v>
      </c>
    </row>
    <row r="218" spans="1:3" x14ac:dyDescent="0.2">
      <c r="A218" s="1">
        <v>45756</v>
      </c>
      <c r="B218">
        <v>79</v>
      </c>
      <c r="C218" s="2">
        <f t="shared" si="3"/>
        <v>6.5112525509011601E-2</v>
      </c>
    </row>
    <row r="219" spans="1:3" x14ac:dyDescent="0.2">
      <c r="A219" s="1">
        <v>45755</v>
      </c>
      <c r="B219">
        <v>74.02</v>
      </c>
      <c r="C219" s="2">
        <f t="shared" si="3"/>
        <v>-5.5237594138095878E-3</v>
      </c>
    </row>
    <row r="220" spans="1:3" x14ac:dyDescent="0.2">
      <c r="A220" s="1">
        <v>45754</v>
      </c>
      <c r="B220">
        <v>74.430000000000007</v>
      </c>
      <c r="C220" s="2">
        <f t="shared" si="3"/>
        <v>-1.7843349571462518E-2</v>
      </c>
    </row>
    <row r="221" spans="1:3" x14ac:dyDescent="0.2">
      <c r="A221" s="1">
        <v>45751</v>
      </c>
      <c r="B221">
        <v>75.77</v>
      </c>
      <c r="C221" s="2">
        <f t="shared" si="3"/>
        <v>-5.7070424398624892E-2</v>
      </c>
    </row>
    <row r="222" spans="1:3" x14ac:dyDescent="0.2">
      <c r="A222" s="1">
        <v>45750</v>
      </c>
      <c r="B222">
        <v>80.22</v>
      </c>
      <c r="C222" s="2">
        <f t="shared" si="3"/>
        <v>-5.363410776808241E-2</v>
      </c>
    </row>
    <row r="223" spans="1:3" x14ac:dyDescent="0.2">
      <c r="A223" s="1">
        <v>45749</v>
      </c>
      <c r="B223">
        <v>84.64</v>
      </c>
      <c r="C223" s="2">
        <f t="shared" si="3"/>
        <v>3.1950799324538272E-3</v>
      </c>
    </row>
    <row r="224" spans="1:3" x14ac:dyDescent="0.2">
      <c r="A224" s="1">
        <v>45748</v>
      </c>
      <c r="B224">
        <v>84.37</v>
      </c>
      <c r="C224" s="2">
        <f t="shared" si="3"/>
        <v>1.0245503012397237E-2</v>
      </c>
    </row>
    <row r="225" spans="1:3" x14ac:dyDescent="0.2">
      <c r="A225" s="1">
        <v>45747</v>
      </c>
      <c r="B225">
        <v>83.51</v>
      </c>
      <c r="C225" s="2">
        <f t="shared" si="3"/>
        <v>1.0782963963388698E-3</v>
      </c>
    </row>
    <row r="226" spans="1:3" x14ac:dyDescent="0.2">
      <c r="A226" s="1">
        <v>45744</v>
      </c>
      <c r="B226">
        <v>83.42</v>
      </c>
      <c r="C226" s="2">
        <f t="shared" si="3"/>
        <v>-1.2153134211320624E-2</v>
      </c>
    </row>
    <row r="227" spans="1:3" x14ac:dyDescent="0.2">
      <c r="A227" s="1">
        <v>45743</v>
      </c>
      <c r="B227">
        <v>84.44</v>
      </c>
      <c r="C227" s="2">
        <f t="shared" si="3"/>
        <v>-1.8930436320577372E-3</v>
      </c>
    </row>
    <row r="228" spans="1:3" x14ac:dyDescent="0.2">
      <c r="A228" s="1">
        <v>45742</v>
      </c>
      <c r="B228">
        <v>84.6</v>
      </c>
      <c r="C228" s="2">
        <f t="shared" si="3"/>
        <v>4.1456973797063448E-3</v>
      </c>
    </row>
    <row r="229" spans="1:3" x14ac:dyDescent="0.2">
      <c r="A229" s="1">
        <v>45741</v>
      </c>
      <c r="B229">
        <v>84.25</v>
      </c>
      <c r="C229" s="2">
        <f t="shared" si="3"/>
        <v>4.6398274898545233E-3</v>
      </c>
    </row>
    <row r="230" spans="1:3" x14ac:dyDescent="0.2">
      <c r="A230" s="1">
        <v>45740</v>
      </c>
      <c r="B230">
        <v>83.86</v>
      </c>
      <c r="C230" s="2">
        <f t="shared" si="3"/>
        <v>2.0358469799520107E-2</v>
      </c>
    </row>
    <row r="231" spans="1:3" x14ac:dyDescent="0.2">
      <c r="A231" s="1">
        <v>45737</v>
      </c>
      <c r="B231">
        <v>82.17</v>
      </c>
      <c r="C231" s="2">
        <f t="shared" si="3"/>
        <v>-1.3418152363616945E-2</v>
      </c>
    </row>
    <row r="232" spans="1:3" x14ac:dyDescent="0.2">
      <c r="A232" s="1">
        <v>45736</v>
      </c>
      <c r="B232">
        <v>83.28</v>
      </c>
      <c r="C232" s="2">
        <f t="shared" si="3"/>
        <v>-2.8776998276150581E-3</v>
      </c>
    </row>
    <row r="233" spans="1:3" x14ac:dyDescent="0.2">
      <c r="A233" s="1">
        <v>45735</v>
      </c>
      <c r="B233">
        <v>83.52</v>
      </c>
      <c r="C233" s="2">
        <f t="shared" si="3"/>
        <v>-1.0770060276379489E-3</v>
      </c>
    </row>
    <row r="234" spans="1:3" x14ac:dyDescent="0.2">
      <c r="A234" s="1">
        <v>45734</v>
      </c>
      <c r="B234">
        <v>83.61</v>
      </c>
      <c r="C234" s="2">
        <f t="shared" si="3"/>
        <v>-9.0487580155688731E-3</v>
      </c>
    </row>
    <row r="235" spans="1:3" x14ac:dyDescent="0.2">
      <c r="A235" s="1">
        <v>45733</v>
      </c>
      <c r="B235">
        <v>84.37</v>
      </c>
      <c r="C235" s="2">
        <f t="shared" si="3"/>
        <v>5.705471319332178E-3</v>
      </c>
    </row>
    <row r="236" spans="1:3" x14ac:dyDescent="0.2">
      <c r="A236" s="1">
        <v>45730</v>
      </c>
      <c r="B236">
        <v>83.89</v>
      </c>
      <c r="C236" s="2">
        <f t="shared" si="3"/>
        <v>1.3803255824937946E-2</v>
      </c>
    </row>
    <row r="237" spans="1:3" x14ac:dyDescent="0.2">
      <c r="A237" s="1">
        <v>45729</v>
      </c>
      <c r="B237">
        <v>82.74</v>
      </c>
      <c r="C237" s="2">
        <f t="shared" si="3"/>
        <v>-1.213300967191038E-2</v>
      </c>
    </row>
    <row r="238" spans="1:3" x14ac:dyDescent="0.2">
      <c r="A238" s="1">
        <v>45728</v>
      </c>
      <c r="B238">
        <v>83.75</v>
      </c>
      <c r="C238" s="2">
        <f t="shared" si="3"/>
        <v>-1.2695193341268706E-2</v>
      </c>
    </row>
    <row r="239" spans="1:3" x14ac:dyDescent="0.2">
      <c r="A239" s="1">
        <v>45727</v>
      </c>
      <c r="B239">
        <v>84.82</v>
      </c>
      <c r="C239" s="2">
        <f t="shared" si="3"/>
        <v>-2.2844816323760123E-2</v>
      </c>
    </row>
    <row r="240" spans="1:3" x14ac:dyDescent="0.2">
      <c r="A240" s="1">
        <v>45726</v>
      </c>
      <c r="B240">
        <v>86.78</v>
      </c>
      <c r="C240" s="2">
        <f t="shared" si="3"/>
        <v>-8.7196513925447347E-3</v>
      </c>
    </row>
    <row r="241" spans="1:3" x14ac:dyDescent="0.2">
      <c r="A241" s="1">
        <v>45723</v>
      </c>
      <c r="B241">
        <v>87.54</v>
      </c>
      <c r="C241" s="2">
        <f t="shared" si="3"/>
        <v>1.3571226116142818E-2</v>
      </c>
    </row>
    <row r="242" spans="1:3" x14ac:dyDescent="0.2">
      <c r="A242" s="1">
        <v>45722</v>
      </c>
      <c r="B242">
        <v>86.36</v>
      </c>
      <c r="C242" s="2">
        <f t="shared" si="3"/>
        <v>8.9561517530883268E-3</v>
      </c>
    </row>
    <row r="243" spans="1:3" x14ac:dyDescent="0.2">
      <c r="A243" s="1">
        <v>45721</v>
      </c>
      <c r="B243">
        <v>85.59</v>
      </c>
      <c r="C243" s="2">
        <f t="shared" si="3"/>
        <v>2.6639827899210915E-2</v>
      </c>
    </row>
    <row r="244" spans="1:3" x14ac:dyDescent="0.2">
      <c r="A244" s="1">
        <v>45720</v>
      </c>
      <c r="B244">
        <v>83.34</v>
      </c>
      <c r="C244" s="2">
        <f t="shared" si="3"/>
        <v>-2.2776785342756924E-2</v>
      </c>
    </row>
    <row r="245" spans="1:3" x14ac:dyDescent="0.2">
      <c r="A245" s="1">
        <v>45719</v>
      </c>
      <c r="B245">
        <v>85.26</v>
      </c>
      <c r="C245" s="2">
        <f t="shared" si="3"/>
        <v>-2.1006981503459806E-2</v>
      </c>
    </row>
    <row r="246" spans="1:3" x14ac:dyDescent="0.2">
      <c r="A246" s="1">
        <v>45716</v>
      </c>
      <c r="B246">
        <v>87.07</v>
      </c>
      <c r="C246" s="2">
        <f t="shared" si="3"/>
        <v>1.166766543007049E-2</v>
      </c>
    </row>
    <row r="247" spans="1:3" x14ac:dyDescent="0.2">
      <c r="A247" s="1">
        <v>45715</v>
      </c>
      <c r="B247">
        <v>86.06</v>
      </c>
      <c r="C247" s="2">
        <f t="shared" si="3"/>
        <v>2.5596290880105471E-3</v>
      </c>
    </row>
    <row r="248" spans="1:3" x14ac:dyDescent="0.2">
      <c r="A248" s="1">
        <v>45714</v>
      </c>
      <c r="B248">
        <v>85.84</v>
      </c>
      <c r="C248" s="2">
        <f t="shared" si="3"/>
        <v>-1.1467085750110644E-2</v>
      </c>
    </row>
    <row r="249" spans="1:3" x14ac:dyDescent="0.2">
      <c r="A249" s="1">
        <v>45713</v>
      </c>
      <c r="B249">
        <v>86.83</v>
      </c>
      <c r="C249" s="2">
        <f t="shared" si="3"/>
        <v>6.2384675523376627E-3</v>
      </c>
    </row>
    <row r="250" spans="1:3" x14ac:dyDescent="0.2">
      <c r="A250" s="1">
        <v>45712</v>
      </c>
      <c r="B250">
        <v>86.29</v>
      </c>
      <c r="C250" s="2">
        <f t="shared" si="3"/>
        <v>2.7851938626678287E-3</v>
      </c>
    </row>
    <row r="251" spans="1:3" x14ac:dyDescent="0.2">
      <c r="A251" s="1">
        <v>45709</v>
      </c>
      <c r="B251">
        <v>86.05</v>
      </c>
      <c r="C251" s="2">
        <f t="shared" si="3"/>
        <v>-1.3849038424988113E-2</v>
      </c>
    </row>
    <row r="252" spans="1:3" x14ac:dyDescent="0.2">
      <c r="A252" s="1">
        <v>45708</v>
      </c>
      <c r="B252">
        <v>87.25</v>
      </c>
      <c r="C252" s="2">
        <f t="shared" si="3"/>
        <v>6.8791564281294772E-4</v>
      </c>
    </row>
    <row r="253" spans="1:3" x14ac:dyDescent="0.2">
      <c r="A253" s="1">
        <v>45707</v>
      </c>
      <c r="B253">
        <v>87.19</v>
      </c>
      <c r="C253" s="2">
        <f t="shared" si="3"/>
        <v>3.4413536330449838E-4</v>
      </c>
    </row>
    <row r="254" spans="1:3" x14ac:dyDescent="0.2">
      <c r="A254" s="1">
        <v>45706</v>
      </c>
      <c r="B254">
        <v>87.16</v>
      </c>
      <c r="C254" s="2">
        <f t="shared" si="3"/>
        <v>1.5726503582502611E-2</v>
      </c>
    </row>
    <row r="255" spans="1:3" x14ac:dyDescent="0.2">
      <c r="A255" s="1">
        <v>45702</v>
      </c>
      <c r="B255">
        <v>85.8</v>
      </c>
      <c r="C255" s="2">
        <f t="shared" si="3"/>
        <v>-3.0257209165370676E-3</v>
      </c>
    </row>
    <row r="256" spans="1:3" x14ac:dyDescent="0.2">
      <c r="A256" s="1">
        <v>45701</v>
      </c>
      <c r="B256">
        <v>86.06</v>
      </c>
      <c r="C256" s="2">
        <f t="shared" si="3"/>
        <v>1.0865227514488048E-2</v>
      </c>
    </row>
    <row r="257" spans="1:3" x14ac:dyDescent="0.2">
      <c r="A257" s="1">
        <v>45700</v>
      </c>
      <c r="B257">
        <v>85.13</v>
      </c>
      <c r="C257" s="2">
        <f t="shared" si="3"/>
        <v>-7.6063791927687696E-3</v>
      </c>
    </row>
    <row r="258" spans="1:3" x14ac:dyDescent="0.2">
      <c r="A258" s="1">
        <v>45699</v>
      </c>
      <c r="B258">
        <v>85.78</v>
      </c>
      <c r="C258" s="2">
        <f t="shared" si="3"/>
        <v>-1.5143575612307344E-3</v>
      </c>
    </row>
    <row r="259" spans="1:3" x14ac:dyDescent="0.2">
      <c r="A259" s="1">
        <v>45698</v>
      </c>
      <c r="B259">
        <v>85.91</v>
      </c>
      <c r="C259" s="2">
        <f t="shared" ref="C259:C322" si="4">+LN(B259/B260)</f>
        <v>1.2650982830321841E-2</v>
      </c>
    </row>
    <row r="260" spans="1:3" x14ac:dyDescent="0.2">
      <c r="A260" s="1">
        <v>45695</v>
      </c>
      <c r="B260">
        <v>84.83</v>
      </c>
      <c r="C260" s="2">
        <f t="shared" si="4"/>
        <v>6.9793859939233892E-3</v>
      </c>
    </row>
    <row r="261" spans="1:3" x14ac:dyDescent="0.2">
      <c r="A261" s="1">
        <v>45694</v>
      </c>
      <c r="B261">
        <v>84.24</v>
      </c>
      <c r="C261" s="2">
        <f t="shared" si="4"/>
        <v>-4.3825951106895664E-3</v>
      </c>
    </row>
    <row r="262" spans="1:3" x14ac:dyDescent="0.2">
      <c r="A262" s="1">
        <v>45693</v>
      </c>
      <c r="B262">
        <v>84.61</v>
      </c>
      <c r="C262" s="2">
        <f t="shared" si="4"/>
        <v>8.4268494632489654E-3</v>
      </c>
    </row>
    <row r="263" spans="1:3" x14ac:dyDescent="0.2">
      <c r="A263" s="1">
        <v>45692</v>
      </c>
      <c r="B263">
        <v>83.9</v>
      </c>
      <c r="C263" s="2">
        <f t="shared" si="4"/>
        <v>7.0570234863427074E-3</v>
      </c>
    </row>
    <row r="264" spans="1:3" x14ac:dyDescent="0.2">
      <c r="A264" s="1">
        <v>45691</v>
      </c>
      <c r="B264">
        <v>83.31</v>
      </c>
      <c r="C264" s="2">
        <f t="shared" si="4"/>
        <v>-1.0269973236666841E-2</v>
      </c>
    </row>
    <row r="265" spans="1:3" x14ac:dyDescent="0.2">
      <c r="A265" s="1">
        <v>45688</v>
      </c>
      <c r="B265">
        <v>84.17</v>
      </c>
      <c r="C265" s="2">
        <f t="shared" si="4"/>
        <v>3.2129497503241792E-3</v>
      </c>
    </row>
    <row r="266" spans="1:3" x14ac:dyDescent="0.2">
      <c r="A266" s="1">
        <v>45687</v>
      </c>
      <c r="B266">
        <v>83.9</v>
      </c>
      <c r="C266" s="2">
        <f t="shared" si="4"/>
        <v>1.8161543145661797E-2</v>
      </c>
    </row>
    <row r="267" spans="1:3" x14ac:dyDescent="0.2">
      <c r="A267" s="1">
        <v>45686</v>
      </c>
      <c r="B267">
        <v>82.39</v>
      </c>
      <c r="C267" s="2">
        <f t="shared" si="4"/>
        <v>-1.2064327771395362E-2</v>
      </c>
    </row>
    <row r="268" spans="1:3" x14ac:dyDescent="0.2">
      <c r="A268" s="1">
        <v>45685</v>
      </c>
      <c r="B268">
        <v>83.39</v>
      </c>
      <c r="C268" s="2">
        <f t="shared" si="4"/>
        <v>-3.0237333729964351E-2</v>
      </c>
    </row>
    <row r="269" spans="1:3" x14ac:dyDescent="0.2">
      <c r="A269" s="1">
        <v>45684</v>
      </c>
      <c r="B269">
        <v>85.95</v>
      </c>
      <c r="C269" s="2">
        <f t="shared" si="4"/>
        <v>1.0476690324436838E-3</v>
      </c>
    </row>
    <row r="270" spans="1:3" x14ac:dyDescent="0.2">
      <c r="A270" s="1">
        <v>45681</v>
      </c>
      <c r="B270">
        <v>85.86</v>
      </c>
      <c r="C270" s="2">
        <f t="shared" si="4"/>
        <v>-1.7455057669737096E-3</v>
      </c>
    </row>
    <row r="271" spans="1:3" x14ac:dyDescent="0.2">
      <c r="A271" s="1">
        <v>45680</v>
      </c>
      <c r="B271">
        <v>86.01</v>
      </c>
      <c r="C271" s="2">
        <f t="shared" si="4"/>
        <v>3.8441424238948169E-3</v>
      </c>
    </row>
    <row r="272" spans="1:3" x14ac:dyDescent="0.2">
      <c r="A272" s="1">
        <v>45679</v>
      </c>
      <c r="B272">
        <v>85.68</v>
      </c>
      <c r="C272" s="2">
        <f t="shared" si="4"/>
        <v>-5.5866067086397121E-3</v>
      </c>
    </row>
    <row r="273" spans="1:3" x14ac:dyDescent="0.2">
      <c r="A273" s="1">
        <v>45678</v>
      </c>
      <c r="B273">
        <v>86.16</v>
      </c>
      <c r="C273" s="2">
        <f t="shared" si="4"/>
        <v>1.1909072448126895E-2</v>
      </c>
    </row>
    <row r="274" spans="1:3" x14ac:dyDescent="0.2">
      <c r="A274" s="1">
        <v>45674</v>
      </c>
      <c r="B274">
        <v>85.14</v>
      </c>
      <c r="C274" s="2">
        <f t="shared" si="4"/>
        <v>1.4104374693623334E-3</v>
      </c>
    </row>
    <row r="275" spans="1:3" x14ac:dyDescent="0.2">
      <c r="A275" s="1">
        <v>45673</v>
      </c>
      <c r="B275">
        <v>85.02</v>
      </c>
      <c r="C275" s="2">
        <f t="shared" si="4"/>
        <v>1.3737781188027451E-2</v>
      </c>
    </row>
    <row r="276" spans="1:3" x14ac:dyDescent="0.2">
      <c r="A276" s="1">
        <v>45672</v>
      </c>
      <c r="B276">
        <v>83.86</v>
      </c>
      <c r="C276" s="2">
        <f t="shared" si="4"/>
        <v>8.6228079181252162E-3</v>
      </c>
    </row>
    <row r="277" spans="1:3" x14ac:dyDescent="0.2">
      <c r="A277" s="1">
        <v>45671</v>
      </c>
      <c r="B277">
        <v>83.14</v>
      </c>
      <c r="C277" s="2">
        <f t="shared" si="4"/>
        <v>1.5515462760234381E-2</v>
      </c>
    </row>
    <row r="278" spans="1:3" x14ac:dyDescent="0.2">
      <c r="A278" s="1">
        <v>45670</v>
      </c>
      <c r="B278">
        <v>81.86</v>
      </c>
      <c r="C278" s="2">
        <f t="shared" si="4"/>
        <v>1.6380685256803459E-2</v>
      </c>
    </row>
    <row r="279" spans="1:3" x14ac:dyDescent="0.2">
      <c r="A279" s="1">
        <v>45667</v>
      </c>
      <c r="B279">
        <v>80.53</v>
      </c>
      <c r="C279" s="2">
        <f t="shared" si="4"/>
        <v>-2.1619807810168108E-2</v>
      </c>
    </row>
    <row r="280" spans="1:3" x14ac:dyDescent="0.2">
      <c r="A280" s="1">
        <v>45665</v>
      </c>
      <c r="B280">
        <v>82.29</v>
      </c>
      <c r="C280" s="2">
        <f t="shared" si="4"/>
        <v>5.1169702292647151E-3</v>
      </c>
    </row>
    <row r="281" spans="1:3" x14ac:dyDescent="0.2">
      <c r="A281" s="1">
        <v>45664</v>
      </c>
      <c r="B281">
        <v>81.87</v>
      </c>
      <c r="C281" s="2">
        <f t="shared" si="4"/>
        <v>-1.4310212670947047E-2</v>
      </c>
    </row>
    <row r="282" spans="1:3" x14ac:dyDescent="0.2">
      <c r="A282" s="1">
        <v>45663</v>
      </c>
      <c r="B282">
        <v>83.05</v>
      </c>
      <c r="C282" s="2">
        <f t="shared" si="4"/>
        <v>-1.2325890509391828E-2</v>
      </c>
    </row>
    <row r="283" spans="1:3" x14ac:dyDescent="0.2">
      <c r="A283" s="1">
        <v>45660</v>
      </c>
      <c r="B283">
        <v>84.08</v>
      </c>
      <c r="C283" s="2">
        <f t="shared" si="4"/>
        <v>6.8023414035574548E-3</v>
      </c>
    </row>
    <row r="284" spans="1:3" x14ac:dyDescent="0.2">
      <c r="A284" s="1">
        <v>45659</v>
      </c>
      <c r="B284">
        <v>83.51</v>
      </c>
      <c r="C284" s="2">
        <f t="shared" si="4"/>
        <v>-9.2968488442527111E-3</v>
      </c>
    </row>
    <row r="285" spans="1:3" x14ac:dyDescent="0.2">
      <c r="A285" s="1">
        <v>45657</v>
      </c>
      <c r="B285">
        <v>84.29</v>
      </c>
      <c r="C285" s="2">
        <f t="shared" si="4"/>
        <v>6.1882858436728399E-3</v>
      </c>
    </row>
    <row r="286" spans="1:3" x14ac:dyDescent="0.2">
      <c r="A286" s="1">
        <v>45656</v>
      </c>
      <c r="B286">
        <v>83.77</v>
      </c>
      <c r="C286" s="2">
        <f t="shared" si="4"/>
        <v>-4.4071299966567373E-3</v>
      </c>
    </row>
    <row r="287" spans="1:3" x14ac:dyDescent="0.2">
      <c r="A287" s="1">
        <v>45653</v>
      </c>
      <c r="B287">
        <v>84.14</v>
      </c>
      <c r="C287" s="2">
        <f t="shared" si="4"/>
        <v>-8.7564161433528204E-3</v>
      </c>
    </row>
    <row r="288" spans="1:3" x14ac:dyDescent="0.2">
      <c r="A288" s="1">
        <v>45652</v>
      </c>
      <c r="B288">
        <v>84.88</v>
      </c>
      <c r="C288" s="2">
        <f t="shared" si="4"/>
        <v>1.5327480451679738E-3</v>
      </c>
    </row>
    <row r="289" spans="1:3" x14ac:dyDescent="0.2">
      <c r="A289" s="1">
        <v>45650</v>
      </c>
      <c r="B289">
        <v>84.75</v>
      </c>
      <c r="C289" s="2">
        <f t="shared" si="4"/>
        <v>1.0625111677820571E-3</v>
      </c>
    </row>
    <row r="290" spans="1:3" x14ac:dyDescent="0.2">
      <c r="A290" s="1">
        <v>45649</v>
      </c>
      <c r="B290">
        <v>84.66</v>
      </c>
      <c r="C290" s="2">
        <f t="shared" si="4"/>
        <v>-5.9042335068185516E-4</v>
      </c>
    </row>
    <row r="291" spans="1:3" x14ac:dyDescent="0.2">
      <c r="A291" s="1">
        <v>45646</v>
      </c>
      <c r="B291">
        <v>84.71</v>
      </c>
      <c r="C291" s="2">
        <f t="shared" si="4"/>
        <v>-4.7208781710015668E-4</v>
      </c>
    </row>
    <row r="292" spans="1:3" x14ac:dyDescent="0.2">
      <c r="A292" s="1">
        <v>45645</v>
      </c>
      <c r="B292">
        <v>84.75</v>
      </c>
      <c r="C292" s="2">
        <f t="shared" si="4"/>
        <v>1.5817657491760499E-2</v>
      </c>
    </row>
    <row r="293" spans="1:3" x14ac:dyDescent="0.2">
      <c r="A293" s="1">
        <v>45644</v>
      </c>
      <c r="B293">
        <v>83.42</v>
      </c>
      <c r="C293" s="2">
        <f t="shared" si="4"/>
        <v>-3.2898091453034337E-2</v>
      </c>
    </row>
    <row r="294" spans="1:3" x14ac:dyDescent="0.2">
      <c r="A294" s="1">
        <v>45643</v>
      </c>
      <c r="B294">
        <v>86.21</v>
      </c>
      <c r="C294" s="2">
        <f t="shared" si="4"/>
        <v>-1.405229297096613E-2</v>
      </c>
    </row>
    <row r="295" spans="1:3" x14ac:dyDescent="0.2">
      <c r="A295" s="1">
        <v>45642</v>
      </c>
      <c r="B295">
        <v>87.43</v>
      </c>
      <c r="C295" s="2">
        <f t="shared" si="4"/>
        <v>-5.7025701981111209E-3</v>
      </c>
    </row>
    <row r="296" spans="1:3" x14ac:dyDescent="0.2">
      <c r="A296" s="1">
        <v>45639</v>
      </c>
      <c r="B296">
        <v>87.93</v>
      </c>
      <c r="C296" s="2">
        <f t="shared" si="4"/>
        <v>-8.1549891293061436E-3</v>
      </c>
    </row>
    <row r="297" spans="1:3" x14ac:dyDescent="0.2">
      <c r="A297" s="1">
        <v>45638</v>
      </c>
      <c r="B297">
        <v>88.65</v>
      </c>
      <c r="C297" s="2">
        <f t="shared" si="4"/>
        <v>-1.644608304382681E-2</v>
      </c>
    </row>
    <row r="298" spans="1:3" x14ac:dyDescent="0.2">
      <c r="A298" s="1">
        <v>45637</v>
      </c>
      <c r="B298">
        <v>90.12</v>
      </c>
      <c r="C298" s="2">
        <f t="shared" si="4"/>
        <v>4.5598699928516909E-3</v>
      </c>
    </row>
    <row r="299" spans="1:3" x14ac:dyDescent="0.2">
      <c r="A299" s="1">
        <v>45636</v>
      </c>
      <c r="B299">
        <v>89.71</v>
      </c>
      <c r="C299" s="2">
        <f t="shared" si="4"/>
        <v>-7.5513962391274714E-3</v>
      </c>
    </row>
    <row r="300" spans="1:3" x14ac:dyDescent="0.2">
      <c r="A300" s="1">
        <v>45635</v>
      </c>
      <c r="B300">
        <v>90.39</v>
      </c>
      <c r="C300" s="2">
        <f t="shared" si="4"/>
        <v>9.7832909274719639E-3</v>
      </c>
    </row>
    <row r="301" spans="1:3" x14ac:dyDescent="0.2">
      <c r="A301" s="1">
        <v>45632</v>
      </c>
      <c r="B301">
        <v>89.51</v>
      </c>
      <c r="C301" s="2">
        <f t="shared" si="4"/>
        <v>4.5910164060841497E-3</v>
      </c>
    </row>
    <row r="302" spans="1:3" x14ac:dyDescent="0.2">
      <c r="A302" s="1">
        <v>45631</v>
      </c>
      <c r="B302">
        <v>89.1</v>
      </c>
      <c r="C302" s="2">
        <f t="shared" si="4"/>
        <v>-1.4153019437100876E-2</v>
      </c>
    </row>
    <row r="303" spans="1:3" x14ac:dyDescent="0.2">
      <c r="A303" s="1">
        <v>45630</v>
      </c>
      <c r="B303">
        <v>90.37</v>
      </c>
      <c r="C303" s="2">
        <f t="shared" si="4"/>
        <v>-7.0570366753998576E-3</v>
      </c>
    </row>
    <row r="304" spans="1:3" x14ac:dyDescent="0.2">
      <c r="A304" s="1">
        <v>45629</v>
      </c>
      <c r="B304">
        <v>91.01</v>
      </c>
      <c r="C304" s="2">
        <f t="shared" si="4"/>
        <v>3.3017859624117425E-3</v>
      </c>
    </row>
    <row r="305" spans="1:3" x14ac:dyDescent="0.2">
      <c r="A305" s="1">
        <v>45628</v>
      </c>
      <c r="B305">
        <v>90.71</v>
      </c>
      <c r="C305" s="2">
        <f t="shared" si="4"/>
        <v>-4.0706365686861362E-3</v>
      </c>
    </row>
    <row r="306" spans="1:3" x14ac:dyDescent="0.2">
      <c r="A306" s="1">
        <v>45625</v>
      </c>
      <c r="B306">
        <v>91.08</v>
      </c>
      <c r="C306" s="2">
        <f t="shared" si="4"/>
        <v>5.725626740666105E-3</v>
      </c>
    </row>
    <row r="307" spans="1:3" x14ac:dyDescent="0.2">
      <c r="A307" s="1">
        <v>45623</v>
      </c>
      <c r="B307">
        <v>90.56</v>
      </c>
      <c r="C307" s="2">
        <f t="shared" si="4"/>
        <v>-5.5196777909642485E-4</v>
      </c>
    </row>
    <row r="308" spans="1:3" x14ac:dyDescent="0.2">
      <c r="A308" s="1">
        <v>45622</v>
      </c>
      <c r="B308">
        <v>90.61</v>
      </c>
      <c r="C308" s="2">
        <f t="shared" si="4"/>
        <v>-1.8371211043516189E-2</v>
      </c>
    </row>
    <row r="309" spans="1:3" x14ac:dyDescent="0.2">
      <c r="A309" s="1">
        <v>45621</v>
      </c>
      <c r="B309">
        <v>92.29</v>
      </c>
      <c r="C309" s="2">
        <f t="shared" si="4"/>
        <v>1.3197552081946543E-2</v>
      </c>
    </row>
    <row r="310" spans="1:3" x14ac:dyDescent="0.2">
      <c r="A310" s="1">
        <v>45618</v>
      </c>
      <c r="B310">
        <v>91.08</v>
      </c>
      <c r="C310" s="2">
        <f t="shared" si="4"/>
        <v>1.6382921214654188E-2</v>
      </c>
    </row>
    <row r="311" spans="1:3" x14ac:dyDescent="0.2">
      <c r="A311" s="1">
        <v>45617</v>
      </c>
      <c r="B311">
        <v>89.6</v>
      </c>
      <c r="C311" s="2">
        <f t="shared" si="4"/>
        <v>1.2126804798035878E-2</v>
      </c>
    </row>
    <row r="312" spans="1:3" x14ac:dyDescent="0.2">
      <c r="A312" s="1">
        <v>45616</v>
      </c>
      <c r="B312">
        <v>88.52</v>
      </c>
      <c r="C312" s="2">
        <f t="shared" si="4"/>
        <v>7.8253872538229154E-3</v>
      </c>
    </row>
    <row r="313" spans="1:3" x14ac:dyDescent="0.2">
      <c r="A313" s="1">
        <v>45615</v>
      </c>
      <c r="B313">
        <v>87.83</v>
      </c>
      <c r="C313" s="2">
        <f t="shared" si="4"/>
        <v>-2.6293649582789309E-2</v>
      </c>
    </row>
    <row r="314" spans="1:3" x14ac:dyDescent="0.2">
      <c r="A314" s="1">
        <v>45614</v>
      </c>
      <c r="B314">
        <v>90.17</v>
      </c>
      <c r="C314" s="2">
        <f t="shared" si="4"/>
        <v>6.1182681538182642E-3</v>
      </c>
    </row>
    <row r="315" spans="1:3" x14ac:dyDescent="0.2">
      <c r="A315" s="1">
        <v>45611</v>
      </c>
      <c r="B315">
        <v>89.62</v>
      </c>
      <c r="C315" s="2">
        <f t="shared" si="4"/>
        <v>5.0338492112088837E-3</v>
      </c>
    </row>
    <row r="316" spans="1:3" x14ac:dyDescent="0.2">
      <c r="A316" s="1">
        <v>45610</v>
      </c>
      <c r="B316">
        <v>89.17</v>
      </c>
      <c r="C316" s="2">
        <f t="shared" si="4"/>
        <v>7.4291201660025442E-3</v>
      </c>
    </row>
    <row r="317" spans="1:3" x14ac:dyDescent="0.2">
      <c r="A317" s="1">
        <v>45609</v>
      </c>
      <c r="B317">
        <v>88.51</v>
      </c>
      <c r="C317" s="2">
        <f t="shared" si="4"/>
        <v>4.4160180466431701E-3</v>
      </c>
    </row>
    <row r="318" spans="1:3" x14ac:dyDescent="0.2">
      <c r="A318" s="1">
        <v>45608</v>
      </c>
      <c r="B318">
        <v>88.12</v>
      </c>
      <c r="C318" s="2">
        <f t="shared" si="4"/>
        <v>-1.083532045502446E-2</v>
      </c>
    </row>
    <row r="319" spans="1:3" x14ac:dyDescent="0.2">
      <c r="A319" s="1">
        <v>45607</v>
      </c>
      <c r="B319">
        <v>89.08</v>
      </c>
      <c r="C319" s="2">
        <f t="shared" si="4"/>
        <v>1.4359453017262661E-2</v>
      </c>
    </row>
    <row r="320" spans="1:3" x14ac:dyDescent="0.2">
      <c r="A320" s="1">
        <v>45604</v>
      </c>
      <c r="B320">
        <v>87.81</v>
      </c>
      <c r="C320" s="2">
        <f t="shared" si="4"/>
        <v>2.8511167172419719E-3</v>
      </c>
    </row>
    <row r="321" spans="1:3" x14ac:dyDescent="0.2">
      <c r="A321" s="1">
        <v>45603</v>
      </c>
      <c r="B321">
        <v>87.56</v>
      </c>
      <c r="C321" s="2">
        <f t="shared" si="4"/>
        <v>-1.3611825409731056E-2</v>
      </c>
    </row>
    <row r="322" spans="1:3" x14ac:dyDescent="0.2">
      <c r="A322" s="1">
        <v>45602</v>
      </c>
      <c r="B322">
        <v>88.76</v>
      </c>
      <c r="C322" s="2">
        <f t="shared" si="4"/>
        <v>4.8001831452215642E-2</v>
      </c>
    </row>
    <row r="323" spans="1:3" x14ac:dyDescent="0.2">
      <c r="A323" s="1">
        <v>45601</v>
      </c>
      <c r="B323">
        <v>84.6</v>
      </c>
      <c r="C323" s="2">
        <f t="shared" ref="C323:C386" si="5">+LN(B323/B324)</f>
        <v>1.6206265086744023E-2</v>
      </c>
    </row>
    <row r="324" spans="1:3" x14ac:dyDescent="0.2">
      <c r="A324" s="1">
        <v>45600</v>
      </c>
      <c r="B324">
        <v>83.24</v>
      </c>
      <c r="C324" s="2">
        <f t="shared" si="5"/>
        <v>8.6873133223825932E-3</v>
      </c>
    </row>
    <row r="325" spans="1:3" x14ac:dyDescent="0.2">
      <c r="A325" s="1">
        <v>45597</v>
      </c>
      <c r="B325">
        <v>82.52</v>
      </c>
      <c r="C325" s="2">
        <f t="shared" si="5"/>
        <v>1.3051353154996751E-2</v>
      </c>
    </row>
    <row r="326" spans="1:3" x14ac:dyDescent="0.2">
      <c r="A326" s="1">
        <v>45596</v>
      </c>
      <c r="B326">
        <v>81.45</v>
      </c>
      <c r="C326" s="2">
        <f t="shared" si="5"/>
        <v>-1.9624684330973403E-3</v>
      </c>
    </row>
    <row r="327" spans="1:3" x14ac:dyDescent="0.2">
      <c r="A327" s="1">
        <v>45595</v>
      </c>
      <c r="B327">
        <v>81.61</v>
      </c>
      <c r="C327" s="2">
        <f t="shared" si="5"/>
        <v>1.3487832343345117E-3</v>
      </c>
    </row>
    <row r="328" spans="1:3" x14ac:dyDescent="0.2">
      <c r="A328" s="1">
        <v>45594</v>
      </c>
      <c r="B328">
        <v>81.5</v>
      </c>
      <c r="C328" s="2">
        <f t="shared" si="5"/>
        <v>6.1368519876277598E-4</v>
      </c>
    </row>
    <row r="329" spans="1:3" x14ac:dyDescent="0.2">
      <c r="A329" s="1">
        <v>45593</v>
      </c>
      <c r="B329">
        <v>81.45</v>
      </c>
      <c r="C329" s="2">
        <f t="shared" si="5"/>
        <v>-8.4357734803583145E-3</v>
      </c>
    </row>
    <row r="330" spans="1:3" x14ac:dyDescent="0.2">
      <c r="A330" s="1">
        <v>45590</v>
      </c>
      <c r="B330">
        <v>82.14</v>
      </c>
      <c r="C330" s="2">
        <f t="shared" si="5"/>
        <v>-2.4319078133461817E-3</v>
      </c>
    </row>
    <row r="331" spans="1:3" x14ac:dyDescent="0.2">
      <c r="A331" s="1">
        <v>45589</v>
      </c>
      <c r="B331">
        <v>82.34</v>
      </c>
      <c r="C331" s="2">
        <f t="shared" si="5"/>
        <v>-6.7780457994906906E-3</v>
      </c>
    </row>
    <row r="332" spans="1:3" x14ac:dyDescent="0.2">
      <c r="A332" s="1">
        <v>45588</v>
      </c>
      <c r="B332">
        <v>82.9</v>
      </c>
      <c r="C332" s="2">
        <f t="shared" si="5"/>
        <v>-1.0797945346788011E-2</v>
      </c>
    </row>
    <row r="333" spans="1:3" x14ac:dyDescent="0.2">
      <c r="A333" s="1">
        <v>45587</v>
      </c>
      <c r="B333">
        <v>83.8</v>
      </c>
      <c r="C333" s="2">
        <f t="shared" si="5"/>
        <v>-1.4571127909663854E-2</v>
      </c>
    </row>
    <row r="334" spans="1:3" x14ac:dyDescent="0.2">
      <c r="A334" s="1">
        <v>45586</v>
      </c>
      <c r="B334">
        <v>85.03</v>
      </c>
      <c r="C334" s="2">
        <f t="shared" si="5"/>
        <v>-1.0412495362853475E-2</v>
      </c>
    </row>
    <row r="335" spans="1:3" x14ac:dyDescent="0.2">
      <c r="A335" s="1">
        <v>45583</v>
      </c>
      <c r="B335">
        <v>85.92</v>
      </c>
      <c r="C335" s="2">
        <f t="shared" si="5"/>
        <v>2.3280177034491509E-4</v>
      </c>
    </row>
    <row r="336" spans="1:3" x14ac:dyDescent="0.2">
      <c r="A336" s="1">
        <v>45582</v>
      </c>
      <c r="B336">
        <v>85.9</v>
      </c>
      <c r="C336" s="2">
        <f t="shared" si="5"/>
        <v>-2.441719717864047E-3</v>
      </c>
    </row>
    <row r="337" spans="1:3" x14ac:dyDescent="0.2">
      <c r="A337" s="1">
        <v>45581</v>
      </c>
      <c r="B337">
        <v>86.11</v>
      </c>
      <c r="C337" s="2">
        <f t="shared" si="5"/>
        <v>-3.5935817957132798E-3</v>
      </c>
    </row>
    <row r="338" spans="1:3" x14ac:dyDescent="0.2">
      <c r="A338" s="1">
        <v>45580</v>
      </c>
      <c r="B338">
        <v>86.42</v>
      </c>
      <c r="C338" s="2">
        <f t="shared" si="5"/>
        <v>-6.5740390156621966E-3</v>
      </c>
    </row>
    <row r="339" spans="1:3" x14ac:dyDescent="0.2">
      <c r="A339" s="1">
        <v>45579</v>
      </c>
      <c r="B339">
        <v>86.99</v>
      </c>
      <c r="C339" s="2">
        <f t="shared" si="5"/>
        <v>7.9635714300671703E-3</v>
      </c>
    </row>
    <row r="340" spans="1:3" x14ac:dyDescent="0.2">
      <c r="A340" s="1">
        <v>45576</v>
      </c>
      <c r="B340">
        <v>86.3</v>
      </c>
      <c r="C340" s="2">
        <f t="shared" si="5"/>
        <v>1.5649040595753529E-2</v>
      </c>
    </row>
    <row r="341" spans="1:3" x14ac:dyDescent="0.2">
      <c r="A341" s="1">
        <v>45575</v>
      </c>
      <c r="B341">
        <v>84.96</v>
      </c>
      <c r="C341" s="2">
        <f t="shared" si="5"/>
        <v>-7.8551315444719445E-3</v>
      </c>
    </row>
    <row r="342" spans="1:3" x14ac:dyDescent="0.2">
      <c r="A342" s="1">
        <v>45574</v>
      </c>
      <c r="B342">
        <v>85.63</v>
      </c>
      <c r="C342" s="2">
        <f t="shared" si="5"/>
        <v>4.6822045038944233E-3</v>
      </c>
    </row>
    <row r="343" spans="1:3" x14ac:dyDescent="0.2">
      <c r="A343" s="1">
        <v>45573</v>
      </c>
      <c r="B343">
        <v>85.23</v>
      </c>
      <c r="C343" s="2">
        <f t="shared" si="5"/>
        <v>-6.6655219597102737E-3</v>
      </c>
    </row>
    <row r="344" spans="1:3" x14ac:dyDescent="0.2">
      <c r="A344" s="1">
        <v>45572</v>
      </c>
      <c r="B344">
        <v>85.8</v>
      </c>
      <c r="C344" s="2">
        <f t="shared" si="5"/>
        <v>1.1655690904258808E-4</v>
      </c>
    </row>
    <row r="345" spans="1:3" x14ac:dyDescent="0.2">
      <c r="A345" s="1">
        <v>45569</v>
      </c>
      <c r="B345">
        <v>85.79</v>
      </c>
      <c r="C345" s="2">
        <f t="shared" si="5"/>
        <v>-4.8837306369596831E-3</v>
      </c>
    </row>
    <row r="346" spans="1:3" x14ac:dyDescent="0.2">
      <c r="A346" s="1">
        <v>45568</v>
      </c>
      <c r="B346">
        <v>86.21</v>
      </c>
      <c r="C346" s="2">
        <f t="shared" si="5"/>
        <v>-5.8983574695025322E-3</v>
      </c>
    </row>
    <row r="347" spans="1:3" x14ac:dyDescent="0.2">
      <c r="A347" s="1">
        <v>45567</v>
      </c>
      <c r="B347">
        <v>86.72</v>
      </c>
      <c r="C347" s="2">
        <f t="shared" si="5"/>
        <v>3.465407187548938E-3</v>
      </c>
    </row>
    <row r="348" spans="1:3" x14ac:dyDescent="0.2">
      <c r="A348" s="1">
        <v>45566</v>
      </c>
      <c r="B348">
        <v>86.42</v>
      </c>
      <c r="C348" s="2">
        <f t="shared" si="5"/>
        <v>-1.253394204395269E-2</v>
      </c>
    </row>
    <row r="349" spans="1:3" x14ac:dyDescent="0.2">
      <c r="A349" s="1">
        <v>45565</v>
      </c>
      <c r="B349">
        <v>87.51</v>
      </c>
      <c r="C349" s="2">
        <f t="shared" si="5"/>
        <v>-1.4844421795259346E-3</v>
      </c>
    </row>
    <row r="350" spans="1:3" x14ac:dyDescent="0.2">
      <c r="A350" s="1">
        <v>45562</v>
      </c>
      <c r="B350">
        <v>87.64</v>
      </c>
      <c r="C350" s="2">
        <f t="shared" si="5"/>
        <v>9.5156923235492265E-3</v>
      </c>
    </row>
    <row r="351" spans="1:3" x14ac:dyDescent="0.2">
      <c r="A351" s="1">
        <v>45561</v>
      </c>
      <c r="B351">
        <v>86.81</v>
      </c>
      <c r="C351" s="2">
        <f t="shared" si="5"/>
        <v>2.2483328097988996E-2</v>
      </c>
    </row>
    <row r="352" spans="1:3" x14ac:dyDescent="0.2">
      <c r="A352" s="1">
        <v>45560</v>
      </c>
      <c r="B352">
        <v>84.88</v>
      </c>
      <c r="C352" s="2">
        <f t="shared" si="5"/>
        <v>-9.1474778814972912E-3</v>
      </c>
    </row>
    <row r="353" spans="1:3" x14ac:dyDescent="0.2">
      <c r="A353" s="1">
        <v>45559</v>
      </c>
      <c r="B353">
        <v>85.66</v>
      </c>
      <c r="C353" s="2">
        <f t="shared" si="5"/>
        <v>-1.2833228151052025E-3</v>
      </c>
    </row>
    <row r="354" spans="1:3" x14ac:dyDescent="0.2">
      <c r="A354" s="1">
        <v>45558</v>
      </c>
      <c r="B354">
        <v>85.77</v>
      </c>
      <c r="C354" s="2">
        <f t="shared" si="5"/>
        <v>1.3853238686406803E-2</v>
      </c>
    </row>
    <row r="355" spans="1:3" x14ac:dyDescent="0.2">
      <c r="A355" s="1">
        <v>45555</v>
      </c>
      <c r="B355">
        <v>84.59</v>
      </c>
      <c r="C355" s="2">
        <f t="shared" si="5"/>
        <v>-1.4785531027561321E-2</v>
      </c>
    </row>
    <row r="356" spans="1:3" x14ac:dyDescent="0.2">
      <c r="A356" s="1">
        <v>45554</v>
      </c>
      <c r="B356">
        <v>85.85</v>
      </c>
      <c r="C356" s="2">
        <f t="shared" si="5"/>
        <v>2.5243142671519624E-2</v>
      </c>
    </row>
    <row r="357" spans="1:3" x14ac:dyDescent="0.2">
      <c r="A357" s="1">
        <v>45553</v>
      </c>
      <c r="B357">
        <v>83.71</v>
      </c>
      <c r="C357" s="2">
        <f t="shared" si="5"/>
        <v>-2.147972186238314E-3</v>
      </c>
    </row>
    <row r="358" spans="1:3" x14ac:dyDescent="0.2">
      <c r="A358" s="1">
        <v>45552</v>
      </c>
      <c r="B358">
        <v>83.89</v>
      </c>
      <c r="C358" s="2">
        <f t="shared" si="5"/>
        <v>-9.5317533726860812E-4</v>
      </c>
    </row>
    <row r="359" spans="1:3" x14ac:dyDescent="0.2">
      <c r="A359" s="1">
        <v>45551</v>
      </c>
      <c r="B359">
        <v>83.97</v>
      </c>
      <c r="C359" s="2">
        <f t="shared" si="5"/>
        <v>1.0535234518581869E-2</v>
      </c>
    </row>
    <row r="360" spans="1:3" x14ac:dyDescent="0.2">
      <c r="A360" s="1">
        <v>45548</v>
      </c>
      <c r="B360">
        <v>83.09</v>
      </c>
      <c r="C360" s="2">
        <f t="shared" si="5"/>
        <v>9.3102661510959007E-3</v>
      </c>
    </row>
    <row r="361" spans="1:3" x14ac:dyDescent="0.2">
      <c r="A361" s="1">
        <v>45547</v>
      </c>
      <c r="B361">
        <v>82.32</v>
      </c>
      <c r="C361" s="2">
        <f t="shared" si="5"/>
        <v>2.4324993750611955E-3</v>
      </c>
    </row>
    <row r="362" spans="1:3" x14ac:dyDescent="0.2">
      <c r="A362" s="1">
        <v>45546</v>
      </c>
      <c r="B362">
        <v>82.12</v>
      </c>
      <c r="C362" s="2">
        <f t="shared" si="5"/>
        <v>4.271163976846998E-3</v>
      </c>
    </row>
    <row r="363" spans="1:3" x14ac:dyDescent="0.2">
      <c r="A363" s="1">
        <v>45545</v>
      </c>
      <c r="B363">
        <v>81.77</v>
      </c>
      <c r="C363" s="2">
        <f t="shared" si="5"/>
        <v>4.7808856003421158E-3</v>
      </c>
    </row>
    <row r="364" spans="1:3" x14ac:dyDescent="0.2">
      <c r="A364" s="1">
        <v>45544</v>
      </c>
      <c r="B364">
        <v>81.38</v>
      </c>
      <c r="C364" s="2">
        <f t="shared" si="5"/>
        <v>1.6727978194589106E-2</v>
      </c>
    </row>
    <row r="365" spans="1:3" x14ac:dyDescent="0.2">
      <c r="A365" s="1">
        <v>45541</v>
      </c>
      <c r="B365">
        <v>80.03</v>
      </c>
      <c r="C365" s="2">
        <f t="shared" si="5"/>
        <v>-9.9912584807066774E-4</v>
      </c>
    </row>
    <row r="366" spans="1:3" x14ac:dyDescent="0.2">
      <c r="A366" s="1">
        <v>45540</v>
      </c>
      <c r="B366">
        <v>80.11</v>
      </c>
      <c r="C366" s="2">
        <f t="shared" si="5"/>
        <v>-1.7815638839997393E-2</v>
      </c>
    </row>
    <row r="367" spans="1:3" x14ac:dyDescent="0.2">
      <c r="A367" s="1">
        <v>45539</v>
      </c>
      <c r="B367">
        <v>81.55</v>
      </c>
      <c r="C367" s="2">
        <f t="shared" si="5"/>
        <v>-1.1030088746212569E-3</v>
      </c>
    </row>
    <row r="368" spans="1:3" x14ac:dyDescent="0.2">
      <c r="A368" s="1">
        <v>45538</v>
      </c>
      <c r="B368">
        <v>81.64</v>
      </c>
      <c r="C368" s="2">
        <f t="shared" si="5"/>
        <v>-2.0729271255158905E-2</v>
      </c>
    </row>
    <row r="369" spans="1:3" x14ac:dyDescent="0.2">
      <c r="A369" s="1">
        <v>45534</v>
      </c>
      <c r="B369">
        <v>83.35</v>
      </c>
      <c r="C369" s="2">
        <f t="shared" si="5"/>
        <v>1.170592018886839E-2</v>
      </c>
    </row>
    <row r="370" spans="1:3" x14ac:dyDescent="0.2">
      <c r="A370" s="1">
        <v>45533</v>
      </c>
      <c r="B370">
        <v>82.38</v>
      </c>
      <c r="C370" s="2">
        <f t="shared" si="5"/>
        <v>7.4322608340488643E-3</v>
      </c>
    </row>
    <row r="371" spans="1:3" x14ac:dyDescent="0.2">
      <c r="A371" s="1">
        <v>45532</v>
      </c>
      <c r="B371">
        <v>81.77</v>
      </c>
      <c r="C371" s="2">
        <f t="shared" si="5"/>
        <v>1.2230171849158533E-4</v>
      </c>
    </row>
    <row r="372" spans="1:3" x14ac:dyDescent="0.2">
      <c r="A372" s="1">
        <v>45531</v>
      </c>
      <c r="B372">
        <v>81.760000000000005</v>
      </c>
      <c r="C372" s="2">
        <f t="shared" si="5"/>
        <v>-4.8804391649084266E-3</v>
      </c>
    </row>
    <row r="373" spans="1:3" x14ac:dyDescent="0.2">
      <c r="A373" s="1">
        <v>45530</v>
      </c>
      <c r="B373">
        <v>82.16</v>
      </c>
      <c r="C373" s="2">
        <f t="shared" si="5"/>
        <v>-1.4594991644537154E-3</v>
      </c>
    </row>
    <row r="374" spans="1:3" x14ac:dyDescent="0.2">
      <c r="A374" s="1">
        <v>45527</v>
      </c>
      <c r="B374">
        <v>82.28</v>
      </c>
      <c r="C374" s="2">
        <f t="shared" si="5"/>
        <v>7.6862453682821847E-3</v>
      </c>
    </row>
    <row r="375" spans="1:3" x14ac:dyDescent="0.2">
      <c r="A375" s="1">
        <v>45526</v>
      </c>
      <c r="B375">
        <v>81.650000000000006</v>
      </c>
      <c r="C375" s="2">
        <f t="shared" si="5"/>
        <v>-2.3243022268969208E-3</v>
      </c>
    </row>
    <row r="376" spans="1:3" x14ac:dyDescent="0.2">
      <c r="A376" s="1">
        <v>45525</v>
      </c>
      <c r="B376">
        <v>81.84</v>
      </c>
      <c r="C376" s="2">
        <f t="shared" si="5"/>
        <v>1.9245597715233778E-2</v>
      </c>
    </row>
    <row r="377" spans="1:3" x14ac:dyDescent="0.2">
      <c r="A377" s="1">
        <v>45524</v>
      </c>
      <c r="B377">
        <v>80.28</v>
      </c>
      <c r="C377" s="2">
        <f t="shared" si="5"/>
        <v>-6.7039357221901057E-3</v>
      </c>
    </row>
    <row r="378" spans="1:3" x14ac:dyDescent="0.2">
      <c r="A378" s="1">
        <v>45523</v>
      </c>
      <c r="B378">
        <v>80.819999999999993</v>
      </c>
      <c r="C378" s="2">
        <f t="shared" si="5"/>
        <v>2.3536709533969521E-3</v>
      </c>
    </row>
    <row r="379" spans="1:3" x14ac:dyDescent="0.2">
      <c r="A379" s="1">
        <v>45520</v>
      </c>
      <c r="B379">
        <v>80.63</v>
      </c>
      <c r="C379" s="2">
        <f t="shared" si="5"/>
        <v>-8.8900449681161547E-3</v>
      </c>
    </row>
    <row r="380" spans="1:3" x14ac:dyDescent="0.2">
      <c r="A380" s="1">
        <v>45519</v>
      </c>
      <c r="B380">
        <v>81.349999999999994</v>
      </c>
      <c r="C380" s="2">
        <f t="shared" si="5"/>
        <v>9.6344618759422809E-3</v>
      </c>
    </row>
    <row r="381" spans="1:3" x14ac:dyDescent="0.2">
      <c r="A381" s="1">
        <v>45518</v>
      </c>
      <c r="B381">
        <v>80.569999999999993</v>
      </c>
      <c r="C381" s="2">
        <f t="shared" si="5"/>
        <v>4.3535114471976184E-3</v>
      </c>
    </row>
    <row r="382" spans="1:3" x14ac:dyDescent="0.2">
      <c r="A382" s="1">
        <v>45517</v>
      </c>
      <c r="B382">
        <v>80.22</v>
      </c>
      <c r="C382" s="2">
        <f t="shared" si="5"/>
        <v>1.5704826832417172E-2</v>
      </c>
    </row>
    <row r="383" spans="1:3" x14ac:dyDescent="0.2">
      <c r="A383" s="1">
        <v>45516</v>
      </c>
      <c r="B383">
        <v>78.97</v>
      </c>
      <c r="C383" s="2">
        <f t="shared" si="5"/>
        <v>-1.4082968826101354E-2</v>
      </c>
    </row>
    <row r="384" spans="1:3" x14ac:dyDescent="0.2">
      <c r="A384" s="1">
        <v>45513</v>
      </c>
      <c r="B384">
        <v>80.09</v>
      </c>
      <c r="C384" s="2">
        <f t="shared" si="5"/>
        <v>-3.7450846202663192E-4</v>
      </c>
    </row>
    <row r="385" spans="1:3" x14ac:dyDescent="0.2">
      <c r="A385" s="1">
        <v>45512</v>
      </c>
      <c r="B385">
        <v>80.12</v>
      </c>
      <c r="C385" s="2">
        <f t="shared" si="5"/>
        <v>1.3571457358005024E-2</v>
      </c>
    </row>
    <row r="386" spans="1:3" x14ac:dyDescent="0.2">
      <c r="A386" s="1">
        <v>45511</v>
      </c>
      <c r="B386">
        <v>79.040000000000006</v>
      </c>
      <c r="C386" s="2">
        <f t="shared" si="5"/>
        <v>0</v>
      </c>
    </row>
    <row r="387" spans="1:3" x14ac:dyDescent="0.2">
      <c r="A387" s="1">
        <v>45510</v>
      </c>
      <c r="B387">
        <v>79.040000000000006</v>
      </c>
      <c r="C387" s="2">
        <f t="shared" ref="C387:C450" si="6">+LN(B387/B388)</f>
        <v>4.5650599187540553E-3</v>
      </c>
    </row>
    <row r="388" spans="1:3" x14ac:dyDescent="0.2">
      <c r="A388" s="1">
        <v>45509</v>
      </c>
      <c r="B388">
        <v>78.680000000000007</v>
      </c>
      <c r="C388" s="2">
        <f t="shared" si="6"/>
        <v>-3.1895643542004158E-2</v>
      </c>
    </row>
    <row r="389" spans="1:3" x14ac:dyDescent="0.2">
      <c r="A389" s="1">
        <v>45506</v>
      </c>
      <c r="B389">
        <v>81.23</v>
      </c>
      <c r="C389" s="2">
        <f t="shared" si="6"/>
        <v>-1.5271202645841966E-2</v>
      </c>
    </row>
    <row r="390" spans="1:3" x14ac:dyDescent="0.2">
      <c r="A390" s="1">
        <v>45505</v>
      </c>
      <c r="B390">
        <v>82.48</v>
      </c>
      <c r="C390" s="2">
        <f t="shared" si="6"/>
        <v>-3.0683479133166193E-2</v>
      </c>
    </row>
    <row r="391" spans="1:3" x14ac:dyDescent="0.2">
      <c r="A391" s="1">
        <v>45504</v>
      </c>
      <c r="B391">
        <v>85.05</v>
      </c>
      <c r="C391" s="2">
        <f t="shared" si="6"/>
        <v>2.8258584682621332E-3</v>
      </c>
    </row>
    <row r="392" spans="1:3" x14ac:dyDescent="0.2">
      <c r="A392" s="1">
        <v>45503</v>
      </c>
      <c r="B392">
        <v>84.81</v>
      </c>
      <c r="C392" s="2">
        <f t="shared" si="6"/>
        <v>1.6525371604809456E-2</v>
      </c>
    </row>
    <row r="393" spans="1:3" x14ac:dyDescent="0.2">
      <c r="A393" s="1">
        <v>45502</v>
      </c>
      <c r="B393">
        <v>83.42</v>
      </c>
      <c r="C393" s="2">
        <f t="shared" si="6"/>
        <v>-1.191625158555348E-2</v>
      </c>
    </row>
    <row r="394" spans="1:3" x14ac:dyDescent="0.2">
      <c r="A394" s="1">
        <v>45499</v>
      </c>
      <c r="B394">
        <v>84.42</v>
      </c>
      <c r="C394" s="2">
        <f t="shared" si="6"/>
        <v>7.4906717291576587E-3</v>
      </c>
    </row>
    <row r="395" spans="1:3" x14ac:dyDescent="0.2">
      <c r="A395" s="1">
        <v>45498</v>
      </c>
      <c r="B395">
        <v>83.79</v>
      </c>
      <c r="C395" s="2">
        <f t="shared" si="6"/>
        <v>3.2877347041395964E-2</v>
      </c>
    </row>
    <row r="396" spans="1:3" x14ac:dyDescent="0.2">
      <c r="A396" s="1">
        <v>45497</v>
      </c>
      <c r="B396">
        <v>81.08</v>
      </c>
      <c r="C396" s="2">
        <f t="shared" si="6"/>
        <v>-1.2014365430240788E-2</v>
      </c>
    </row>
    <row r="397" spans="1:3" x14ac:dyDescent="0.2">
      <c r="A397" s="1">
        <v>45496</v>
      </c>
      <c r="B397">
        <v>82.06</v>
      </c>
      <c r="C397" s="2">
        <f t="shared" si="6"/>
        <v>-4.2561017612520622E-3</v>
      </c>
    </row>
    <row r="398" spans="1:3" x14ac:dyDescent="0.2">
      <c r="A398" s="1">
        <v>45495</v>
      </c>
      <c r="B398">
        <v>82.41</v>
      </c>
      <c r="C398" s="2">
        <f t="shared" si="6"/>
        <v>5.4754654045933125E-3</v>
      </c>
    </row>
    <row r="399" spans="1:3" x14ac:dyDescent="0.2">
      <c r="A399" s="1">
        <v>45492</v>
      </c>
      <c r="B399">
        <v>81.96</v>
      </c>
      <c r="C399" s="2">
        <f t="shared" si="6"/>
        <v>-8.6254558938853067E-3</v>
      </c>
    </row>
    <row r="400" spans="1:3" x14ac:dyDescent="0.2">
      <c r="A400" s="1">
        <v>45491</v>
      </c>
      <c r="B400">
        <v>82.67</v>
      </c>
      <c r="C400" s="2">
        <f t="shared" si="6"/>
        <v>-1.1306350897382215E-2</v>
      </c>
    </row>
    <row r="401" spans="1:3" x14ac:dyDescent="0.2">
      <c r="A401" s="1">
        <v>45490</v>
      </c>
      <c r="B401">
        <v>83.61</v>
      </c>
      <c r="C401" s="2">
        <f t="shared" si="6"/>
        <v>-1.2716316104698016E-2</v>
      </c>
    </row>
    <row r="402" spans="1:3" x14ac:dyDescent="0.2">
      <c r="A402" s="1">
        <v>45489</v>
      </c>
      <c r="B402">
        <v>84.68</v>
      </c>
      <c r="C402" s="2">
        <f t="shared" si="6"/>
        <v>3.5213636489301745E-2</v>
      </c>
    </row>
    <row r="403" spans="1:3" x14ac:dyDescent="0.2">
      <c r="A403" s="1">
        <v>45488</v>
      </c>
      <c r="B403">
        <v>81.75</v>
      </c>
      <c r="C403" s="2">
        <f t="shared" si="6"/>
        <v>6.7505626097304284E-3</v>
      </c>
    </row>
    <row r="404" spans="1:3" x14ac:dyDescent="0.2">
      <c r="A404" s="1">
        <v>45485</v>
      </c>
      <c r="B404">
        <v>81.2</v>
      </c>
      <c r="C404" s="2">
        <f t="shared" si="6"/>
        <v>1.0647618236496145E-2</v>
      </c>
    </row>
    <row r="405" spans="1:3" x14ac:dyDescent="0.2">
      <c r="A405" s="1">
        <v>45484</v>
      </c>
      <c r="B405">
        <v>80.34</v>
      </c>
      <c r="C405" s="2">
        <f t="shared" si="6"/>
        <v>1.9354632067302868E-2</v>
      </c>
    </row>
    <row r="406" spans="1:3" x14ac:dyDescent="0.2">
      <c r="A406" s="1">
        <v>45483</v>
      </c>
      <c r="B406">
        <v>78.8</v>
      </c>
      <c r="C406" s="2">
        <f t="shared" si="6"/>
        <v>9.5633499023924304E-3</v>
      </c>
    </row>
    <row r="407" spans="1:3" x14ac:dyDescent="0.2">
      <c r="A407" s="1">
        <v>45482</v>
      </c>
      <c r="B407">
        <v>78.05</v>
      </c>
      <c r="C407" s="2">
        <f t="shared" si="6"/>
        <v>-5.7489778269216767E-3</v>
      </c>
    </row>
    <row r="408" spans="1:3" x14ac:dyDescent="0.2">
      <c r="A408" s="1">
        <v>45481</v>
      </c>
      <c r="B408">
        <v>78.5</v>
      </c>
      <c r="C408" s="2">
        <f t="shared" si="6"/>
        <v>-3.8143720754706774E-3</v>
      </c>
    </row>
    <row r="409" spans="1:3" x14ac:dyDescent="0.2">
      <c r="A409" s="1">
        <v>45478</v>
      </c>
      <c r="B409">
        <v>78.8</v>
      </c>
      <c r="C409" s="2">
        <f t="shared" si="6"/>
        <v>-3.67344766749245E-3</v>
      </c>
    </row>
    <row r="410" spans="1:3" x14ac:dyDescent="0.2">
      <c r="A410" s="1">
        <v>45476</v>
      </c>
      <c r="B410">
        <v>79.09</v>
      </c>
      <c r="C410" s="2">
        <f t="shared" si="6"/>
        <v>6.3419796532422348E-3</v>
      </c>
    </row>
    <row r="411" spans="1:3" x14ac:dyDescent="0.2">
      <c r="A411" s="1">
        <v>45475</v>
      </c>
      <c r="B411">
        <v>78.59</v>
      </c>
      <c r="C411" s="2">
        <f t="shared" si="6"/>
        <v>9.8459973216762798E-3</v>
      </c>
    </row>
    <row r="412" spans="1:3" x14ac:dyDescent="0.2">
      <c r="A412" s="1">
        <v>45474</v>
      </c>
      <c r="B412">
        <v>77.819999999999993</v>
      </c>
      <c r="C412" s="2">
        <f t="shared" si="6"/>
        <v>-1.8587422465325115E-2</v>
      </c>
    </row>
    <row r="413" spans="1:3" x14ac:dyDescent="0.2">
      <c r="A413" s="1">
        <v>45471</v>
      </c>
      <c r="B413">
        <v>79.28</v>
      </c>
      <c r="C413" s="2">
        <f t="shared" si="6"/>
        <v>3.7847726434266777E-4</v>
      </c>
    </row>
    <row r="414" spans="1:3" x14ac:dyDescent="0.2">
      <c r="A414" s="1">
        <v>45470</v>
      </c>
      <c r="B414">
        <v>79.25</v>
      </c>
      <c r="C414" s="2">
        <f t="shared" si="6"/>
        <v>3.7926720557387547E-3</v>
      </c>
    </row>
    <row r="415" spans="1:3" x14ac:dyDescent="0.2">
      <c r="A415" s="1">
        <v>45469</v>
      </c>
      <c r="B415">
        <v>78.95</v>
      </c>
      <c r="C415" s="2">
        <f t="shared" si="6"/>
        <v>-5.1797222749662203E-3</v>
      </c>
    </row>
    <row r="416" spans="1:3" x14ac:dyDescent="0.2">
      <c r="A416" s="1">
        <v>45468</v>
      </c>
      <c r="B416">
        <v>79.36</v>
      </c>
      <c r="C416" s="2">
        <f t="shared" si="6"/>
        <v>-5.4037203435723293E-3</v>
      </c>
    </row>
    <row r="417" spans="1:3" x14ac:dyDescent="0.2">
      <c r="A417" s="1">
        <v>45467</v>
      </c>
      <c r="B417">
        <v>79.790000000000006</v>
      </c>
      <c r="C417" s="2">
        <f t="shared" si="6"/>
        <v>3.6411616599033823E-3</v>
      </c>
    </row>
    <row r="418" spans="1:3" x14ac:dyDescent="0.2">
      <c r="A418" s="1">
        <v>45464</v>
      </c>
      <c r="B418">
        <v>79.5</v>
      </c>
      <c r="C418" s="2">
        <f t="shared" si="6"/>
        <v>1.8885746878681546E-3</v>
      </c>
    </row>
    <row r="419" spans="1:3" x14ac:dyDescent="0.2">
      <c r="A419" s="1">
        <v>45463</v>
      </c>
      <c r="B419">
        <v>79.349999999999994</v>
      </c>
      <c r="C419" s="2">
        <f t="shared" si="6"/>
        <v>-1.0779748406415105E-2</v>
      </c>
    </row>
    <row r="420" spans="1:3" x14ac:dyDescent="0.2">
      <c r="A420" s="1">
        <v>45461</v>
      </c>
      <c r="B420">
        <v>80.209999999999994</v>
      </c>
      <c r="C420" s="2">
        <f t="shared" si="6"/>
        <v>1.1226845812156373E-3</v>
      </c>
    </row>
    <row r="421" spans="1:3" x14ac:dyDescent="0.2">
      <c r="A421" s="1">
        <v>45460</v>
      </c>
      <c r="B421">
        <v>80.12</v>
      </c>
      <c r="C421" s="2">
        <f t="shared" si="6"/>
        <v>1.0413493513310014E-2</v>
      </c>
    </row>
    <row r="422" spans="1:3" x14ac:dyDescent="0.2">
      <c r="A422" s="1">
        <v>45457</v>
      </c>
      <c r="B422">
        <v>79.290000000000006</v>
      </c>
      <c r="C422" s="2">
        <f t="shared" si="6"/>
        <v>-1.8617392850959175E-2</v>
      </c>
    </row>
    <row r="423" spans="1:3" x14ac:dyDescent="0.2">
      <c r="A423" s="1">
        <v>45456</v>
      </c>
      <c r="B423">
        <v>80.78</v>
      </c>
      <c r="C423" s="2">
        <f t="shared" si="6"/>
        <v>-3.583568864348915E-3</v>
      </c>
    </row>
    <row r="424" spans="1:3" x14ac:dyDescent="0.2">
      <c r="A424" s="1">
        <v>45455</v>
      </c>
      <c r="B424">
        <v>81.069999999999993</v>
      </c>
      <c r="C424" s="2">
        <f t="shared" si="6"/>
        <v>1.8927224215819896E-2</v>
      </c>
    </row>
    <row r="425" spans="1:3" x14ac:dyDescent="0.2">
      <c r="A425" s="1">
        <v>45454</v>
      </c>
      <c r="B425">
        <v>79.55</v>
      </c>
      <c r="C425" s="2">
        <f t="shared" si="6"/>
        <v>1.6355290806905037E-3</v>
      </c>
    </row>
    <row r="426" spans="1:3" x14ac:dyDescent="0.2">
      <c r="A426" s="1">
        <v>45453</v>
      </c>
      <c r="B426">
        <v>79.42</v>
      </c>
      <c r="C426" s="2">
        <f t="shared" si="6"/>
        <v>1.3564256901075654E-2</v>
      </c>
    </row>
    <row r="427" spans="1:3" x14ac:dyDescent="0.2">
      <c r="A427" s="1">
        <v>45450</v>
      </c>
      <c r="B427">
        <v>78.349999999999994</v>
      </c>
      <c r="C427" s="2">
        <f t="shared" si="6"/>
        <v>-8.9302806215587856E-4</v>
      </c>
    </row>
    <row r="428" spans="1:3" x14ac:dyDescent="0.2">
      <c r="A428" s="1">
        <v>45449</v>
      </c>
      <c r="B428">
        <v>78.42</v>
      </c>
      <c r="C428" s="2">
        <f t="shared" si="6"/>
        <v>-7.4954298704564002E-3</v>
      </c>
    </row>
    <row r="429" spans="1:3" x14ac:dyDescent="0.2">
      <c r="A429" s="1">
        <v>45448</v>
      </c>
      <c r="B429">
        <v>79.010000000000005</v>
      </c>
      <c r="C429" s="2">
        <f t="shared" si="6"/>
        <v>1.1456337112436057E-2</v>
      </c>
    </row>
    <row r="430" spans="1:3" x14ac:dyDescent="0.2">
      <c r="A430" s="1">
        <v>45447</v>
      </c>
      <c r="B430">
        <v>78.11</v>
      </c>
      <c r="C430" s="2">
        <f t="shared" si="6"/>
        <v>-1.4110702571564661E-2</v>
      </c>
    </row>
    <row r="431" spans="1:3" x14ac:dyDescent="0.2">
      <c r="A431" s="1">
        <v>45446</v>
      </c>
      <c r="B431">
        <v>79.22</v>
      </c>
      <c r="C431" s="2">
        <f t="shared" si="6"/>
        <v>-1.9129169908995304E-2</v>
      </c>
    </row>
    <row r="432" spans="1:3" x14ac:dyDescent="0.2">
      <c r="A432" s="1">
        <v>45443</v>
      </c>
      <c r="B432">
        <v>80.75</v>
      </c>
      <c r="C432" s="2">
        <f t="shared" si="6"/>
        <v>2.0897963800349754E-2</v>
      </c>
    </row>
    <row r="433" spans="1:3" x14ac:dyDescent="0.2">
      <c r="A433" s="1">
        <v>45442</v>
      </c>
      <c r="B433">
        <v>79.08</v>
      </c>
      <c r="C433" s="2">
        <f t="shared" si="6"/>
        <v>5.7066922989915236E-3</v>
      </c>
    </row>
    <row r="434" spans="1:3" x14ac:dyDescent="0.2">
      <c r="A434" s="1">
        <v>45441</v>
      </c>
      <c r="B434">
        <v>78.63</v>
      </c>
      <c r="C434" s="2">
        <f t="shared" si="6"/>
        <v>-1.1506733776120007E-2</v>
      </c>
    </row>
    <row r="435" spans="1:3" x14ac:dyDescent="0.2">
      <c r="A435" s="1">
        <v>45440</v>
      </c>
      <c r="B435">
        <v>79.540000000000006</v>
      </c>
      <c r="C435" s="2">
        <f t="shared" si="6"/>
        <v>-2.409755157906053E-2</v>
      </c>
    </row>
    <row r="436" spans="1:3" x14ac:dyDescent="0.2">
      <c r="A436" s="1">
        <v>45436</v>
      </c>
      <c r="B436">
        <v>81.48</v>
      </c>
      <c r="C436" s="2">
        <f t="shared" si="6"/>
        <v>-9.8135434764935942E-4</v>
      </c>
    </row>
    <row r="437" spans="1:3" x14ac:dyDescent="0.2">
      <c r="A437" s="1">
        <v>45435</v>
      </c>
      <c r="B437">
        <v>81.56</v>
      </c>
      <c r="C437" s="2">
        <f t="shared" si="6"/>
        <v>-1.7501662090343522E-2</v>
      </c>
    </row>
    <row r="438" spans="1:3" x14ac:dyDescent="0.2">
      <c r="A438" s="1">
        <v>45434</v>
      </c>
      <c r="B438">
        <v>83</v>
      </c>
      <c r="C438" s="2">
        <f t="shared" si="6"/>
        <v>-1.8055978423387937E-3</v>
      </c>
    </row>
    <row r="439" spans="1:3" x14ac:dyDescent="0.2">
      <c r="A439" s="1">
        <v>45433</v>
      </c>
      <c r="B439">
        <v>83.15</v>
      </c>
      <c r="C439" s="2">
        <f t="shared" si="6"/>
        <v>-4.9187310494283555E-3</v>
      </c>
    </row>
    <row r="440" spans="1:3" x14ac:dyDescent="0.2">
      <c r="A440" s="1">
        <v>45432</v>
      </c>
      <c r="B440">
        <v>83.56</v>
      </c>
      <c r="C440" s="2">
        <f t="shared" si="6"/>
        <v>6.4833940634724451E-3</v>
      </c>
    </row>
    <row r="441" spans="1:3" x14ac:dyDescent="0.2">
      <c r="A441" s="1">
        <v>45429</v>
      </c>
      <c r="B441">
        <v>83.02</v>
      </c>
      <c r="C441" s="2">
        <f t="shared" si="6"/>
        <v>-4.6866636286277911E-3</v>
      </c>
    </row>
    <row r="442" spans="1:3" x14ac:dyDescent="0.2">
      <c r="A442" s="1">
        <v>45428</v>
      </c>
      <c r="B442">
        <v>83.41</v>
      </c>
      <c r="C442" s="2">
        <f t="shared" si="6"/>
        <v>-8.3887595547959713E-4</v>
      </c>
    </row>
    <row r="443" spans="1:3" x14ac:dyDescent="0.2">
      <c r="A443" s="1">
        <v>45427</v>
      </c>
      <c r="B443">
        <v>83.48</v>
      </c>
      <c r="C443" s="2">
        <f t="shared" si="6"/>
        <v>4.2014346660033891E-3</v>
      </c>
    </row>
    <row r="444" spans="1:3" x14ac:dyDescent="0.2">
      <c r="A444" s="1">
        <v>45426</v>
      </c>
      <c r="B444">
        <v>83.13</v>
      </c>
      <c r="C444" s="2">
        <f t="shared" si="6"/>
        <v>-7.2150075279965435E-4</v>
      </c>
    </row>
    <row r="445" spans="1:3" x14ac:dyDescent="0.2">
      <c r="A445" s="1">
        <v>45425</v>
      </c>
      <c r="B445">
        <v>83.19</v>
      </c>
      <c r="C445" s="2">
        <f t="shared" si="6"/>
        <v>-4.4377883925687013E-3</v>
      </c>
    </row>
    <row r="446" spans="1:3" x14ac:dyDescent="0.2">
      <c r="A446" s="1">
        <v>45422</v>
      </c>
      <c r="B446">
        <v>83.56</v>
      </c>
      <c r="C446" s="2">
        <f t="shared" si="6"/>
        <v>2.8763202955938258E-3</v>
      </c>
    </row>
    <row r="447" spans="1:3" x14ac:dyDescent="0.2">
      <c r="A447" s="1">
        <v>45421</v>
      </c>
      <c r="B447">
        <v>83.32</v>
      </c>
      <c r="C447" s="2">
        <f t="shared" si="6"/>
        <v>3.8480085961731299E-3</v>
      </c>
    </row>
    <row r="448" spans="1:3" x14ac:dyDescent="0.2">
      <c r="A448" s="1">
        <v>45420</v>
      </c>
      <c r="B448">
        <v>83</v>
      </c>
      <c r="C448" s="2">
        <f t="shared" si="6"/>
        <v>-6.2455163377306624E-3</v>
      </c>
    </row>
    <row r="449" spans="1:3" x14ac:dyDescent="0.2">
      <c r="A449" s="1">
        <v>45419</v>
      </c>
      <c r="B449">
        <v>83.52</v>
      </c>
      <c r="C449" s="2">
        <f t="shared" si="6"/>
        <v>8.0543802617567845E-3</v>
      </c>
    </row>
    <row r="450" spans="1:3" x14ac:dyDescent="0.2">
      <c r="A450" s="1">
        <v>45418</v>
      </c>
      <c r="B450">
        <v>82.85</v>
      </c>
      <c r="C450" s="2">
        <f t="shared" si="6"/>
        <v>8.8501517218390283E-3</v>
      </c>
    </row>
    <row r="451" spans="1:3" x14ac:dyDescent="0.2">
      <c r="A451" s="1">
        <v>45415</v>
      </c>
      <c r="B451">
        <v>82.12</v>
      </c>
      <c r="C451" s="2">
        <f t="shared" ref="C451:C514" si="7">+LN(B451/B452)</f>
        <v>1.4844166330984608E-2</v>
      </c>
    </row>
    <row r="452" spans="1:3" x14ac:dyDescent="0.2">
      <c r="A452" s="1">
        <v>45414</v>
      </c>
      <c r="B452">
        <v>80.91</v>
      </c>
      <c r="C452" s="2">
        <f t="shared" si="7"/>
        <v>7.3187698763292437E-3</v>
      </c>
    </row>
    <row r="453" spans="1:3" x14ac:dyDescent="0.2">
      <c r="A453" s="1">
        <v>45413</v>
      </c>
      <c r="B453">
        <v>80.319999999999993</v>
      </c>
      <c r="C453" s="2">
        <f t="shared" si="7"/>
        <v>1.4951410709500945E-3</v>
      </c>
    </row>
    <row r="454" spans="1:3" x14ac:dyDescent="0.2">
      <c r="A454" s="1">
        <v>45412</v>
      </c>
      <c r="B454">
        <v>80.2</v>
      </c>
      <c r="C454" s="2">
        <f t="shared" si="7"/>
        <v>-2.2195732391784323E-2</v>
      </c>
    </row>
    <row r="455" spans="1:3" x14ac:dyDescent="0.2">
      <c r="A455" s="1">
        <v>45411</v>
      </c>
      <c r="B455">
        <v>82</v>
      </c>
      <c r="C455" s="2">
        <f t="shared" si="7"/>
        <v>-6.8060544689995022E-3</v>
      </c>
    </row>
    <row r="456" spans="1:3" x14ac:dyDescent="0.2">
      <c r="A456" s="1">
        <v>45408</v>
      </c>
      <c r="B456">
        <v>82.56</v>
      </c>
      <c r="C456" s="2">
        <f t="shared" si="7"/>
        <v>-6.8803458097440092E-3</v>
      </c>
    </row>
    <row r="457" spans="1:3" x14ac:dyDescent="0.2">
      <c r="A457" s="1">
        <v>45407</v>
      </c>
      <c r="B457">
        <v>83.13</v>
      </c>
      <c r="C457" s="2">
        <f t="shared" si="7"/>
        <v>-7.2155594062440306E-2</v>
      </c>
    </row>
    <row r="458" spans="1:3" x14ac:dyDescent="0.2">
      <c r="A458" s="1">
        <v>45406</v>
      </c>
      <c r="B458">
        <v>89.35</v>
      </c>
      <c r="C458" s="2">
        <f t="shared" si="7"/>
        <v>-1.9008223982327562E-3</v>
      </c>
    </row>
    <row r="459" spans="1:3" x14ac:dyDescent="0.2">
      <c r="A459" s="1">
        <v>45405</v>
      </c>
      <c r="B459">
        <v>89.52</v>
      </c>
      <c r="C459" s="2">
        <f t="shared" si="7"/>
        <v>1.4855100990924059E-2</v>
      </c>
    </row>
    <row r="460" spans="1:3" x14ac:dyDescent="0.2">
      <c r="A460" s="1">
        <v>45404</v>
      </c>
      <c r="B460">
        <v>88.2</v>
      </c>
      <c r="C460" s="2">
        <f t="shared" si="7"/>
        <v>-2.0387366898482057E-3</v>
      </c>
    </row>
    <row r="461" spans="1:3" x14ac:dyDescent="0.2">
      <c r="A461" s="1">
        <v>45401</v>
      </c>
      <c r="B461">
        <v>88.38</v>
      </c>
      <c r="C461" s="2">
        <f t="shared" si="7"/>
        <v>3.2866805808894864E-3</v>
      </c>
    </row>
    <row r="462" spans="1:3" x14ac:dyDescent="0.2">
      <c r="A462" s="1">
        <v>45400</v>
      </c>
      <c r="B462">
        <v>88.09</v>
      </c>
      <c r="C462" s="2">
        <f t="shared" si="7"/>
        <v>-3.8522594659394136E-3</v>
      </c>
    </row>
    <row r="463" spans="1:3" x14ac:dyDescent="0.2">
      <c r="A463" s="1">
        <v>45399</v>
      </c>
      <c r="B463">
        <v>88.43</v>
      </c>
      <c r="C463" s="2">
        <f t="shared" si="7"/>
        <v>-7.2112988561342144E-3</v>
      </c>
    </row>
    <row r="464" spans="1:3" x14ac:dyDescent="0.2">
      <c r="A464" s="1">
        <v>45398</v>
      </c>
      <c r="B464">
        <v>89.07</v>
      </c>
      <c r="C464" s="2">
        <f t="shared" si="7"/>
        <v>-2.5789104386753372E-3</v>
      </c>
    </row>
    <row r="465" spans="1:3" x14ac:dyDescent="0.2">
      <c r="A465" s="1">
        <v>45397</v>
      </c>
      <c r="B465">
        <v>89.3</v>
      </c>
      <c r="C465" s="2">
        <f t="shared" si="7"/>
        <v>-1.9018856770512281E-3</v>
      </c>
    </row>
    <row r="466" spans="1:3" x14ac:dyDescent="0.2">
      <c r="A466" s="1">
        <v>45394</v>
      </c>
      <c r="B466">
        <v>89.47</v>
      </c>
      <c r="C466" s="2">
        <f t="shared" si="7"/>
        <v>-2.0028331994315588E-2</v>
      </c>
    </row>
    <row r="467" spans="1:3" x14ac:dyDescent="0.2">
      <c r="A467" s="1">
        <v>45393</v>
      </c>
      <c r="B467">
        <v>91.28</v>
      </c>
      <c r="C467" s="2">
        <f t="shared" si="7"/>
        <v>-3.6087304732970965E-3</v>
      </c>
    </row>
    <row r="468" spans="1:3" x14ac:dyDescent="0.2">
      <c r="A468" s="1">
        <v>45392</v>
      </c>
      <c r="B468">
        <v>91.61</v>
      </c>
      <c r="C468" s="2">
        <f t="shared" si="7"/>
        <v>-1.3552546564658386E-2</v>
      </c>
    </row>
    <row r="469" spans="1:3" x14ac:dyDescent="0.2">
      <c r="A469" s="1">
        <v>45391</v>
      </c>
      <c r="B469">
        <v>92.86</v>
      </c>
      <c r="C469" s="2">
        <f t="shared" si="7"/>
        <v>5.1824775893164633E-3</v>
      </c>
    </row>
    <row r="470" spans="1:3" x14ac:dyDescent="0.2">
      <c r="A470" s="1">
        <v>45390</v>
      </c>
      <c r="B470">
        <v>92.38</v>
      </c>
      <c r="C470" s="2">
        <f t="shared" si="7"/>
        <v>6.7340321813438991E-3</v>
      </c>
    </row>
    <row r="471" spans="1:3" x14ac:dyDescent="0.2">
      <c r="A471" s="1">
        <v>45387</v>
      </c>
      <c r="B471">
        <v>91.76</v>
      </c>
      <c r="C471" s="2">
        <f t="shared" si="7"/>
        <v>6.23123087554111E-3</v>
      </c>
    </row>
    <row r="472" spans="1:3" x14ac:dyDescent="0.2">
      <c r="A472" s="1">
        <v>45386</v>
      </c>
      <c r="B472">
        <v>91.19</v>
      </c>
      <c r="C472" s="2">
        <f t="shared" si="7"/>
        <v>-1.0038273054570132E-2</v>
      </c>
    </row>
    <row r="473" spans="1:3" x14ac:dyDescent="0.2">
      <c r="A473" s="1">
        <v>45385</v>
      </c>
      <c r="B473">
        <v>92.11</v>
      </c>
      <c r="C473" s="2">
        <f t="shared" si="7"/>
        <v>3.0444733747133188E-3</v>
      </c>
    </row>
    <row r="474" spans="1:3" x14ac:dyDescent="0.2">
      <c r="A474" s="1">
        <v>45384</v>
      </c>
      <c r="B474">
        <v>91.83</v>
      </c>
      <c r="C474" s="2">
        <f t="shared" si="7"/>
        <v>-4.3464156221966893E-3</v>
      </c>
    </row>
    <row r="475" spans="1:3" x14ac:dyDescent="0.2">
      <c r="A475" s="1">
        <v>45383</v>
      </c>
      <c r="B475">
        <v>92.23</v>
      </c>
      <c r="C475" s="2">
        <f t="shared" si="7"/>
        <v>-1.3248080024652548E-2</v>
      </c>
    </row>
    <row r="476" spans="1:3" x14ac:dyDescent="0.2">
      <c r="A476" s="1">
        <v>45379</v>
      </c>
      <c r="B476">
        <v>93.46</v>
      </c>
      <c r="C476" s="2">
        <f t="shared" si="7"/>
        <v>-7.5681222496918402E-3</v>
      </c>
    </row>
    <row r="477" spans="1:3" x14ac:dyDescent="0.2">
      <c r="A477" s="1">
        <v>45378</v>
      </c>
      <c r="B477">
        <v>94.17</v>
      </c>
      <c r="C477" s="2">
        <f t="shared" si="7"/>
        <v>9.4959369197895518E-3</v>
      </c>
    </row>
    <row r="478" spans="1:3" x14ac:dyDescent="0.2">
      <c r="A478" s="1">
        <v>45377</v>
      </c>
      <c r="B478">
        <v>93.28</v>
      </c>
      <c r="C478" s="2">
        <f t="shared" si="7"/>
        <v>-2.4626598451732494E-3</v>
      </c>
    </row>
    <row r="479" spans="1:3" x14ac:dyDescent="0.2">
      <c r="A479" s="1">
        <v>45376</v>
      </c>
      <c r="B479">
        <v>93.51</v>
      </c>
      <c r="C479" s="2">
        <f t="shared" si="7"/>
        <v>-8.9428893672036779E-3</v>
      </c>
    </row>
    <row r="480" spans="1:3" x14ac:dyDescent="0.2">
      <c r="A480" s="1">
        <v>45373</v>
      </c>
      <c r="B480">
        <v>94.35</v>
      </c>
      <c r="C480" s="2">
        <f t="shared" si="7"/>
        <v>-3.068947855572198E-3</v>
      </c>
    </row>
    <row r="481" spans="1:3" x14ac:dyDescent="0.2">
      <c r="A481" s="1">
        <v>45372</v>
      </c>
      <c r="B481">
        <v>94.64</v>
      </c>
      <c r="C481" s="2">
        <f t="shared" si="7"/>
        <v>1.5225207597065596E-2</v>
      </c>
    </row>
    <row r="482" spans="1:3" x14ac:dyDescent="0.2">
      <c r="A482" s="1">
        <v>45371</v>
      </c>
      <c r="B482">
        <v>93.21</v>
      </c>
      <c r="C482" s="2">
        <f t="shared" si="7"/>
        <v>6.3499110204597742E-3</v>
      </c>
    </row>
    <row r="483" spans="1:3" x14ac:dyDescent="0.2">
      <c r="A483" s="1">
        <v>45370</v>
      </c>
      <c r="B483">
        <v>92.62</v>
      </c>
      <c r="C483" s="2">
        <f t="shared" si="7"/>
        <v>6.607834258336014E-3</v>
      </c>
    </row>
    <row r="484" spans="1:3" x14ac:dyDescent="0.2">
      <c r="A484" s="1">
        <v>45369</v>
      </c>
      <c r="B484">
        <v>92.01</v>
      </c>
      <c r="C484" s="2">
        <f t="shared" si="7"/>
        <v>-1.5422252285646965E-2</v>
      </c>
    </row>
    <row r="485" spans="1:3" x14ac:dyDescent="0.2">
      <c r="A485" s="1">
        <v>45366</v>
      </c>
      <c r="B485">
        <v>93.44</v>
      </c>
      <c r="C485" s="2">
        <f t="shared" si="7"/>
        <v>-2.1401819236314176E-4</v>
      </c>
    </row>
    <row r="486" spans="1:3" x14ac:dyDescent="0.2">
      <c r="A486" s="1">
        <v>45365</v>
      </c>
      <c r="B486">
        <v>93.46</v>
      </c>
      <c r="C486" s="2">
        <f t="shared" si="7"/>
        <v>-4.3773090766204524E-3</v>
      </c>
    </row>
    <row r="487" spans="1:3" x14ac:dyDescent="0.2">
      <c r="A487" s="1">
        <v>45364</v>
      </c>
      <c r="B487">
        <v>93.87</v>
      </c>
      <c r="C487" s="2">
        <f t="shared" si="7"/>
        <v>1.0171938446692163E-2</v>
      </c>
    </row>
    <row r="488" spans="1:3" x14ac:dyDescent="0.2">
      <c r="A488" s="1">
        <v>45363</v>
      </c>
      <c r="B488">
        <v>92.92</v>
      </c>
      <c r="C488" s="2">
        <f t="shared" si="7"/>
        <v>3.6657722990840178E-3</v>
      </c>
    </row>
    <row r="489" spans="1:3" x14ac:dyDescent="0.2">
      <c r="A489" s="1">
        <v>45362</v>
      </c>
      <c r="B489">
        <v>92.58</v>
      </c>
      <c r="C489" s="2">
        <f t="shared" si="7"/>
        <v>-4.3196544948147269E-4</v>
      </c>
    </row>
    <row r="490" spans="1:3" x14ac:dyDescent="0.2">
      <c r="A490" s="1">
        <v>45359</v>
      </c>
      <c r="B490">
        <v>92.62</v>
      </c>
      <c r="C490" s="2">
        <f t="shared" si="7"/>
        <v>-9.5632813947494934E-3</v>
      </c>
    </row>
    <row r="491" spans="1:3" x14ac:dyDescent="0.2">
      <c r="A491" s="1">
        <v>45358</v>
      </c>
      <c r="B491">
        <v>93.51</v>
      </c>
      <c r="C491" s="2">
        <f t="shared" si="7"/>
        <v>1.3999797896305736E-2</v>
      </c>
    </row>
    <row r="492" spans="1:3" x14ac:dyDescent="0.2">
      <c r="A492" s="1">
        <v>45357</v>
      </c>
      <c r="B492">
        <v>92.21</v>
      </c>
      <c r="C492" s="2">
        <f t="shared" si="7"/>
        <v>1.3978604813228161E-2</v>
      </c>
    </row>
    <row r="493" spans="1:3" x14ac:dyDescent="0.2">
      <c r="A493" s="1">
        <v>45356</v>
      </c>
      <c r="B493">
        <v>90.93</v>
      </c>
      <c r="C493" s="2">
        <f t="shared" si="7"/>
        <v>-6.2489925436540333E-3</v>
      </c>
    </row>
    <row r="494" spans="1:3" x14ac:dyDescent="0.2">
      <c r="A494" s="1">
        <v>45355</v>
      </c>
      <c r="B494">
        <v>91.5</v>
      </c>
      <c r="C494" s="2">
        <f t="shared" si="7"/>
        <v>2.4072667276554649E-3</v>
      </c>
    </row>
    <row r="495" spans="1:3" x14ac:dyDescent="0.2">
      <c r="A495" s="1">
        <v>45352</v>
      </c>
      <c r="B495">
        <v>91.28</v>
      </c>
      <c r="C495" s="2">
        <f t="shared" si="7"/>
        <v>2.1913005456361418E-4</v>
      </c>
    </row>
    <row r="496" spans="1:3" x14ac:dyDescent="0.2">
      <c r="A496" s="1">
        <v>45351</v>
      </c>
      <c r="B496">
        <v>91.26</v>
      </c>
      <c r="C496" s="2">
        <f t="shared" si="7"/>
        <v>1.4125152086230322E-2</v>
      </c>
    </row>
    <row r="497" spans="1:3" x14ac:dyDescent="0.2">
      <c r="A497" s="1">
        <v>45350</v>
      </c>
      <c r="B497">
        <v>89.98</v>
      </c>
      <c r="C497" s="2">
        <f t="shared" si="7"/>
        <v>4.5669809259223041E-3</v>
      </c>
    </row>
    <row r="498" spans="1:3" x14ac:dyDescent="0.2">
      <c r="A498" s="1">
        <v>45349</v>
      </c>
      <c r="B498">
        <v>89.57</v>
      </c>
      <c r="C498" s="2">
        <f t="shared" si="7"/>
        <v>-3.2324611549099966E-3</v>
      </c>
    </row>
    <row r="499" spans="1:3" x14ac:dyDescent="0.2">
      <c r="A499" s="1">
        <v>45348</v>
      </c>
      <c r="B499">
        <v>89.86</v>
      </c>
      <c r="C499" s="2">
        <f t="shared" si="7"/>
        <v>-5.5487879577886612E-3</v>
      </c>
    </row>
    <row r="500" spans="1:3" x14ac:dyDescent="0.2">
      <c r="A500" s="1">
        <v>45345</v>
      </c>
      <c r="B500">
        <v>90.36</v>
      </c>
      <c r="C500" s="2">
        <f t="shared" si="7"/>
        <v>7.2194460286103459E-3</v>
      </c>
    </row>
    <row r="501" spans="1:3" x14ac:dyDescent="0.2">
      <c r="A501" s="1">
        <v>45344</v>
      </c>
      <c r="B501">
        <v>89.71</v>
      </c>
      <c r="C501" s="2">
        <f t="shared" si="7"/>
        <v>1.1660632179276372E-2</v>
      </c>
    </row>
    <row r="502" spans="1:3" x14ac:dyDescent="0.2">
      <c r="A502" s="1">
        <v>45343</v>
      </c>
      <c r="B502">
        <v>88.67</v>
      </c>
      <c r="C502" s="2">
        <f t="shared" si="7"/>
        <v>7.4711690061952636E-3</v>
      </c>
    </row>
    <row r="503" spans="1:3" x14ac:dyDescent="0.2">
      <c r="A503" s="1">
        <v>45342</v>
      </c>
      <c r="B503">
        <v>88.01</v>
      </c>
      <c r="C503" s="2">
        <f t="shared" si="7"/>
        <v>-1.5894644581588896E-3</v>
      </c>
    </row>
    <row r="504" spans="1:3" x14ac:dyDescent="0.2">
      <c r="A504" s="1">
        <v>45338</v>
      </c>
      <c r="B504">
        <v>88.15</v>
      </c>
      <c r="C504" s="2">
        <f t="shared" si="7"/>
        <v>-5.5433141550944127E-3</v>
      </c>
    </row>
    <row r="505" spans="1:3" x14ac:dyDescent="0.2">
      <c r="A505" s="1">
        <v>45337</v>
      </c>
      <c r="B505">
        <v>88.64</v>
      </c>
      <c r="C505" s="2">
        <f t="shared" si="7"/>
        <v>3.390216830593179E-3</v>
      </c>
    </row>
    <row r="506" spans="1:3" x14ac:dyDescent="0.2">
      <c r="A506" s="1">
        <v>45336</v>
      </c>
      <c r="B506">
        <v>88.34</v>
      </c>
      <c r="C506" s="2">
        <f t="shared" si="7"/>
        <v>9.0971744056311359E-3</v>
      </c>
    </row>
    <row r="507" spans="1:3" x14ac:dyDescent="0.2">
      <c r="A507" s="1">
        <v>45335</v>
      </c>
      <c r="B507">
        <v>87.54</v>
      </c>
      <c r="C507" s="2">
        <f t="shared" si="7"/>
        <v>-6.8306276510915406E-3</v>
      </c>
    </row>
    <row r="508" spans="1:3" x14ac:dyDescent="0.2">
      <c r="A508" s="1">
        <v>45334</v>
      </c>
      <c r="B508">
        <v>88.14</v>
      </c>
      <c r="C508" s="2">
        <f t="shared" si="7"/>
        <v>-2.2688599076340672E-4</v>
      </c>
    </row>
    <row r="509" spans="1:3" x14ac:dyDescent="0.2">
      <c r="A509" s="1">
        <v>45331</v>
      </c>
      <c r="B509">
        <v>88.16</v>
      </c>
      <c r="C509" s="2">
        <f t="shared" si="7"/>
        <v>3.7502174755783546E-3</v>
      </c>
    </row>
    <row r="510" spans="1:3" x14ac:dyDescent="0.2">
      <c r="A510" s="1">
        <v>45330</v>
      </c>
      <c r="B510">
        <v>87.83</v>
      </c>
      <c r="C510" s="2">
        <f t="shared" si="7"/>
        <v>6.0526650834694861E-3</v>
      </c>
    </row>
    <row r="511" spans="1:3" x14ac:dyDescent="0.2">
      <c r="A511" s="1">
        <v>45329</v>
      </c>
      <c r="B511">
        <v>87.3</v>
      </c>
      <c r="C511" s="2">
        <f t="shared" si="7"/>
        <v>5.1679701584425976E-3</v>
      </c>
    </row>
    <row r="512" spans="1:3" x14ac:dyDescent="0.2">
      <c r="A512" s="1">
        <v>45328</v>
      </c>
      <c r="B512">
        <v>86.85</v>
      </c>
      <c r="C512" s="2">
        <f t="shared" si="7"/>
        <v>8.9053962736395844E-3</v>
      </c>
    </row>
    <row r="513" spans="1:3" x14ac:dyDescent="0.2">
      <c r="A513" s="1">
        <v>45327</v>
      </c>
      <c r="B513">
        <v>86.08</v>
      </c>
      <c r="C513" s="2">
        <f t="shared" si="7"/>
        <v>-9.9411291471716741E-3</v>
      </c>
    </row>
    <row r="514" spans="1:3" x14ac:dyDescent="0.2">
      <c r="A514" s="1">
        <v>45324</v>
      </c>
      <c r="B514">
        <v>86.94</v>
      </c>
      <c r="C514" s="2">
        <f t="shared" si="7"/>
        <v>3.6874897741653264E-3</v>
      </c>
    </row>
    <row r="515" spans="1:3" x14ac:dyDescent="0.2">
      <c r="A515" s="1">
        <v>45323</v>
      </c>
      <c r="B515">
        <v>86.62</v>
      </c>
      <c r="C515" s="2">
        <f t="shared" ref="C515:C578" si="8">+LN(B515/B516)</f>
        <v>1.5356281288847209E-2</v>
      </c>
    </row>
    <row r="516" spans="1:3" x14ac:dyDescent="0.2">
      <c r="A516" s="1">
        <v>45322</v>
      </c>
      <c r="B516">
        <v>85.3</v>
      </c>
      <c r="C516" s="2">
        <f t="shared" si="8"/>
        <v>-1.789289051245772E-2</v>
      </c>
    </row>
    <row r="517" spans="1:3" x14ac:dyDescent="0.2">
      <c r="A517" s="1">
        <v>45321</v>
      </c>
      <c r="B517">
        <v>86.84</v>
      </c>
      <c r="C517" s="2">
        <f t="shared" si="8"/>
        <v>1.9770384610084905E-2</v>
      </c>
    </row>
    <row r="518" spans="1:3" x14ac:dyDescent="0.2">
      <c r="A518" s="1">
        <v>45320</v>
      </c>
      <c r="B518">
        <v>85.14</v>
      </c>
      <c r="C518" s="2">
        <f t="shared" si="8"/>
        <v>4.591214139446631E-3</v>
      </c>
    </row>
    <row r="519" spans="1:3" x14ac:dyDescent="0.2">
      <c r="A519" s="1">
        <v>45317</v>
      </c>
      <c r="B519">
        <v>84.75</v>
      </c>
      <c r="C519" s="2">
        <f t="shared" si="8"/>
        <v>2.1261524664287629E-3</v>
      </c>
    </row>
    <row r="520" spans="1:3" x14ac:dyDescent="0.2">
      <c r="A520" s="1">
        <v>45316</v>
      </c>
      <c r="B520">
        <v>84.57</v>
      </c>
      <c r="C520" s="2">
        <f t="shared" si="8"/>
        <v>6.2867178173311297E-3</v>
      </c>
    </row>
    <row r="521" spans="1:3" x14ac:dyDescent="0.2">
      <c r="A521" s="1">
        <v>45315</v>
      </c>
      <c r="B521">
        <v>84.04</v>
      </c>
      <c r="C521" s="2">
        <f t="shared" si="8"/>
        <v>-1.1593646953844308E-2</v>
      </c>
    </row>
    <row r="522" spans="1:3" x14ac:dyDescent="0.2">
      <c r="A522" s="1">
        <v>45314</v>
      </c>
      <c r="B522">
        <v>85.02</v>
      </c>
      <c r="C522" s="2">
        <f t="shared" si="8"/>
        <v>-6.0975798681186686E-3</v>
      </c>
    </row>
    <row r="523" spans="1:3" x14ac:dyDescent="0.2">
      <c r="A523" s="1">
        <v>45313</v>
      </c>
      <c r="B523">
        <v>85.54</v>
      </c>
      <c r="C523" s="2">
        <f t="shared" si="8"/>
        <v>6.3328463084461979E-3</v>
      </c>
    </row>
    <row r="524" spans="1:3" x14ac:dyDescent="0.2">
      <c r="A524" s="1">
        <v>45310</v>
      </c>
      <c r="B524">
        <v>85</v>
      </c>
      <c r="C524" s="2">
        <f t="shared" si="8"/>
        <v>1.6484167161377311E-3</v>
      </c>
    </row>
    <row r="525" spans="1:3" x14ac:dyDescent="0.2">
      <c r="A525" s="1">
        <v>45309</v>
      </c>
      <c r="B525">
        <v>84.86</v>
      </c>
      <c r="C525" s="2">
        <f t="shared" si="8"/>
        <v>1.8194211380063458E-2</v>
      </c>
    </row>
    <row r="526" spans="1:3" x14ac:dyDescent="0.2">
      <c r="A526" s="1">
        <v>45308</v>
      </c>
      <c r="B526">
        <v>83.33</v>
      </c>
      <c r="C526" s="2">
        <f t="shared" si="8"/>
        <v>-1.2995711960237343E-2</v>
      </c>
    </row>
    <row r="527" spans="1:3" x14ac:dyDescent="0.2">
      <c r="A527" s="1">
        <v>45307</v>
      </c>
      <c r="B527">
        <v>84.42</v>
      </c>
      <c r="C527" s="2">
        <f t="shared" si="8"/>
        <v>-1.3021605864836248E-3</v>
      </c>
    </row>
    <row r="528" spans="1:3" x14ac:dyDescent="0.2">
      <c r="A528" s="1">
        <v>45303</v>
      </c>
      <c r="B528">
        <v>84.53</v>
      </c>
      <c r="C528" s="2">
        <f t="shared" si="8"/>
        <v>5.6946410862116744E-3</v>
      </c>
    </row>
    <row r="529" spans="1:3" x14ac:dyDescent="0.2">
      <c r="A529" s="1">
        <v>45302</v>
      </c>
      <c r="B529">
        <v>84.05</v>
      </c>
      <c r="C529" s="2">
        <f t="shared" si="8"/>
        <v>8.9633106818277023E-3</v>
      </c>
    </row>
    <row r="530" spans="1:3" x14ac:dyDescent="0.2">
      <c r="A530" s="1">
        <v>45301</v>
      </c>
      <c r="B530">
        <v>83.3</v>
      </c>
      <c r="C530" s="2">
        <f t="shared" si="8"/>
        <v>8.4068941479322379E-4</v>
      </c>
    </row>
    <row r="531" spans="1:3" x14ac:dyDescent="0.2">
      <c r="A531" s="1">
        <v>45300</v>
      </c>
      <c r="B531">
        <v>83.23</v>
      </c>
      <c r="C531" s="2">
        <f t="shared" si="8"/>
        <v>-5.9894764583367302E-3</v>
      </c>
    </row>
    <row r="532" spans="1:3" x14ac:dyDescent="0.2">
      <c r="A532" s="1">
        <v>45299</v>
      </c>
      <c r="B532">
        <v>83.73</v>
      </c>
      <c r="C532" s="2">
        <f t="shared" si="8"/>
        <v>6.8308732265283554E-3</v>
      </c>
    </row>
    <row r="533" spans="1:3" x14ac:dyDescent="0.2">
      <c r="A533" s="1">
        <v>45296</v>
      </c>
      <c r="B533">
        <v>83.16</v>
      </c>
      <c r="C533" s="2">
        <f t="shared" si="8"/>
        <v>-2.5220694327099465E-3</v>
      </c>
    </row>
    <row r="534" spans="1:3" x14ac:dyDescent="0.2">
      <c r="A534" s="1">
        <v>45295</v>
      </c>
      <c r="B534">
        <v>83.37</v>
      </c>
      <c r="C534" s="2">
        <f t="shared" si="8"/>
        <v>3.2438305611195801E-3</v>
      </c>
    </row>
    <row r="535" spans="1:3" x14ac:dyDescent="0.2">
      <c r="A535" s="1">
        <v>45294</v>
      </c>
      <c r="B535">
        <v>83.1</v>
      </c>
      <c r="C535" s="2">
        <f t="shared" si="8"/>
        <v>-2.612975263623098E-2</v>
      </c>
    </row>
    <row r="536" spans="1:3" x14ac:dyDescent="0.2">
      <c r="A536" s="1">
        <v>45293</v>
      </c>
      <c r="B536">
        <v>85.3</v>
      </c>
      <c r="C536" s="2">
        <f t="shared" si="8"/>
        <v>-1.6971231461040247E-2</v>
      </c>
    </row>
    <row r="537" spans="1:3" x14ac:dyDescent="0.2">
      <c r="A537" s="1">
        <v>45289</v>
      </c>
      <c r="B537">
        <v>86.76</v>
      </c>
      <c r="C537" s="2">
        <f t="shared" si="8"/>
        <v>-1.036806728440138E-3</v>
      </c>
    </row>
    <row r="538" spans="1:3" x14ac:dyDescent="0.2">
      <c r="A538" s="1">
        <v>45288</v>
      </c>
      <c r="B538">
        <v>86.85</v>
      </c>
      <c r="C538" s="2">
        <f t="shared" si="8"/>
        <v>-1.0357328735320908E-3</v>
      </c>
    </row>
    <row r="539" spans="1:3" x14ac:dyDescent="0.2">
      <c r="A539" s="1">
        <v>45287</v>
      </c>
      <c r="B539">
        <v>86.94</v>
      </c>
      <c r="C539" s="2">
        <f t="shared" si="8"/>
        <v>1.1508805505548881E-3</v>
      </c>
    </row>
    <row r="540" spans="1:3" x14ac:dyDescent="0.2">
      <c r="A540" s="1">
        <v>45286</v>
      </c>
      <c r="B540">
        <v>86.84</v>
      </c>
      <c r="C540" s="2">
        <f t="shared" si="8"/>
        <v>5.4269517178967943E-3</v>
      </c>
    </row>
    <row r="541" spans="1:3" x14ac:dyDescent="0.2">
      <c r="A541" s="1">
        <v>45282</v>
      </c>
      <c r="B541">
        <v>86.37</v>
      </c>
      <c r="C541" s="2">
        <f t="shared" si="8"/>
        <v>8.0209671527008385E-3</v>
      </c>
    </row>
    <row r="542" spans="1:3" x14ac:dyDescent="0.2">
      <c r="A542" s="1">
        <v>45281</v>
      </c>
      <c r="B542">
        <v>85.68</v>
      </c>
      <c r="C542" s="2">
        <f t="shared" si="8"/>
        <v>8.5565780215523194E-3</v>
      </c>
    </row>
    <row r="543" spans="1:3" x14ac:dyDescent="0.2">
      <c r="A543" s="1">
        <v>45280</v>
      </c>
      <c r="B543">
        <v>84.95</v>
      </c>
      <c r="C543" s="2">
        <f t="shared" si="8"/>
        <v>-7.9728409201595511E-3</v>
      </c>
    </row>
    <row r="544" spans="1:3" x14ac:dyDescent="0.2">
      <c r="A544" s="1">
        <v>45279</v>
      </c>
      <c r="B544">
        <v>85.63</v>
      </c>
      <c r="C544" s="2">
        <f t="shared" si="8"/>
        <v>4.0957286205662588E-3</v>
      </c>
    </row>
    <row r="545" spans="1:3" x14ac:dyDescent="0.2">
      <c r="A545" s="1">
        <v>45278</v>
      </c>
      <c r="B545">
        <v>85.28</v>
      </c>
      <c r="C545" s="2">
        <f t="shared" si="8"/>
        <v>2.1129248382061199E-3</v>
      </c>
    </row>
    <row r="546" spans="1:3" x14ac:dyDescent="0.2">
      <c r="A546" s="1">
        <v>45275</v>
      </c>
      <c r="B546">
        <v>85.1</v>
      </c>
      <c r="C546" s="2">
        <f t="shared" si="8"/>
        <v>-7.4924255905025458E-3</v>
      </c>
    </row>
    <row r="547" spans="1:3" x14ac:dyDescent="0.2">
      <c r="A547" s="1">
        <v>45274</v>
      </c>
      <c r="B547">
        <v>85.74</v>
      </c>
      <c r="C547" s="2">
        <f t="shared" si="8"/>
        <v>2.1574665287852988E-2</v>
      </c>
    </row>
    <row r="548" spans="1:3" x14ac:dyDescent="0.2">
      <c r="A548" s="1">
        <v>45273</v>
      </c>
      <c r="B548">
        <v>83.91</v>
      </c>
      <c r="C548" s="2">
        <f t="shared" si="8"/>
        <v>1.1265699205784083E-2</v>
      </c>
    </row>
    <row r="549" spans="1:3" x14ac:dyDescent="0.2">
      <c r="A549" s="1">
        <v>45272</v>
      </c>
      <c r="B549">
        <v>82.97</v>
      </c>
      <c r="C549" s="2">
        <f t="shared" si="8"/>
        <v>1.4473528036220281E-3</v>
      </c>
    </row>
    <row r="550" spans="1:3" x14ac:dyDescent="0.2">
      <c r="A550" s="1">
        <v>45271</v>
      </c>
      <c r="B550">
        <v>82.85</v>
      </c>
      <c r="C550" s="2">
        <f t="shared" si="8"/>
        <v>2.6589331594789557E-3</v>
      </c>
    </row>
    <row r="551" spans="1:3" x14ac:dyDescent="0.2">
      <c r="A551" s="1">
        <v>45268</v>
      </c>
      <c r="B551">
        <v>82.63</v>
      </c>
      <c r="C551" s="2">
        <f t="shared" si="8"/>
        <v>4.7310090062381077E-3</v>
      </c>
    </row>
    <row r="552" spans="1:3" x14ac:dyDescent="0.2">
      <c r="A552" s="1">
        <v>45267</v>
      </c>
      <c r="B552">
        <v>82.24</v>
      </c>
      <c r="C552" s="2">
        <f t="shared" si="8"/>
        <v>2.0692600652347237E-3</v>
      </c>
    </row>
    <row r="553" spans="1:3" x14ac:dyDescent="0.2">
      <c r="A553" s="1">
        <v>45266</v>
      </c>
      <c r="B553">
        <v>82.07</v>
      </c>
      <c r="C553" s="2">
        <f t="shared" si="8"/>
        <v>6.1109943291311614E-3</v>
      </c>
    </row>
    <row r="554" spans="1:3" x14ac:dyDescent="0.2">
      <c r="A554" s="1">
        <v>45265</v>
      </c>
      <c r="B554">
        <v>81.569999999999993</v>
      </c>
      <c r="C554" s="2">
        <f t="shared" si="8"/>
        <v>-1.0002523015009656E-2</v>
      </c>
    </row>
    <row r="555" spans="1:3" x14ac:dyDescent="0.2">
      <c r="A555" s="1">
        <v>45264</v>
      </c>
      <c r="B555">
        <v>82.39</v>
      </c>
      <c r="C555" s="2">
        <f t="shared" si="8"/>
        <v>5.2327469567997938E-3</v>
      </c>
    </row>
    <row r="556" spans="1:3" x14ac:dyDescent="0.2">
      <c r="A556" s="1">
        <v>45261</v>
      </c>
      <c r="B556">
        <v>81.96</v>
      </c>
      <c r="C556" s="2">
        <f t="shared" si="8"/>
        <v>1.4501913235432108E-2</v>
      </c>
    </row>
    <row r="557" spans="1:3" x14ac:dyDescent="0.2">
      <c r="A557" s="1">
        <v>45260</v>
      </c>
      <c r="B557">
        <v>80.78</v>
      </c>
      <c r="C557" s="2">
        <f t="shared" si="8"/>
        <v>8.4535560609533787E-3</v>
      </c>
    </row>
    <row r="558" spans="1:3" x14ac:dyDescent="0.2">
      <c r="A558" s="1">
        <v>45259</v>
      </c>
      <c r="B558">
        <v>80.099999999999994</v>
      </c>
      <c r="C558" s="2">
        <f t="shared" si="8"/>
        <v>3.7523496185503718E-3</v>
      </c>
    </row>
    <row r="559" spans="1:3" x14ac:dyDescent="0.2">
      <c r="A559" s="1">
        <v>45258</v>
      </c>
      <c r="B559">
        <v>79.8</v>
      </c>
      <c r="C559" s="2">
        <f t="shared" si="8"/>
        <v>-1.7514887838556398E-2</v>
      </c>
    </row>
    <row r="560" spans="1:3" x14ac:dyDescent="0.2">
      <c r="A560" s="1">
        <v>45257</v>
      </c>
      <c r="B560">
        <v>81.209999999999994</v>
      </c>
      <c r="C560" s="2">
        <f t="shared" si="8"/>
        <v>-3.3191990642856624E-3</v>
      </c>
    </row>
    <row r="561" spans="1:3" x14ac:dyDescent="0.2">
      <c r="A561" s="1">
        <v>45254</v>
      </c>
      <c r="B561">
        <v>81.48</v>
      </c>
      <c r="C561" s="2">
        <f t="shared" si="8"/>
        <v>9.1234759338103561E-3</v>
      </c>
    </row>
    <row r="562" spans="1:3" x14ac:dyDescent="0.2">
      <c r="A562" s="1">
        <v>45252</v>
      </c>
      <c r="B562">
        <v>80.739999999999995</v>
      </c>
      <c r="C562" s="2">
        <f t="shared" si="8"/>
        <v>2.1077436356902453E-3</v>
      </c>
    </row>
    <row r="563" spans="1:3" x14ac:dyDescent="0.2">
      <c r="A563" s="1">
        <v>45251</v>
      </c>
      <c r="B563">
        <v>80.569999999999993</v>
      </c>
      <c r="C563" s="2">
        <f t="shared" si="8"/>
        <v>-1.1164176561175886E-3</v>
      </c>
    </row>
    <row r="564" spans="1:3" x14ac:dyDescent="0.2">
      <c r="A564" s="1">
        <v>45250</v>
      </c>
      <c r="B564">
        <v>80.66</v>
      </c>
      <c r="C564" s="2">
        <f t="shared" si="8"/>
        <v>8.6821710880197406E-4</v>
      </c>
    </row>
    <row r="565" spans="1:3" x14ac:dyDescent="0.2">
      <c r="A565" s="1">
        <v>45247</v>
      </c>
      <c r="B565">
        <v>80.59</v>
      </c>
      <c r="C565" s="2">
        <f t="shared" si="8"/>
        <v>1.2737434946976687E-2</v>
      </c>
    </row>
    <row r="566" spans="1:3" x14ac:dyDescent="0.2">
      <c r="A566" s="1">
        <v>45246</v>
      </c>
      <c r="B566">
        <v>79.569999999999993</v>
      </c>
      <c r="C566" s="2">
        <f t="shared" si="8"/>
        <v>-5.0257571104343052E-4</v>
      </c>
    </row>
    <row r="567" spans="1:3" x14ac:dyDescent="0.2">
      <c r="A567" s="1">
        <v>45245</v>
      </c>
      <c r="B567">
        <v>79.61</v>
      </c>
      <c r="C567" s="2">
        <f t="shared" si="8"/>
        <v>3.1452501238694911E-3</v>
      </c>
    </row>
    <row r="568" spans="1:3" x14ac:dyDescent="0.2">
      <c r="A568" s="1">
        <v>45244</v>
      </c>
      <c r="B568">
        <v>79.36</v>
      </c>
      <c r="C568" s="2">
        <f t="shared" si="8"/>
        <v>2.9280363186715619E-2</v>
      </c>
    </row>
    <row r="569" spans="1:3" x14ac:dyDescent="0.2">
      <c r="A569" s="1">
        <v>45243</v>
      </c>
      <c r="B569">
        <v>77.069999999999993</v>
      </c>
      <c r="C569" s="2">
        <f t="shared" si="8"/>
        <v>-1.0326669798992957E-2</v>
      </c>
    </row>
    <row r="570" spans="1:3" x14ac:dyDescent="0.2">
      <c r="A570" s="1">
        <v>45240</v>
      </c>
      <c r="B570">
        <v>77.87</v>
      </c>
      <c r="C570" s="2">
        <f t="shared" si="8"/>
        <v>1.592163592628976E-2</v>
      </c>
    </row>
    <row r="571" spans="1:3" x14ac:dyDescent="0.2">
      <c r="A571" s="1">
        <v>45239</v>
      </c>
      <c r="B571">
        <v>76.64</v>
      </c>
      <c r="C571" s="2">
        <f t="shared" si="8"/>
        <v>2.4822012875338095E-3</v>
      </c>
    </row>
    <row r="572" spans="1:3" x14ac:dyDescent="0.2">
      <c r="A572" s="1">
        <v>45238</v>
      </c>
      <c r="B572">
        <v>76.45</v>
      </c>
      <c r="C572" s="2">
        <f t="shared" si="8"/>
        <v>-6.3889649490777214E-3</v>
      </c>
    </row>
    <row r="573" spans="1:3" x14ac:dyDescent="0.2">
      <c r="A573" s="1">
        <v>45237</v>
      </c>
      <c r="B573">
        <v>76.94</v>
      </c>
      <c r="C573" s="2">
        <f t="shared" si="8"/>
        <v>-6.8648673196620687E-3</v>
      </c>
    </row>
    <row r="574" spans="1:3" x14ac:dyDescent="0.2">
      <c r="A574" s="1">
        <v>45236</v>
      </c>
      <c r="B574">
        <v>77.47</v>
      </c>
      <c r="C574" s="2">
        <f t="shared" si="8"/>
        <v>5.4362028776863951E-3</v>
      </c>
    </row>
    <row r="575" spans="1:3" x14ac:dyDescent="0.2">
      <c r="A575" s="1">
        <v>45233</v>
      </c>
      <c r="B575">
        <v>77.05</v>
      </c>
      <c r="C575" s="2">
        <f t="shared" si="8"/>
        <v>1.5565025505371848E-2</v>
      </c>
    </row>
    <row r="576" spans="1:3" x14ac:dyDescent="0.2">
      <c r="A576" s="1">
        <v>45232</v>
      </c>
      <c r="B576">
        <v>75.86</v>
      </c>
      <c r="C576" s="2">
        <f t="shared" si="8"/>
        <v>2.199062427871085E-2</v>
      </c>
    </row>
    <row r="577" spans="1:3" x14ac:dyDescent="0.2">
      <c r="A577" s="1">
        <v>45231</v>
      </c>
      <c r="B577">
        <v>74.209999999999994</v>
      </c>
      <c r="C577" s="2">
        <f t="shared" si="8"/>
        <v>-1.8847609241219154E-3</v>
      </c>
    </row>
    <row r="578" spans="1:3" x14ac:dyDescent="0.2">
      <c r="A578" s="1">
        <v>45230</v>
      </c>
      <c r="B578">
        <v>74.349999999999994</v>
      </c>
      <c r="C578" s="2">
        <f t="shared" si="8"/>
        <v>-2.6896180904493539E-4</v>
      </c>
    </row>
    <row r="579" spans="1:3" x14ac:dyDescent="0.2">
      <c r="A579" s="1">
        <v>45229</v>
      </c>
      <c r="B579">
        <v>74.37</v>
      </c>
      <c r="C579" s="2">
        <f t="shared" ref="C579:C642" si="9">+LN(B579/B580)</f>
        <v>1.1631183329212619E-2</v>
      </c>
    </row>
    <row r="580" spans="1:3" x14ac:dyDescent="0.2">
      <c r="A580" s="1">
        <v>45226</v>
      </c>
      <c r="B580">
        <v>73.510000000000005</v>
      </c>
      <c r="C580" s="2">
        <f t="shared" si="9"/>
        <v>-1.6460166556202457E-2</v>
      </c>
    </row>
    <row r="581" spans="1:3" x14ac:dyDescent="0.2">
      <c r="A581" s="1">
        <v>45225</v>
      </c>
      <c r="B581">
        <v>74.73</v>
      </c>
      <c r="C581" s="2">
        <f t="shared" si="9"/>
        <v>6.8247608173872043E-2</v>
      </c>
    </row>
    <row r="582" spans="1:3" x14ac:dyDescent="0.2">
      <c r="A582" s="1">
        <v>45224</v>
      </c>
      <c r="B582">
        <v>69.8</v>
      </c>
      <c r="C582" s="2">
        <f t="shared" si="9"/>
        <v>-1.323580127957192E-2</v>
      </c>
    </row>
    <row r="583" spans="1:3" x14ac:dyDescent="0.2">
      <c r="A583" s="1">
        <v>45223</v>
      </c>
      <c r="B583">
        <v>70.73</v>
      </c>
      <c r="C583" s="2">
        <f t="shared" si="9"/>
        <v>9.6605382648825532E-3</v>
      </c>
    </row>
    <row r="584" spans="1:3" x14ac:dyDescent="0.2">
      <c r="A584" s="1">
        <v>45222</v>
      </c>
      <c r="B584">
        <v>70.05</v>
      </c>
      <c r="C584" s="2">
        <f t="shared" si="9"/>
        <v>-1.1413897658030757E-3</v>
      </c>
    </row>
    <row r="585" spans="1:3" x14ac:dyDescent="0.2">
      <c r="A585" s="1">
        <v>45219</v>
      </c>
      <c r="B585">
        <v>70.13</v>
      </c>
      <c r="C585" s="2">
        <f t="shared" si="9"/>
        <v>-8.6605212285154193E-3</v>
      </c>
    </row>
    <row r="586" spans="1:3" x14ac:dyDescent="0.2">
      <c r="A586" s="1">
        <v>45218</v>
      </c>
      <c r="B586">
        <v>70.739999999999995</v>
      </c>
      <c r="C586" s="2">
        <f t="shared" si="9"/>
        <v>-6.7624940722971127E-3</v>
      </c>
    </row>
    <row r="587" spans="1:3" x14ac:dyDescent="0.2">
      <c r="A587" s="1">
        <v>45217</v>
      </c>
      <c r="B587">
        <v>71.22</v>
      </c>
      <c r="C587" s="2">
        <f t="shared" si="9"/>
        <v>-4.8509304737730456E-2</v>
      </c>
    </row>
    <row r="588" spans="1:3" x14ac:dyDescent="0.2">
      <c r="A588" s="1">
        <v>45216</v>
      </c>
      <c r="B588">
        <v>74.760000000000005</v>
      </c>
      <c r="C588" s="2">
        <f t="shared" si="9"/>
        <v>3.8866228648079663E-3</v>
      </c>
    </row>
    <row r="589" spans="1:3" x14ac:dyDescent="0.2">
      <c r="A589" s="1">
        <v>45215</v>
      </c>
      <c r="B589">
        <v>74.47</v>
      </c>
      <c r="C589" s="2">
        <f t="shared" si="9"/>
        <v>1.2023110045925902E-2</v>
      </c>
    </row>
    <row r="590" spans="1:3" x14ac:dyDescent="0.2">
      <c r="A590" s="1">
        <v>45212</v>
      </c>
      <c r="B590">
        <v>73.58</v>
      </c>
      <c r="C590" s="2">
        <f t="shared" si="9"/>
        <v>-1.4169321466667674E-2</v>
      </c>
    </row>
    <row r="591" spans="1:3" x14ac:dyDescent="0.2">
      <c r="A591" s="1">
        <v>45211</v>
      </c>
      <c r="B591">
        <v>74.63</v>
      </c>
      <c r="C591" s="2">
        <f t="shared" si="9"/>
        <v>-1.6610573923517433E-2</v>
      </c>
    </row>
    <row r="592" spans="1:3" x14ac:dyDescent="0.2">
      <c r="A592" s="1">
        <v>45210</v>
      </c>
      <c r="B592">
        <v>75.88</v>
      </c>
      <c r="C592" s="2">
        <f t="shared" si="9"/>
        <v>1.36670342011762E-2</v>
      </c>
    </row>
    <row r="593" spans="1:3" x14ac:dyDescent="0.2">
      <c r="A593" s="1">
        <v>45209</v>
      </c>
      <c r="B593">
        <v>74.849999999999994</v>
      </c>
      <c r="C593" s="2">
        <f t="shared" si="9"/>
        <v>-5.1968935671923107E-3</v>
      </c>
    </row>
    <row r="594" spans="1:3" x14ac:dyDescent="0.2">
      <c r="A594" s="1">
        <v>45208</v>
      </c>
      <c r="B594">
        <v>75.239999999999995</v>
      </c>
      <c r="C594" s="2">
        <f t="shared" si="9"/>
        <v>5.7314385485160487E-3</v>
      </c>
    </row>
    <row r="595" spans="1:3" x14ac:dyDescent="0.2">
      <c r="A595" s="1">
        <v>45205</v>
      </c>
      <c r="B595">
        <v>74.81</v>
      </c>
      <c r="C595" s="2">
        <f t="shared" si="9"/>
        <v>1.7938305537388673E-2</v>
      </c>
    </row>
    <row r="596" spans="1:3" x14ac:dyDescent="0.2">
      <c r="A596" s="1">
        <v>45204</v>
      </c>
      <c r="B596">
        <v>73.48</v>
      </c>
      <c r="C596" s="2">
        <f t="shared" si="9"/>
        <v>-1.20393743682839E-2</v>
      </c>
    </row>
    <row r="597" spans="1:3" x14ac:dyDescent="0.2">
      <c r="A597" s="1">
        <v>45203</v>
      </c>
      <c r="B597">
        <v>74.37</v>
      </c>
      <c r="C597" s="2">
        <f t="shared" si="9"/>
        <v>2.4776655385011968E-2</v>
      </c>
    </row>
    <row r="598" spans="1:3" x14ac:dyDescent="0.2">
      <c r="A598" s="1">
        <v>45202</v>
      </c>
      <c r="B598">
        <v>72.55</v>
      </c>
      <c r="C598" s="2">
        <f t="shared" si="9"/>
        <v>-4.9498244881420921E-3</v>
      </c>
    </row>
    <row r="599" spans="1:3" x14ac:dyDescent="0.2">
      <c r="A599" s="1">
        <v>45201</v>
      </c>
      <c r="B599">
        <v>72.91</v>
      </c>
      <c r="C599" s="2">
        <f t="shared" si="9"/>
        <v>4.1155086663597517E-4</v>
      </c>
    </row>
    <row r="600" spans="1:3" x14ac:dyDescent="0.2">
      <c r="A600" s="1">
        <v>45198</v>
      </c>
      <c r="B600">
        <v>72.88</v>
      </c>
      <c r="C600" s="2">
        <f t="shared" si="9"/>
        <v>-2.8773055405976081E-3</v>
      </c>
    </row>
    <row r="601" spans="1:3" x14ac:dyDescent="0.2">
      <c r="A601" s="1">
        <v>45197</v>
      </c>
      <c r="B601">
        <v>73.09</v>
      </c>
      <c r="C601" s="2">
        <f t="shared" si="9"/>
        <v>6.8643871955511079E-3</v>
      </c>
    </row>
    <row r="602" spans="1:3" x14ac:dyDescent="0.2">
      <c r="A602" s="1">
        <v>45196</v>
      </c>
      <c r="B602">
        <v>72.59</v>
      </c>
      <c r="C602" s="2">
        <f t="shared" si="9"/>
        <v>7.050557996666762E-3</v>
      </c>
    </row>
    <row r="603" spans="1:3" x14ac:dyDescent="0.2">
      <c r="A603" s="1">
        <v>45195</v>
      </c>
      <c r="B603">
        <v>72.08</v>
      </c>
      <c r="C603" s="2">
        <f t="shared" si="9"/>
        <v>-2.3717610481878593E-2</v>
      </c>
    </row>
    <row r="604" spans="1:3" x14ac:dyDescent="0.2">
      <c r="A604" s="1">
        <v>45194</v>
      </c>
      <c r="B604">
        <v>73.81</v>
      </c>
      <c r="C604" s="2">
        <f t="shared" si="9"/>
        <v>6.3880611387810036E-3</v>
      </c>
    </row>
    <row r="605" spans="1:3" x14ac:dyDescent="0.2">
      <c r="A605" s="1">
        <v>45191</v>
      </c>
      <c r="B605">
        <v>73.34</v>
      </c>
      <c r="C605" s="2">
        <f t="shared" si="9"/>
        <v>4.0913740768470783E-4</v>
      </c>
    </row>
    <row r="606" spans="1:3" x14ac:dyDescent="0.2">
      <c r="A606" s="1">
        <v>45190</v>
      </c>
      <c r="B606">
        <v>73.31</v>
      </c>
      <c r="C606" s="2">
        <f t="shared" si="9"/>
        <v>-1.9452187035300508E-2</v>
      </c>
    </row>
    <row r="607" spans="1:3" x14ac:dyDescent="0.2">
      <c r="A607" s="1">
        <v>45189</v>
      </c>
      <c r="B607">
        <v>74.75</v>
      </c>
      <c r="C607" s="2">
        <f t="shared" si="9"/>
        <v>-3.2055590425020871E-3</v>
      </c>
    </row>
    <row r="608" spans="1:3" x14ac:dyDescent="0.2">
      <c r="A608" s="1">
        <v>45188</v>
      </c>
      <c r="B608">
        <v>74.989999999999995</v>
      </c>
      <c r="C608" s="2">
        <f t="shared" si="9"/>
        <v>-9.6875550278241063E-3</v>
      </c>
    </row>
    <row r="609" spans="1:3" x14ac:dyDescent="0.2">
      <c r="A609" s="1">
        <v>45187</v>
      </c>
      <c r="B609">
        <v>75.72</v>
      </c>
      <c r="C609" s="2">
        <f t="shared" si="9"/>
        <v>6.2264227121370435E-3</v>
      </c>
    </row>
    <row r="610" spans="1:3" x14ac:dyDescent="0.2">
      <c r="A610" s="1">
        <v>45184</v>
      </c>
      <c r="B610">
        <v>75.25</v>
      </c>
      <c r="C610" s="2">
        <f t="shared" si="9"/>
        <v>5.3170279067356243E-4</v>
      </c>
    </row>
    <row r="611" spans="1:3" x14ac:dyDescent="0.2">
      <c r="A611" s="1">
        <v>45183</v>
      </c>
      <c r="B611">
        <v>75.209999999999994</v>
      </c>
      <c r="C611" s="2">
        <f t="shared" si="9"/>
        <v>7.9808463932801719E-4</v>
      </c>
    </row>
    <row r="612" spans="1:3" x14ac:dyDescent="0.2">
      <c r="A612" s="1">
        <v>45182</v>
      </c>
      <c r="B612">
        <v>75.150000000000006</v>
      </c>
      <c r="C612" s="2">
        <f t="shared" si="9"/>
        <v>-3.851522126218494E-3</v>
      </c>
    </row>
    <row r="613" spans="1:3" x14ac:dyDescent="0.2">
      <c r="A613" s="1">
        <v>45181</v>
      </c>
      <c r="B613">
        <v>75.44</v>
      </c>
      <c r="C613" s="2">
        <f t="shared" si="9"/>
        <v>-5.2882196215644122E-3</v>
      </c>
    </row>
    <row r="614" spans="1:3" x14ac:dyDescent="0.2">
      <c r="A614" s="1">
        <v>45180</v>
      </c>
      <c r="B614">
        <v>75.84</v>
      </c>
      <c r="C614" s="2">
        <f t="shared" si="9"/>
        <v>1.7156058315511897E-3</v>
      </c>
    </row>
    <row r="615" spans="1:3" x14ac:dyDescent="0.2">
      <c r="A615" s="1">
        <v>45177</v>
      </c>
      <c r="B615">
        <v>75.709999999999994</v>
      </c>
      <c r="C615" s="2">
        <f t="shared" si="9"/>
        <v>-2.3746713006062756E-3</v>
      </c>
    </row>
    <row r="616" spans="1:3" x14ac:dyDescent="0.2">
      <c r="A616" s="1">
        <v>45176</v>
      </c>
      <c r="B616">
        <v>75.89</v>
      </c>
      <c r="C616" s="2">
        <f t="shared" si="9"/>
        <v>-1.4520498437862425E-2</v>
      </c>
    </row>
    <row r="617" spans="1:3" x14ac:dyDescent="0.2">
      <c r="A617" s="1">
        <v>45175</v>
      </c>
      <c r="B617">
        <v>77</v>
      </c>
      <c r="C617" s="2">
        <f t="shared" si="9"/>
        <v>4.0341000769159958E-3</v>
      </c>
    </row>
    <row r="618" spans="1:3" x14ac:dyDescent="0.2">
      <c r="A618" s="1">
        <v>45174</v>
      </c>
      <c r="B618">
        <v>76.69</v>
      </c>
      <c r="C618" s="2">
        <f t="shared" si="9"/>
        <v>-3.5482428609684903E-2</v>
      </c>
    </row>
    <row r="619" spans="1:3" x14ac:dyDescent="0.2">
      <c r="A619" s="1">
        <v>45170</v>
      </c>
      <c r="B619">
        <v>79.459999999999994</v>
      </c>
      <c r="C619" s="2">
        <f t="shared" si="9"/>
        <v>6.5656801517517023E-3</v>
      </c>
    </row>
    <row r="620" spans="1:3" x14ac:dyDescent="0.2">
      <c r="A620" s="1">
        <v>45169</v>
      </c>
      <c r="B620">
        <v>78.94</v>
      </c>
      <c r="C620" s="2">
        <f t="shared" si="9"/>
        <v>1.6481778691428885E-3</v>
      </c>
    </row>
    <row r="621" spans="1:3" x14ac:dyDescent="0.2">
      <c r="A621" s="1">
        <v>45168</v>
      </c>
      <c r="B621">
        <v>78.81</v>
      </c>
      <c r="C621" s="2">
        <f t="shared" si="9"/>
        <v>0</v>
      </c>
    </row>
    <row r="622" spans="1:3" x14ac:dyDescent="0.2">
      <c r="A622" s="1">
        <v>45167</v>
      </c>
      <c r="B622">
        <v>78.81</v>
      </c>
      <c r="C622" s="2">
        <f t="shared" si="9"/>
        <v>1.4699568062037089E-2</v>
      </c>
    </row>
    <row r="623" spans="1:3" x14ac:dyDescent="0.2">
      <c r="A623" s="1">
        <v>45166</v>
      </c>
      <c r="B623">
        <v>77.66</v>
      </c>
      <c r="C623" s="2">
        <f t="shared" si="9"/>
        <v>4.3876699633910816E-3</v>
      </c>
    </row>
    <row r="624" spans="1:3" x14ac:dyDescent="0.2">
      <c r="A624" s="1">
        <v>45163</v>
      </c>
      <c r="B624">
        <v>77.319999999999993</v>
      </c>
      <c r="C624" s="2">
        <f t="shared" si="9"/>
        <v>1.5510249022008905E-2</v>
      </c>
    </row>
    <row r="625" spans="1:3" x14ac:dyDescent="0.2">
      <c r="A625" s="1">
        <v>45162</v>
      </c>
      <c r="B625">
        <v>76.13</v>
      </c>
      <c r="C625" s="2">
        <f t="shared" si="9"/>
        <v>-1.097333022810483E-2</v>
      </c>
    </row>
    <row r="626" spans="1:3" x14ac:dyDescent="0.2">
      <c r="A626" s="1">
        <v>45161</v>
      </c>
      <c r="B626">
        <v>76.97</v>
      </c>
      <c r="C626" s="2">
        <f t="shared" si="9"/>
        <v>1.6505483431010919E-2</v>
      </c>
    </row>
    <row r="627" spans="1:3" x14ac:dyDescent="0.2">
      <c r="A627" s="1">
        <v>45160</v>
      </c>
      <c r="B627">
        <v>75.709999999999994</v>
      </c>
      <c r="C627" s="2">
        <f t="shared" si="9"/>
        <v>1.9832094819064411E-3</v>
      </c>
    </row>
    <row r="628" spans="1:3" x14ac:dyDescent="0.2">
      <c r="A628" s="1">
        <v>45159</v>
      </c>
      <c r="B628">
        <v>75.56</v>
      </c>
      <c r="C628" s="2">
        <f t="shared" si="9"/>
        <v>1.1918163365318261E-3</v>
      </c>
    </row>
    <row r="629" spans="1:3" x14ac:dyDescent="0.2">
      <c r="A629" s="1">
        <v>45156</v>
      </c>
      <c r="B629">
        <v>75.47</v>
      </c>
      <c r="C629" s="2">
        <f t="shared" si="9"/>
        <v>5.7139215988077493E-3</v>
      </c>
    </row>
    <row r="630" spans="1:3" x14ac:dyDescent="0.2">
      <c r="A630" s="1">
        <v>45155</v>
      </c>
      <c r="B630">
        <v>75.040000000000006</v>
      </c>
      <c r="C630" s="2">
        <f t="shared" si="9"/>
        <v>-1.3106694542375952E-2</v>
      </c>
    </row>
    <row r="631" spans="1:3" x14ac:dyDescent="0.2">
      <c r="A631" s="1">
        <v>45154</v>
      </c>
      <c r="B631">
        <v>76.03</v>
      </c>
      <c r="C631" s="2">
        <f t="shared" si="9"/>
        <v>-1.1117765421691718E-2</v>
      </c>
    </row>
    <row r="632" spans="1:3" x14ac:dyDescent="0.2">
      <c r="A632" s="1">
        <v>45153</v>
      </c>
      <c r="B632">
        <v>76.88</v>
      </c>
      <c r="C632" s="2">
        <f t="shared" si="9"/>
        <v>-1.7023882889228393E-2</v>
      </c>
    </row>
    <row r="633" spans="1:3" x14ac:dyDescent="0.2">
      <c r="A633" s="1">
        <v>45152</v>
      </c>
      <c r="B633">
        <v>78.2</v>
      </c>
      <c r="C633" s="2">
        <f t="shared" si="9"/>
        <v>5.3853188236640918E-3</v>
      </c>
    </row>
    <row r="634" spans="1:3" x14ac:dyDescent="0.2">
      <c r="A634" s="1">
        <v>45149</v>
      </c>
      <c r="B634">
        <v>77.78</v>
      </c>
      <c r="C634" s="2">
        <f t="shared" si="9"/>
        <v>6.449138823338715E-3</v>
      </c>
    </row>
    <row r="635" spans="1:3" x14ac:dyDescent="0.2">
      <c r="A635" s="1">
        <v>45148</v>
      </c>
      <c r="B635">
        <v>77.28</v>
      </c>
      <c r="C635" s="2">
        <f t="shared" si="9"/>
        <v>1.6836110950927011E-3</v>
      </c>
    </row>
    <row r="636" spans="1:3" x14ac:dyDescent="0.2">
      <c r="A636" s="1">
        <v>45147</v>
      </c>
      <c r="B636">
        <v>77.150000000000006</v>
      </c>
      <c r="C636" s="2">
        <f t="shared" si="9"/>
        <v>-4.7843887733408528E-3</v>
      </c>
    </row>
    <row r="637" spans="1:3" x14ac:dyDescent="0.2">
      <c r="A637" s="1">
        <v>45146</v>
      </c>
      <c r="B637">
        <v>77.52</v>
      </c>
      <c r="C637" s="2">
        <f t="shared" si="9"/>
        <v>-9.2450581440510493E-3</v>
      </c>
    </row>
    <row r="638" spans="1:3" x14ac:dyDescent="0.2">
      <c r="A638" s="1">
        <v>45145</v>
      </c>
      <c r="B638">
        <v>78.239999999999995</v>
      </c>
      <c r="C638" s="2">
        <f t="shared" si="9"/>
        <v>1.5326463960437024E-2</v>
      </c>
    </row>
    <row r="639" spans="1:3" x14ac:dyDescent="0.2">
      <c r="A639" s="1">
        <v>45142</v>
      </c>
      <c r="B639">
        <v>77.05</v>
      </c>
      <c r="C639" s="2">
        <f t="shared" si="9"/>
        <v>-1.7879439562020802E-2</v>
      </c>
    </row>
    <row r="640" spans="1:3" x14ac:dyDescent="0.2">
      <c r="A640" s="1">
        <v>45141</v>
      </c>
      <c r="B640">
        <v>78.44</v>
      </c>
      <c r="C640" s="2">
        <f t="shared" si="9"/>
        <v>-1.0193680801147916E-3</v>
      </c>
    </row>
    <row r="641" spans="1:3" x14ac:dyDescent="0.2">
      <c r="A641" s="1">
        <v>45140</v>
      </c>
      <c r="B641">
        <v>78.52</v>
      </c>
      <c r="C641" s="2">
        <f t="shared" si="9"/>
        <v>-1.8548257452470126E-2</v>
      </c>
    </row>
    <row r="642" spans="1:3" x14ac:dyDescent="0.2">
      <c r="A642" s="1">
        <v>45139</v>
      </c>
      <c r="B642">
        <v>79.989999999999995</v>
      </c>
      <c r="C642" s="2">
        <f t="shared" si="9"/>
        <v>8.2852595468189995E-3</v>
      </c>
    </row>
    <row r="643" spans="1:3" x14ac:dyDescent="0.2">
      <c r="A643" s="1">
        <v>45138</v>
      </c>
      <c r="B643">
        <v>79.33</v>
      </c>
      <c r="C643" s="2">
        <f t="shared" ref="C643:C706" si="10">+LN(B643/B644)</f>
        <v>3.0299227825855996E-3</v>
      </c>
    </row>
    <row r="644" spans="1:3" x14ac:dyDescent="0.2">
      <c r="A644" s="1">
        <v>45135</v>
      </c>
      <c r="B644">
        <v>79.09</v>
      </c>
      <c r="C644" s="2">
        <f t="shared" si="10"/>
        <v>-1.4435699122354135E-2</v>
      </c>
    </row>
    <row r="645" spans="1:3" x14ac:dyDescent="0.2">
      <c r="A645" s="1">
        <v>45134</v>
      </c>
      <c r="B645">
        <v>80.239999999999995</v>
      </c>
      <c r="C645" s="2">
        <f t="shared" si="10"/>
        <v>-7.8123542304993604E-2</v>
      </c>
    </row>
    <row r="646" spans="1:3" x14ac:dyDescent="0.2">
      <c r="A646" s="1">
        <v>45133</v>
      </c>
      <c r="B646">
        <v>86.76</v>
      </c>
      <c r="C646" s="2">
        <f t="shared" si="10"/>
        <v>3.4584126230918506E-4</v>
      </c>
    </row>
    <row r="647" spans="1:3" x14ac:dyDescent="0.2">
      <c r="A647" s="1">
        <v>45132</v>
      </c>
      <c r="B647">
        <v>86.73</v>
      </c>
      <c r="C647" s="2">
        <f t="shared" si="10"/>
        <v>2.3086700777169272E-3</v>
      </c>
    </row>
    <row r="648" spans="1:3" x14ac:dyDescent="0.2">
      <c r="A648" s="1">
        <v>45131</v>
      </c>
      <c r="B648">
        <v>86.53</v>
      </c>
      <c r="C648" s="2">
        <f t="shared" si="10"/>
        <v>3.3570674579604136E-3</v>
      </c>
    </row>
    <row r="649" spans="1:3" x14ac:dyDescent="0.2">
      <c r="A649" s="1">
        <v>45128</v>
      </c>
      <c r="B649">
        <v>86.24</v>
      </c>
      <c r="C649" s="2">
        <f t="shared" si="10"/>
        <v>-7.3937490249382648E-3</v>
      </c>
    </row>
    <row r="650" spans="1:3" x14ac:dyDescent="0.2">
      <c r="A650" s="1">
        <v>45127</v>
      </c>
      <c r="B650">
        <v>86.88</v>
      </c>
      <c r="C650" s="2">
        <f t="shared" si="10"/>
        <v>-6.1962332495432565E-3</v>
      </c>
    </row>
    <row r="651" spans="1:3" x14ac:dyDescent="0.2">
      <c r="A651" s="1">
        <v>45126</v>
      </c>
      <c r="B651">
        <v>87.42</v>
      </c>
      <c r="C651" s="2">
        <f t="shared" si="10"/>
        <v>1.7173282599486142E-3</v>
      </c>
    </row>
    <row r="652" spans="1:3" x14ac:dyDescent="0.2">
      <c r="A652" s="1">
        <v>45125</v>
      </c>
      <c r="B652">
        <v>87.27</v>
      </c>
      <c r="C652" s="2">
        <f t="shared" si="10"/>
        <v>-1.4885214862698881E-3</v>
      </c>
    </row>
    <row r="653" spans="1:3" x14ac:dyDescent="0.2">
      <c r="A653" s="1">
        <v>45124</v>
      </c>
      <c r="B653">
        <v>87.4</v>
      </c>
      <c r="C653" s="2">
        <f t="shared" si="10"/>
        <v>1.2549816429923562E-2</v>
      </c>
    </row>
    <row r="654" spans="1:3" x14ac:dyDescent="0.2">
      <c r="A654" s="1">
        <v>45121</v>
      </c>
      <c r="B654">
        <v>86.31</v>
      </c>
      <c r="C654" s="2">
        <f t="shared" si="10"/>
        <v>-2.892348866605123E-3</v>
      </c>
    </row>
    <row r="655" spans="1:3" x14ac:dyDescent="0.2">
      <c r="A655" s="1">
        <v>45120</v>
      </c>
      <c r="B655">
        <v>86.56</v>
      </c>
      <c r="C655" s="2">
        <f t="shared" si="10"/>
        <v>6.7231040300358338E-3</v>
      </c>
    </row>
    <row r="656" spans="1:3" x14ac:dyDescent="0.2">
      <c r="A656" s="1">
        <v>45119</v>
      </c>
      <c r="B656">
        <v>85.98</v>
      </c>
      <c r="C656" s="2">
        <f t="shared" si="10"/>
        <v>4.546257174617061E-3</v>
      </c>
    </row>
    <row r="657" spans="1:3" x14ac:dyDescent="0.2">
      <c r="A657" s="1">
        <v>45118</v>
      </c>
      <c r="B657">
        <v>85.59</v>
      </c>
      <c r="C657" s="2">
        <f t="shared" si="10"/>
        <v>5.2714934935119782E-3</v>
      </c>
    </row>
    <row r="658" spans="1:3" x14ac:dyDescent="0.2">
      <c r="A658" s="1">
        <v>45117</v>
      </c>
      <c r="B658">
        <v>85.14</v>
      </c>
      <c r="C658" s="2">
        <f t="shared" si="10"/>
        <v>1.861235638666156E-2</v>
      </c>
    </row>
    <row r="659" spans="1:3" x14ac:dyDescent="0.2">
      <c r="A659" s="1">
        <v>45114</v>
      </c>
      <c r="B659">
        <v>83.57</v>
      </c>
      <c r="C659" s="2">
        <f t="shared" si="10"/>
        <v>3.7163622465151694E-3</v>
      </c>
    </row>
    <row r="660" spans="1:3" x14ac:dyDescent="0.2">
      <c r="A660" s="1">
        <v>45113</v>
      </c>
      <c r="B660">
        <v>83.26</v>
      </c>
      <c r="C660" s="2">
        <f t="shared" si="10"/>
        <v>-1.3006567225147769E-2</v>
      </c>
    </row>
    <row r="661" spans="1:3" x14ac:dyDescent="0.2">
      <c r="A661" s="1">
        <v>45112</v>
      </c>
      <c r="B661">
        <v>84.35</v>
      </c>
      <c r="C661" s="2">
        <f t="shared" si="10"/>
        <v>-1.5527896983975359E-2</v>
      </c>
    </row>
    <row r="662" spans="1:3" x14ac:dyDescent="0.2">
      <c r="A662" s="1">
        <v>45110</v>
      </c>
      <c r="B662">
        <v>85.67</v>
      </c>
      <c r="C662" s="2">
        <f t="shared" si="10"/>
        <v>-7.906098616734988E-3</v>
      </c>
    </row>
    <row r="663" spans="1:3" x14ac:dyDescent="0.2">
      <c r="A663" s="1">
        <v>45107</v>
      </c>
      <c r="B663">
        <v>86.35</v>
      </c>
      <c r="C663" s="2">
        <f t="shared" si="10"/>
        <v>7.2059819020228498E-3</v>
      </c>
    </row>
    <row r="664" spans="1:3" x14ac:dyDescent="0.2">
      <c r="A664" s="1">
        <v>45106</v>
      </c>
      <c r="B664">
        <v>85.73</v>
      </c>
      <c r="C664" s="2">
        <f t="shared" si="10"/>
        <v>1.1497076430105056E-2</v>
      </c>
    </row>
    <row r="665" spans="1:3" x14ac:dyDescent="0.2">
      <c r="A665" s="1">
        <v>45105</v>
      </c>
      <c r="B665">
        <v>84.75</v>
      </c>
      <c r="C665" s="2">
        <f t="shared" si="10"/>
        <v>-1.208013282817481E-2</v>
      </c>
    </row>
    <row r="666" spans="1:3" x14ac:dyDescent="0.2">
      <c r="A666" s="1">
        <v>45104</v>
      </c>
      <c r="B666">
        <v>85.78</v>
      </c>
      <c r="C666" s="2">
        <f t="shared" si="10"/>
        <v>1.5389437349329132E-2</v>
      </c>
    </row>
    <row r="667" spans="1:3" x14ac:dyDescent="0.2">
      <c r="A667" s="1">
        <v>45103</v>
      </c>
      <c r="B667">
        <v>84.47</v>
      </c>
      <c r="C667" s="2">
        <f t="shared" si="10"/>
        <v>1.0951186698002593E-2</v>
      </c>
    </row>
    <row r="668" spans="1:3" x14ac:dyDescent="0.2">
      <c r="A668" s="1">
        <v>45100</v>
      </c>
      <c r="B668">
        <v>83.55</v>
      </c>
      <c r="C668" s="2">
        <f t="shared" si="10"/>
        <v>-9.0552268931815751E-3</v>
      </c>
    </row>
    <row r="669" spans="1:3" x14ac:dyDescent="0.2">
      <c r="A669" s="1">
        <v>45099</v>
      </c>
      <c r="B669">
        <v>84.31</v>
      </c>
      <c r="C669" s="2">
        <f t="shared" si="10"/>
        <v>-7.6800755590443201E-3</v>
      </c>
    </row>
    <row r="670" spans="1:3" x14ac:dyDescent="0.2">
      <c r="A670" s="1">
        <v>45098</v>
      </c>
      <c r="B670">
        <v>84.96</v>
      </c>
      <c r="C670" s="2">
        <f t="shared" si="10"/>
        <v>1.1363758650315003E-2</v>
      </c>
    </row>
    <row r="671" spans="1:3" x14ac:dyDescent="0.2">
      <c r="A671" s="1">
        <v>45097</v>
      </c>
      <c r="B671">
        <v>84</v>
      </c>
      <c r="C671" s="2">
        <f t="shared" si="10"/>
        <v>-2.4924873652848727E-2</v>
      </c>
    </row>
    <row r="672" spans="1:3" x14ac:dyDescent="0.2">
      <c r="A672" s="1">
        <v>45093</v>
      </c>
      <c r="B672">
        <v>86.12</v>
      </c>
      <c r="C672" s="2">
        <f t="shared" si="10"/>
        <v>8.3955717016381548E-3</v>
      </c>
    </row>
    <row r="673" spans="1:3" x14ac:dyDescent="0.2">
      <c r="A673" s="1">
        <v>45092</v>
      </c>
      <c r="B673">
        <v>85.4</v>
      </c>
      <c r="C673" s="2">
        <f t="shared" si="10"/>
        <v>1.4864022632149341E-2</v>
      </c>
    </row>
    <row r="674" spans="1:3" x14ac:dyDescent="0.2">
      <c r="A674" s="1">
        <v>45091</v>
      </c>
      <c r="B674">
        <v>84.14</v>
      </c>
      <c r="C674" s="2">
        <f t="shared" si="10"/>
        <v>-1.240197789237423E-2</v>
      </c>
    </row>
    <row r="675" spans="1:3" x14ac:dyDescent="0.2">
      <c r="A675" s="1">
        <v>45090</v>
      </c>
      <c r="B675">
        <v>85.19</v>
      </c>
      <c r="C675" s="2">
        <f t="shared" si="10"/>
        <v>1.9319119366384054E-2</v>
      </c>
    </row>
    <row r="676" spans="1:3" x14ac:dyDescent="0.2">
      <c r="A676" s="1">
        <v>45089</v>
      </c>
      <c r="B676">
        <v>83.56</v>
      </c>
      <c r="C676" s="2">
        <f t="shared" si="10"/>
        <v>1.2160766322228105E-2</v>
      </c>
    </row>
    <row r="677" spans="1:3" x14ac:dyDescent="0.2">
      <c r="A677" s="1">
        <v>45086</v>
      </c>
      <c r="B677">
        <v>82.55</v>
      </c>
      <c r="C677" s="2">
        <f t="shared" si="10"/>
        <v>-4.472117201441886E-3</v>
      </c>
    </row>
    <row r="678" spans="1:3" x14ac:dyDescent="0.2">
      <c r="A678" s="1">
        <v>45085</v>
      </c>
      <c r="B678">
        <v>82.92</v>
      </c>
      <c r="C678" s="2">
        <f t="shared" si="10"/>
        <v>6.6549946144213237E-3</v>
      </c>
    </row>
    <row r="679" spans="1:3" x14ac:dyDescent="0.2">
      <c r="A679" s="1">
        <v>45084</v>
      </c>
      <c r="B679">
        <v>82.37</v>
      </c>
      <c r="C679" s="2">
        <f t="shared" si="10"/>
        <v>2.7196655616602779E-2</v>
      </c>
    </row>
    <row r="680" spans="1:3" x14ac:dyDescent="0.2">
      <c r="A680" s="1">
        <v>45083</v>
      </c>
      <c r="B680">
        <v>80.16</v>
      </c>
      <c r="C680" s="2">
        <f t="shared" si="10"/>
        <v>1.5716674803611125E-2</v>
      </c>
    </row>
    <row r="681" spans="1:3" x14ac:dyDescent="0.2">
      <c r="A681" s="1">
        <v>45082</v>
      </c>
      <c r="B681">
        <v>78.91</v>
      </c>
      <c r="C681" s="2">
        <f t="shared" si="10"/>
        <v>-1.1215541922819471E-2</v>
      </c>
    </row>
    <row r="682" spans="1:3" x14ac:dyDescent="0.2">
      <c r="A682" s="1">
        <v>45079</v>
      </c>
      <c r="B682">
        <v>79.8</v>
      </c>
      <c r="C682" s="2">
        <f t="shared" si="10"/>
        <v>3.3253589494000535E-2</v>
      </c>
    </row>
    <row r="683" spans="1:3" x14ac:dyDescent="0.2">
      <c r="A683" s="1">
        <v>45078</v>
      </c>
      <c r="B683">
        <v>77.19</v>
      </c>
      <c r="C683" s="2">
        <f t="shared" si="10"/>
        <v>9.1099016279878146E-3</v>
      </c>
    </row>
    <row r="684" spans="1:3" x14ac:dyDescent="0.2">
      <c r="A684" s="1">
        <v>45077</v>
      </c>
      <c r="B684">
        <v>76.489999999999995</v>
      </c>
      <c r="C684" s="2">
        <f t="shared" si="10"/>
        <v>-4.5653245665813582E-3</v>
      </c>
    </row>
    <row r="685" spans="1:3" x14ac:dyDescent="0.2">
      <c r="A685" s="1">
        <v>45076</v>
      </c>
      <c r="B685">
        <v>76.84</v>
      </c>
      <c r="C685" s="2">
        <f t="shared" si="10"/>
        <v>-3.7669720455518361E-3</v>
      </c>
    </row>
    <row r="686" spans="1:3" x14ac:dyDescent="0.2">
      <c r="A686" s="1">
        <v>45072</v>
      </c>
      <c r="B686">
        <v>77.13</v>
      </c>
      <c r="C686" s="2">
        <f t="shared" si="10"/>
        <v>1.0950441843769644E-2</v>
      </c>
    </row>
    <row r="687" spans="1:3" x14ac:dyDescent="0.2">
      <c r="A687" s="1">
        <v>45071</v>
      </c>
      <c r="B687">
        <v>76.290000000000006</v>
      </c>
      <c r="C687" s="2">
        <f t="shared" si="10"/>
        <v>6.7074625116832765E-3</v>
      </c>
    </row>
    <row r="688" spans="1:3" x14ac:dyDescent="0.2">
      <c r="A688" s="1">
        <v>45070</v>
      </c>
      <c r="B688">
        <v>75.78</v>
      </c>
      <c r="C688" s="2">
        <f t="shared" si="10"/>
        <v>-1.584113769950338E-2</v>
      </c>
    </row>
    <row r="689" spans="1:3" x14ac:dyDescent="0.2">
      <c r="A689" s="1">
        <v>45069</v>
      </c>
      <c r="B689">
        <v>76.989999999999995</v>
      </c>
      <c r="C689" s="2">
        <f t="shared" si="10"/>
        <v>-2.5012526944742937E-2</v>
      </c>
    </row>
    <row r="690" spans="1:3" x14ac:dyDescent="0.2">
      <c r="A690" s="1">
        <v>45068</v>
      </c>
      <c r="B690">
        <v>78.94</v>
      </c>
      <c r="C690" s="2">
        <f t="shared" si="10"/>
        <v>1.1338423273260003E-2</v>
      </c>
    </row>
    <row r="691" spans="1:3" x14ac:dyDescent="0.2">
      <c r="A691" s="1">
        <v>45065</v>
      </c>
      <c r="B691">
        <v>78.05</v>
      </c>
      <c r="C691" s="2">
        <f t="shared" si="10"/>
        <v>-5.3667391779407868E-3</v>
      </c>
    </row>
    <row r="692" spans="1:3" x14ac:dyDescent="0.2">
      <c r="A692" s="1">
        <v>45064</v>
      </c>
      <c r="B692">
        <v>78.47</v>
      </c>
      <c r="C692" s="2">
        <f t="shared" si="10"/>
        <v>1.372960554370025E-2</v>
      </c>
    </row>
    <row r="693" spans="1:3" x14ac:dyDescent="0.2">
      <c r="A693" s="1">
        <v>45063</v>
      </c>
      <c r="B693">
        <v>77.400000000000006</v>
      </c>
      <c r="C693" s="2">
        <f t="shared" si="10"/>
        <v>5.5710450494554295E-3</v>
      </c>
    </row>
    <row r="694" spans="1:3" x14ac:dyDescent="0.2">
      <c r="A694" s="1">
        <v>45062</v>
      </c>
      <c r="B694">
        <v>76.97</v>
      </c>
      <c r="C694" s="2">
        <f t="shared" si="10"/>
        <v>-1.9469147560642272E-3</v>
      </c>
    </row>
    <row r="695" spans="1:3" x14ac:dyDescent="0.2">
      <c r="A695" s="1">
        <v>45061</v>
      </c>
      <c r="B695">
        <v>77.12</v>
      </c>
      <c r="C695" s="2">
        <f t="shared" si="10"/>
        <v>-2.5930247779146535E-4</v>
      </c>
    </row>
    <row r="696" spans="1:3" x14ac:dyDescent="0.2">
      <c r="A696" s="1">
        <v>45058</v>
      </c>
      <c r="B696">
        <v>77.14</v>
      </c>
      <c r="C696" s="2">
        <f t="shared" si="10"/>
        <v>-4.0106140827959758E-3</v>
      </c>
    </row>
    <row r="697" spans="1:3" x14ac:dyDescent="0.2">
      <c r="A697" s="1">
        <v>45057</v>
      </c>
      <c r="B697">
        <v>77.45</v>
      </c>
      <c r="C697" s="2">
        <f t="shared" si="10"/>
        <v>-8.7415391457752074E-3</v>
      </c>
    </row>
    <row r="698" spans="1:3" x14ac:dyDescent="0.2">
      <c r="A698" s="1">
        <v>45056</v>
      </c>
      <c r="B698">
        <v>78.13</v>
      </c>
      <c r="C698" s="2">
        <f t="shared" si="10"/>
        <v>3.5902077286456583E-3</v>
      </c>
    </row>
    <row r="699" spans="1:3" x14ac:dyDescent="0.2">
      <c r="A699" s="1">
        <v>45055</v>
      </c>
      <c r="B699">
        <v>77.849999999999994</v>
      </c>
      <c r="C699" s="2">
        <f t="shared" si="10"/>
        <v>-5.6359826398156079E-3</v>
      </c>
    </row>
    <row r="700" spans="1:3" x14ac:dyDescent="0.2">
      <c r="A700" s="1">
        <v>45054</v>
      </c>
      <c r="B700">
        <v>78.290000000000006</v>
      </c>
      <c r="C700" s="2">
        <f t="shared" si="10"/>
        <v>-4.4605949190882196E-3</v>
      </c>
    </row>
    <row r="701" spans="1:3" x14ac:dyDescent="0.2">
      <c r="A701" s="1">
        <v>45051</v>
      </c>
      <c r="B701">
        <v>78.64</v>
      </c>
      <c r="C701" s="2">
        <f t="shared" si="10"/>
        <v>4.4605949190881173E-3</v>
      </c>
    </row>
    <row r="702" spans="1:3" x14ac:dyDescent="0.2">
      <c r="A702" s="1">
        <v>45050</v>
      </c>
      <c r="B702">
        <v>78.290000000000006</v>
      </c>
      <c r="C702" s="2">
        <f t="shared" si="10"/>
        <v>-5.2232745035346792E-3</v>
      </c>
    </row>
    <row r="703" spans="1:3" x14ac:dyDescent="0.2">
      <c r="A703" s="1">
        <v>45049</v>
      </c>
      <c r="B703">
        <v>78.7</v>
      </c>
      <c r="C703" s="2">
        <f t="shared" si="10"/>
        <v>-1.4631946211717687E-2</v>
      </c>
    </row>
    <row r="704" spans="1:3" x14ac:dyDescent="0.2">
      <c r="A704" s="1">
        <v>45048</v>
      </c>
      <c r="B704">
        <v>79.86</v>
      </c>
      <c r="C704" s="2">
        <f t="shared" si="10"/>
        <v>-5.1208505084101383E-3</v>
      </c>
    </row>
    <row r="705" spans="1:3" x14ac:dyDescent="0.2">
      <c r="A705" s="1">
        <v>45047</v>
      </c>
      <c r="B705">
        <v>80.27</v>
      </c>
      <c r="C705" s="2">
        <f t="shared" si="10"/>
        <v>1.2283934859177822E-2</v>
      </c>
    </row>
    <row r="706" spans="1:3" x14ac:dyDescent="0.2">
      <c r="A706" s="1">
        <v>45044</v>
      </c>
      <c r="B706">
        <v>79.290000000000006</v>
      </c>
      <c r="C706" s="2">
        <f t="shared" si="10"/>
        <v>2.0900467689611502E-2</v>
      </c>
    </row>
    <row r="707" spans="1:3" x14ac:dyDescent="0.2">
      <c r="A707" s="1">
        <v>45043</v>
      </c>
      <c r="B707">
        <v>77.650000000000006</v>
      </c>
      <c r="C707" s="2">
        <f t="shared" ref="C707:C770" si="11">+LN(B707/B708)</f>
        <v>0.11868492323925851</v>
      </c>
    </row>
    <row r="708" spans="1:3" x14ac:dyDescent="0.2">
      <c r="A708" s="1">
        <v>45042</v>
      </c>
      <c r="B708">
        <v>68.959999999999994</v>
      </c>
      <c r="C708" s="2">
        <f t="shared" si="11"/>
        <v>-1.6253504156795891E-2</v>
      </c>
    </row>
    <row r="709" spans="1:3" x14ac:dyDescent="0.2">
      <c r="A709" s="1">
        <v>45041</v>
      </c>
      <c r="B709">
        <v>70.09</v>
      </c>
      <c r="C709" s="2">
        <f t="shared" si="11"/>
        <v>-6.5415477865895869E-3</v>
      </c>
    </row>
    <row r="710" spans="1:3" x14ac:dyDescent="0.2">
      <c r="A710" s="1">
        <v>45040</v>
      </c>
      <c r="B710">
        <v>70.55</v>
      </c>
      <c r="C710" s="2">
        <f t="shared" si="11"/>
        <v>-5.6537253072287564E-3</v>
      </c>
    </row>
    <row r="711" spans="1:3" x14ac:dyDescent="0.2">
      <c r="A711" s="1">
        <v>45037</v>
      </c>
      <c r="B711">
        <v>70.95</v>
      </c>
      <c r="C711" s="2">
        <f t="shared" si="11"/>
        <v>4.6620131058113714E-3</v>
      </c>
    </row>
    <row r="712" spans="1:3" x14ac:dyDescent="0.2">
      <c r="A712" s="1">
        <v>45036</v>
      </c>
      <c r="B712">
        <v>70.62</v>
      </c>
      <c r="C712" s="2">
        <f t="shared" si="11"/>
        <v>2.6940817429213062E-3</v>
      </c>
    </row>
    <row r="713" spans="1:3" x14ac:dyDescent="0.2">
      <c r="A713" s="1">
        <v>45035</v>
      </c>
      <c r="B713">
        <v>70.430000000000007</v>
      </c>
      <c r="C713" s="2">
        <f t="shared" si="11"/>
        <v>-7.3560948487326507E-3</v>
      </c>
    </row>
    <row r="714" spans="1:3" x14ac:dyDescent="0.2">
      <c r="A714" s="1">
        <v>45034</v>
      </c>
      <c r="B714">
        <v>70.95</v>
      </c>
      <c r="C714" s="2">
        <f t="shared" si="11"/>
        <v>-2.2525702893748068E-3</v>
      </c>
    </row>
    <row r="715" spans="1:3" x14ac:dyDescent="0.2">
      <c r="A715" s="1">
        <v>45033</v>
      </c>
      <c r="B715">
        <v>71.11</v>
      </c>
      <c r="C715" s="2">
        <f t="shared" si="11"/>
        <v>5.4995555660386697E-3</v>
      </c>
    </row>
    <row r="716" spans="1:3" x14ac:dyDescent="0.2">
      <c r="A716" s="1">
        <v>45030</v>
      </c>
      <c r="B716">
        <v>70.72</v>
      </c>
      <c r="C716" s="2">
        <f t="shared" si="11"/>
        <v>-5.4995555660385465E-3</v>
      </c>
    </row>
    <row r="717" spans="1:3" x14ac:dyDescent="0.2">
      <c r="A717" s="1">
        <v>45029</v>
      </c>
      <c r="B717">
        <v>71.11</v>
      </c>
      <c r="C717" s="2">
        <f t="shared" si="11"/>
        <v>6.3483319644273483E-3</v>
      </c>
    </row>
    <row r="718" spans="1:3" x14ac:dyDescent="0.2">
      <c r="A718" s="1">
        <v>45028</v>
      </c>
      <c r="B718">
        <v>70.66</v>
      </c>
      <c r="C718" s="2">
        <f t="shared" si="11"/>
        <v>5.5346767268929205E-3</v>
      </c>
    </row>
    <row r="719" spans="1:3" x14ac:dyDescent="0.2">
      <c r="A719" s="1">
        <v>45027</v>
      </c>
      <c r="B719">
        <v>70.27</v>
      </c>
      <c r="C719" s="2">
        <f t="shared" si="11"/>
        <v>6.5676992217961567E-3</v>
      </c>
    </row>
    <row r="720" spans="1:3" x14ac:dyDescent="0.2">
      <c r="A720" s="1">
        <v>45026</v>
      </c>
      <c r="B720">
        <v>69.81</v>
      </c>
      <c r="C720" s="2">
        <f t="shared" si="11"/>
        <v>1.1091219207137576E-2</v>
      </c>
    </row>
    <row r="721" spans="1:3" x14ac:dyDescent="0.2">
      <c r="A721" s="1">
        <v>45022</v>
      </c>
      <c r="B721">
        <v>69.040000000000006</v>
      </c>
      <c r="C721" s="2">
        <f t="shared" si="11"/>
        <v>-7.2160798045427851E-3</v>
      </c>
    </row>
    <row r="722" spans="1:3" x14ac:dyDescent="0.2">
      <c r="A722" s="1">
        <v>45021</v>
      </c>
      <c r="B722">
        <v>69.540000000000006</v>
      </c>
      <c r="C722" s="2">
        <f t="shared" si="11"/>
        <v>-1.6543446322811697E-2</v>
      </c>
    </row>
    <row r="723" spans="1:3" x14ac:dyDescent="0.2">
      <c r="A723" s="1">
        <v>45020</v>
      </c>
      <c r="B723">
        <v>70.7</v>
      </c>
      <c r="C723" s="2">
        <f t="shared" si="11"/>
        <v>-2.3484445233069154E-2</v>
      </c>
    </row>
    <row r="724" spans="1:3" x14ac:dyDescent="0.2">
      <c r="A724" s="1">
        <v>45019</v>
      </c>
      <c r="B724">
        <v>72.38</v>
      </c>
      <c r="C724" s="2">
        <f t="shared" si="11"/>
        <v>-8.6663999323981378E-3</v>
      </c>
    </row>
    <row r="725" spans="1:3" x14ac:dyDescent="0.2">
      <c r="A725" s="1">
        <v>45016</v>
      </c>
      <c r="B725">
        <v>73.010000000000005</v>
      </c>
      <c r="C725" s="2">
        <f t="shared" si="11"/>
        <v>1.7408563428263909E-2</v>
      </c>
    </row>
    <row r="726" spans="1:3" x14ac:dyDescent="0.2">
      <c r="A726" s="1">
        <v>45015</v>
      </c>
      <c r="B726">
        <v>71.75</v>
      </c>
      <c r="C726" s="2">
        <f t="shared" si="11"/>
        <v>5.8708583497838274E-3</v>
      </c>
    </row>
    <row r="727" spans="1:3" x14ac:dyDescent="0.2">
      <c r="A727" s="1">
        <v>45014</v>
      </c>
      <c r="B727">
        <v>71.33</v>
      </c>
      <c r="C727" s="2">
        <f t="shared" si="11"/>
        <v>1.2697687532627674E-2</v>
      </c>
    </row>
    <row r="728" spans="1:3" x14ac:dyDescent="0.2">
      <c r="A728" s="1">
        <v>45013</v>
      </c>
      <c r="B728">
        <v>70.430000000000007</v>
      </c>
      <c r="C728" s="2">
        <f t="shared" si="11"/>
        <v>7.5536595175544332E-3</v>
      </c>
    </row>
    <row r="729" spans="1:3" x14ac:dyDescent="0.2">
      <c r="A729" s="1">
        <v>45012</v>
      </c>
      <c r="B729">
        <v>69.900000000000006</v>
      </c>
      <c r="C729" s="2">
        <f t="shared" si="11"/>
        <v>1.2234769384463502E-2</v>
      </c>
    </row>
    <row r="730" spans="1:3" x14ac:dyDescent="0.2">
      <c r="A730" s="1">
        <v>45009</v>
      </c>
      <c r="B730">
        <v>69.05</v>
      </c>
      <c r="C730" s="2">
        <f t="shared" si="11"/>
        <v>1.4483308012858787E-4</v>
      </c>
    </row>
    <row r="731" spans="1:3" x14ac:dyDescent="0.2">
      <c r="A731" s="1">
        <v>45008</v>
      </c>
      <c r="B731">
        <v>69.040000000000006</v>
      </c>
      <c r="C731" s="2">
        <f t="shared" si="11"/>
        <v>1.0776280198428176E-2</v>
      </c>
    </row>
    <row r="732" spans="1:3" x14ac:dyDescent="0.2">
      <c r="A732" s="1">
        <v>45007</v>
      </c>
      <c r="B732">
        <v>68.3</v>
      </c>
      <c r="C732" s="2">
        <f t="shared" si="11"/>
        <v>-1.7273090749491536E-2</v>
      </c>
    </row>
    <row r="733" spans="1:3" x14ac:dyDescent="0.2">
      <c r="A733" s="1">
        <v>45006</v>
      </c>
      <c r="B733">
        <v>69.489999999999995</v>
      </c>
      <c r="C733" s="2">
        <f t="shared" si="11"/>
        <v>8.0913604286754186E-3</v>
      </c>
    </row>
    <row r="734" spans="1:3" x14ac:dyDescent="0.2">
      <c r="A734" s="1">
        <v>45005</v>
      </c>
      <c r="B734">
        <v>68.930000000000007</v>
      </c>
      <c r="C734" s="2">
        <f t="shared" si="11"/>
        <v>2.4674478415611989E-2</v>
      </c>
    </row>
    <row r="735" spans="1:3" x14ac:dyDescent="0.2">
      <c r="A735" s="1">
        <v>45002</v>
      </c>
      <c r="B735">
        <v>67.25</v>
      </c>
      <c r="C735" s="2">
        <f t="shared" si="11"/>
        <v>-1.211956897791143E-2</v>
      </c>
    </row>
    <row r="736" spans="1:3" x14ac:dyDescent="0.2">
      <c r="A736" s="1">
        <v>45001</v>
      </c>
      <c r="B736">
        <v>68.069999999999993</v>
      </c>
      <c r="C736" s="2">
        <f t="shared" si="11"/>
        <v>1.3309868181086811E-2</v>
      </c>
    </row>
    <row r="737" spans="1:3" x14ac:dyDescent="0.2">
      <c r="A737" s="1">
        <v>45000</v>
      </c>
      <c r="B737">
        <v>67.17</v>
      </c>
      <c r="C737" s="2">
        <f t="shared" si="11"/>
        <v>-2.5429458740839739E-2</v>
      </c>
    </row>
    <row r="738" spans="1:3" x14ac:dyDescent="0.2">
      <c r="A738" s="1">
        <v>44999</v>
      </c>
      <c r="B738">
        <v>68.900000000000006</v>
      </c>
      <c r="C738" s="2">
        <f t="shared" si="11"/>
        <v>2.5876186467724157E-2</v>
      </c>
    </row>
    <row r="739" spans="1:3" x14ac:dyDescent="0.2">
      <c r="A739" s="1">
        <v>44998</v>
      </c>
      <c r="B739">
        <v>67.14</v>
      </c>
      <c r="C739" s="2">
        <f t="shared" si="11"/>
        <v>-7.5673630649082078E-3</v>
      </c>
    </row>
    <row r="740" spans="1:3" x14ac:dyDescent="0.2">
      <c r="A740" s="1">
        <v>44995</v>
      </c>
      <c r="B740">
        <v>67.650000000000006</v>
      </c>
      <c r="C740" s="2">
        <f t="shared" si="11"/>
        <v>-2.1207376156827031E-2</v>
      </c>
    </row>
    <row r="741" spans="1:3" x14ac:dyDescent="0.2">
      <c r="A741" s="1">
        <v>44994</v>
      </c>
      <c r="B741">
        <v>69.099999999999994</v>
      </c>
      <c r="C741" s="2">
        <f t="shared" si="11"/>
        <v>-1.122475449223166E-2</v>
      </c>
    </row>
    <row r="742" spans="1:3" x14ac:dyDescent="0.2">
      <c r="A742" s="1">
        <v>44993</v>
      </c>
      <c r="B742">
        <v>69.88</v>
      </c>
      <c r="C742" s="2">
        <f t="shared" si="11"/>
        <v>3.1532203280006579E-3</v>
      </c>
    </row>
    <row r="743" spans="1:3" x14ac:dyDescent="0.2">
      <c r="A743" s="1">
        <v>44992</v>
      </c>
      <c r="B743">
        <v>69.66</v>
      </c>
      <c r="C743" s="2">
        <f t="shared" si="11"/>
        <v>-1.0424942682185198E-2</v>
      </c>
    </row>
    <row r="744" spans="1:3" x14ac:dyDescent="0.2">
      <c r="A744" s="1">
        <v>44991</v>
      </c>
      <c r="B744">
        <v>70.39</v>
      </c>
      <c r="C744" s="2">
        <f t="shared" si="11"/>
        <v>-9.7547956664103697E-3</v>
      </c>
    </row>
    <row r="745" spans="1:3" x14ac:dyDescent="0.2">
      <c r="A745" s="1">
        <v>44988</v>
      </c>
      <c r="B745">
        <v>71.08</v>
      </c>
      <c r="C745" s="2">
        <f t="shared" si="11"/>
        <v>1.7169630722091263E-2</v>
      </c>
    </row>
    <row r="746" spans="1:3" x14ac:dyDescent="0.2">
      <c r="A746" s="1">
        <v>44987</v>
      </c>
      <c r="B746">
        <v>69.87</v>
      </c>
      <c r="C746" s="2">
        <f t="shared" si="11"/>
        <v>1.0069129951865962E-2</v>
      </c>
    </row>
    <row r="747" spans="1:3" x14ac:dyDescent="0.2">
      <c r="A747" s="1">
        <v>44986</v>
      </c>
      <c r="B747">
        <v>69.17</v>
      </c>
      <c r="C747" s="2">
        <f t="shared" si="11"/>
        <v>-5.3348839672220198E-3</v>
      </c>
    </row>
    <row r="748" spans="1:3" x14ac:dyDescent="0.2">
      <c r="A748" s="1">
        <v>44985</v>
      </c>
      <c r="B748">
        <v>69.540000000000006</v>
      </c>
      <c r="C748" s="2">
        <f t="shared" si="11"/>
        <v>-6.1644521780898761E-3</v>
      </c>
    </row>
    <row r="749" spans="1:3" x14ac:dyDescent="0.2">
      <c r="A749" s="1">
        <v>44984</v>
      </c>
      <c r="B749">
        <v>69.97</v>
      </c>
      <c r="C749" s="2">
        <f t="shared" si="11"/>
        <v>4.4403138199503546E-3</v>
      </c>
    </row>
    <row r="750" spans="1:3" x14ac:dyDescent="0.2">
      <c r="A750" s="1">
        <v>44981</v>
      </c>
      <c r="B750">
        <v>69.66</v>
      </c>
      <c r="C750" s="2">
        <f t="shared" si="11"/>
        <v>-9.1455338787640606E-3</v>
      </c>
    </row>
    <row r="751" spans="1:3" x14ac:dyDescent="0.2">
      <c r="A751" s="1">
        <v>44980</v>
      </c>
      <c r="B751">
        <v>70.3</v>
      </c>
      <c r="C751" s="2">
        <f t="shared" si="11"/>
        <v>-1.7055149102872544E-3</v>
      </c>
    </row>
    <row r="752" spans="1:3" x14ac:dyDescent="0.2">
      <c r="A752" s="1">
        <v>44979</v>
      </c>
      <c r="B752">
        <v>70.42</v>
      </c>
      <c r="C752" s="2">
        <f t="shared" si="11"/>
        <v>1.5632775158363772E-3</v>
      </c>
    </row>
    <row r="753" spans="1:3" x14ac:dyDescent="0.2">
      <c r="A753" s="1">
        <v>44978</v>
      </c>
      <c r="B753">
        <v>70.31</v>
      </c>
      <c r="C753" s="2">
        <f t="shared" si="11"/>
        <v>-3.0258646910120032E-2</v>
      </c>
    </row>
    <row r="754" spans="1:3" x14ac:dyDescent="0.2">
      <c r="A754" s="1">
        <v>44974</v>
      </c>
      <c r="B754">
        <v>72.47</v>
      </c>
      <c r="C754" s="2">
        <f t="shared" si="11"/>
        <v>1.3894901889302614E-2</v>
      </c>
    </row>
    <row r="755" spans="1:3" x14ac:dyDescent="0.2">
      <c r="A755" s="1">
        <v>44973</v>
      </c>
      <c r="B755">
        <v>71.47</v>
      </c>
      <c r="C755" s="2">
        <f t="shared" si="11"/>
        <v>-1.3618887534803975E-2</v>
      </c>
    </row>
    <row r="756" spans="1:3" x14ac:dyDescent="0.2">
      <c r="A756" s="1">
        <v>44972</v>
      </c>
      <c r="B756">
        <v>72.45</v>
      </c>
      <c r="C756" s="2">
        <f t="shared" si="11"/>
        <v>7.7594957709113442E-3</v>
      </c>
    </row>
    <row r="757" spans="1:3" x14ac:dyDescent="0.2">
      <c r="A757" s="1">
        <v>44971</v>
      </c>
      <c r="B757">
        <v>71.89</v>
      </c>
      <c r="C757" s="2">
        <f t="shared" si="11"/>
        <v>-2.2231494497508969E-3</v>
      </c>
    </row>
    <row r="758" spans="1:3" x14ac:dyDescent="0.2">
      <c r="A758" s="1">
        <v>44970</v>
      </c>
      <c r="B758">
        <v>72.05</v>
      </c>
      <c r="C758" s="2">
        <f t="shared" si="11"/>
        <v>1.7218875761773379E-2</v>
      </c>
    </row>
    <row r="759" spans="1:3" x14ac:dyDescent="0.2">
      <c r="A759" s="1">
        <v>44967</v>
      </c>
      <c r="B759">
        <v>70.819999999999993</v>
      </c>
      <c r="C759" s="2">
        <f t="shared" si="11"/>
        <v>2.6614820328320059E-2</v>
      </c>
    </row>
    <row r="760" spans="1:3" x14ac:dyDescent="0.2">
      <c r="A760" s="1">
        <v>44966</v>
      </c>
      <c r="B760">
        <v>68.959999999999994</v>
      </c>
      <c r="C760" s="2">
        <f t="shared" si="11"/>
        <v>-1.7394242908759756E-2</v>
      </c>
    </row>
    <row r="761" spans="1:3" x14ac:dyDescent="0.2">
      <c r="A761" s="1">
        <v>44965</v>
      </c>
      <c r="B761">
        <v>70.17</v>
      </c>
      <c r="C761" s="2">
        <f t="shared" si="11"/>
        <v>-9.6440968724919827E-3</v>
      </c>
    </row>
    <row r="762" spans="1:3" x14ac:dyDescent="0.2">
      <c r="A762" s="1">
        <v>44964</v>
      </c>
      <c r="B762">
        <v>70.849999999999994</v>
      </c>
      <c r="C762" s="2">
        <f t="shared" si="11"/>
        <v>-2.1149109046260869E-3</v>
      </c>
    </row>
    <row r="763" spans="1:3" x14ac:dyDescent="0.2">
      <c r="A763" s="1">
        <v>44963</v>
      </c>
      <c r="B763">
        <v>71</v>
      </c>
      <c r="C763" s="2">
        <f t="shared" si="11"/>
        <v>-4.3566929988968156E-3</v>
      </c>
    </row>
    <row r="764" spans="1:3" x14ac:dyDescent="0.2">
      <c r="A764" s="1">
        <v>44960</v>
      </c>
      <c r="B764">
        <v>71.31</v>
      </c>
      <c r="C764" s="2">
        <f t="shared" si="11"/>
        <v>-1.5413721260901358E-3</v>
      </c>
    </row>
    <row r="765" spans="1:3" x14ac:dyDescent="0.2">
      <c r="A765" s="1">
        <v>44959</v>
      </c>
      <c r="B765">
        <v>71.42</v>
      </c>
      <c r="C765" s="2">
        <f t="shared" si="11"/>
        <v>1.2256263867479493E-2</v>
      </c>
    </row>
    <row r="766" spans="1:3" x14ac:dyDescent="0.2">
      <c r="A766" s="1">
        <v>44958</v>
      </c>
      <c r="B766">
        <v>70.55</v>
      </c>
      <c r="C766" s="2">
        <f t="shared" si="11"/>
        <v>3.2119128818508612E-2</v>
      </c>
    </row>
    <row r="767" spans="1:3" x14ac:dyDescent="0.2">
      <c r="A767" s="1">
        <v>44957</v>
      </c>
      <c r="B767">
        <v>68.319999999999993</v>
      </c>
      <c r="C767" s="2">
        <f t="shared" si="11"/>
        <v>2.5948523867702238E-2</v>
      </c>
    </row>
    <row r="768" spans="1:3" x14ac:dyDescent="0.2">
      <c r="A768" s="1">
        <v>44956</v>
      </c>
      <c r="B768">
        <v>66.569999999999993</v>
      </c>
      <c r="C768" s="2">
        <f t="shared" si="11"/>
        <v>-9.5680203692622128E-3</v>
      </c>
    </row>
    <row r="769" spans="1:3" x14ac:dyDescent="0.2">
      <c r="A769" s="1">
        <v>44953</v>
      </c>
      <c r="B769">
        <v>67.209999999999994</v>
      </c>
      <c r="C769" s="2">
        <f t="shared" si="11"/>
        <v>8.8172132163407482E-3</v>
      </c>
    </row>
    <row r="770" spans="1:3" x14ac:dyDescent="0.2">
      <c r="A770" s="1">
        <v>44952</v>
      </c>
      <c r="B770">
        <v>66.62</v>
      </c>
      <c r="C770" s="2">
        <f t="shared" si="11"/>
        <v>-6.5829082725488985E-3</v>
      </c>
    </row>
    <row r="771" spans="1:3" x14ac:dyDescent="0.2">
      <c r="A771" s="1">
        <v>44951</v>
      </c>
      <c r="B771">
        <v>67.06</v>
      </c>
      <c r="C771" s="2">
        <f t="shared" ref="C771:C834" si="12">+LN(B771/B772)</f>
        <v>-2.234304943791913E-3</v>
      </c>
    </row>
    <row r="772" spans="1:3" x14ac:dyDescent="0.2">
      <c r="A772" s="1">
        <v>44950</v>
      </c>
      <c r="B772">
        <v>67.209999999999994</v>
      </c>
      <c r="C772" s="2">
        <f t="shared" si="12"/>
        <v>6.7179471882399039E-3</v>
      </c>
    </row>
    <row r="773" spans="1:3" x14ac:dyDescent="0.2">
      <c r="A773" s="1">
        <v>44949</v>
      </c>
      <c r="B773">
        <v>66.760000000000005</v>
      </c>
      <c r="C773" s="2">
        <f t="shared" si="12"/>
        <v>-3.886983515529924E-3</v>
      </c>
    </row>
    <row r="774" spans="1:3" x14ac:dyDescent="0.2">
      <c r="A774" s="1">
        <v>44946</v>
      </c>
      <c r="B774">
        <v>67.02</v>
      </c>
      <c r="C774" s="2">
        <f t="shared" si="12"/>
        <v>7.7891346473558283E-3</v>
      </c>
    </row>
    <row r="775" spans="1:3" x14ac:dyDescent="0.2">
      <c r="A775" s="1">
        <v>44945</v>
      </c>
      <c r="B775">
        <v>66.5</v>
      </c>
      <c r="C775" s="2">
        <f t="shared" si="12"/>
        <v>-3.3711057342311723E-2</v>
      </c>
    </row>
    <row r="776" spans="1:3" x14ac:dyDescent="0.2">
      <c r="A776" s="1">
        <v>44944</v>
      </c>
      <c r="B776">
        <v>68.78</v>
      </c>
      <c r="C776" s="2">
        <f t="shared" si="12"/>
        <v>-9.8380423118077601E-3</v>
      </c>
    </row>
    <row r="777" spans="1:3" x14ac:dyDescent="0.2">
      <c r="A777" s="1">
        <v>44943</v>
      </c>
      <c r="B777">
        <v>69.459999999999994</v>
      </c>
      <c r="C777" s="2">
        <f t="shared" si="12"/>
        <v>-1.6562343184312534E-2</v>
      </c>
    </row>
    <row r="778" spans="1:3" x14ac:dyDescent="0.2">
      <c r="A778" s="1">
        <v>44939</v>
      </c>
      <c r="B778">
        <v>70.62</v>
      </c>
      <c r="C778" s="2">
        <f t="shared" si="12"/>
        <v>8.3896688328140689E-3</v>
      </c>
    </row>
    <row r="779" spans="1:3" x14ac:dyDescent="0.2">
      <c r="A779" s="1">
        <v>44938</v>
      </c>
      <c r="B779">
        <v>70.03</v>
      </c>
      <c r="C779" s="2">
        <f t="shared" si="12"/>
        <v>-4.7011982019310884E-3</v>
      </c>
    </row>
    <row r="780" spans="1:3" x14ac:dyDescent="0.2">
      <c r="A780" s="1">
        <v>44937</v>
      </c>
      <c r="B780">
        <v>70.36</v>
      </c>
      <c r="C780" s="2">
        <f t="shared" si="12"/>
        <v>1.1004041012598583E-2</v>
      </c>
    </row>
    <row r="781" spans="1:3" x14ac:dyDescent="0.2">
      <c r="A781" s="1">
        <v>44936</v>
      </c>
      <c r="B781">
        <v>69.59</v>
      </c>
      <c r="C781" s="2">
        <f t="shared" si="12"/>
        <v>7.0661480831345552E-3</v>
      </c>
    </row>
    <row r="782" spans="1:3" x14ac:dyDescent="0.2">
      <c r="A782" s="1">
        <v>44935</v>
      </c>
      <c r="B782">
        <v>69.099999999999994</v>
      </c>
      <c r="C782" s="2">
        <f t="shared" si="12"/>
        <v>7.4079792623940374E-3</v>
      </c>
    </row>
    <row r="783" spans="1:3" x14ac:dyDescent="0.2">
      <c r="A783" s="1">
        <v>44932</v>
      </c>
      <c r="B783">
        <v>68.59</v>
      </c>
      <c r="C783" s="2">
        <f t="shared" si="12"/>
        <v>2.5994669988251357E-2</v>
      </c>
    </row>
    <row r="784" spans="1:3" x14ac:dyDescent="0.2">
      <c r="A784" s="1">
        <v>44931</v>
      </c>
      <c r="B784">
        <v>66.83</v>
      </c>
      <c r="C784" s="2">
        <f t="shared" si="12"/>
        <v>-2.3805367501013985E-2</v>
      </c>
    </row>
    <row r="785" spans="1:3" x14ac:dyDescent="0.2">
      <c r="A785" s="1">
        <v>44930</v>
      </c>
      <c r="B785">
        <v>68.44</v>
      </c>
      <c r="C785" s="2">
        <f t="shared" si="12"/>
        <v>7.9214144593422568E-3</v>
      </c>
    </row>
    <row r="786" spans="1:3" x14ac:dyDescent="0.2">
      <c r="A786" s="1">
        <v>44929</v>
      </c>
      <c r="B786">
        <v>67.900000000000006</v>
      </c>
      <c r="C786" s="2">
        <f t="shared" si="12"/>
        <v>9.4703282525269404E-3</v>
      </c>
    </row>
    <row r="787" spans="1:3" x14ac:dyDescent="0.2">
      <c r="A787" s="1">
        <v>44925</v>
      </c>
      <c r="B787">
        <v>67.260000000000005</v>
      </c>
      <c r="C787" s="2">
        <f t="shared" si="12"/>
        <v>-8.2914303853688191E-3</v>
      </c>
    </row>
    <row r="788" spans="1:3" x14ac:dyDescent="0.2">
      <c r="A788" s="1">
        <v>44924</v>
      </c>
      <c r="B788">
        <v>67.819999999999993</v>
      </c>
      <c r="C788" s="2">
        <f t="shared" si="12"/>
        <v>2.2064103178586016E-2</v>
      </c>
    </row>
    <row r="789" spans="1:3" x14ac:dyDescent="0.2">
      <c r="A789" s="1">
        <v>44923</v>
      </c>
      <c r="B789">
        <v>66.34</v>
      </c>
      <c r="C789" s="2">
        <f t="shared" si="12"/>
        <v>-1.2731393413152195E-2</v>
      </c>
    </row>
    <row r="790" spans="1:3" x14ac:dyDescent="0.2">
      <c r="A790" s="1">
        <v>44922</v>
      </c>
      <c r="B790">
        <v>67.19</v>
      </c>
      <c r="C790" s="2">
        <f t="shared" si="12"/>
        <v>6.1207924165500764E-3</v>
      </c>
    </row>
    <row r="791" spans="1:3" x14ac:dyDescent="0.2">
      <c r="A791" s="1">
        <v>44918</v>
      </c>
      <c r="B791">
        <v>66.78</v>
      </c>
      <c r="C791" s="2">
        <f t="shared" si="12"/>
        <v>6.0078282236799077E-3</v>
      </c>
    </row>
    <row r="792" spans="1:3" x14ac:dyDescent="0.2">
      <c r="A792" s="1">
        <v>44917</v>
      </c>
      <c r="B792">
        <v>66.38</v>
      </c>
      <c r="C792" s="2">
        <f t="shared" si="12"/>
        <v>-1.5545903514086263E-2</v>
      </c>
    </row>
    <row r="793" spans="1:3" x14ac:dyDescent="0.2">
      <c r="A793" s="1">
        <v>44916</v>
      </c>
      <c r="B793">
        <v>67.42</v>
      </c>
      <c r="C793" s="2">
        <f t="shared" si="12"/>
        <v>1.8110200869159987E-2</v>
      </c>
    </row>
    <row r="794" spans="1:3" x14ac:dyDescent="0.2">
      <c r="A794" s="1">
        <v>44915</v>
      </c>
      <c r="B794">
        <v>66.209999999999994</v>
      </c>
      <c r="C794" s="2">
        <f t="shared" si="12"/>
        <v>8.4939081879493346E-3</v>
      </c>
    </row>
    <row r="795" spans="1:3" x14ac:dyDescent="0.2">
      <c r="A795" s="1">
        <v>44914</v>
      </c>
      <c r="B795">
        <v>65.650000000000006</v>
      </c>
      <c r="C795" s="2">
        <f t="shared" si="12"/>
        <v>-6.074430219528971E-3</v>
      </c>
    </row>
    <row r="796" spans="1:3" x14ac:dyDescent="0.2">
      <c r="A796" s="1">
        <v>44911</v>
      </c>
      <c r="B796">
        <v>66.05</v>
      </c>
      <c r="C796" s="2">
        <f t="shared" si="12"/>
        <v>-4.3810025505721818E-3</v>
      </c>
    </row>
    <row r="797" spans="1:3" x14ac:dyDescent="0.2">
      <c r="A797" s="1">
        <v>44910</v>
      </c>
      <c r="B797">
        <v>66.34</v>
      </c>
      <c r="C797" s="2">
        <f t="shared" si="12"/>
        <v>-3.3936723401636837E-2</v>
      </c>
    </row>
    <row r="798" spans="1:3" x14ac:dyDescent="0.2">
      <c r="A798" s="1">
        <v>44909</v>
      </c>
      <c r="B798">
        <v>68.63</v>
      </c>
      <c r="C798" s="2">
        <f t="shared" si="12"/>
        <v>-1.1877312279809584E-2</v>
      </c>
    </row>
    <row r="799" spans="1:3" x14ac:dyDescent="0.2">
      <c r="A799" s="1">
        <v>44908</v>
      </c>
      <c r="B799">
        <v>69.45</v>
      </c>
      <c r="C799" s="2">
        <f t="shared" si="12"/>
        <v>7.5155723027923275E-3</v>
      </c>
    </row>
    <row r="800" spans="1:3" x14ac:dyDescent="0.2">
      <c r="A800" s="1">
        <v>44907</v>
      </c>
      <c r="B800">
        <v>68.930000000000007</v>
      </c>
      <c r="C800" s="2">
        <f t="shared" si="12"/>
        <v>1.5055462332909953E-2</v>
      </c>
    </row>
    <row r="801" spans="1:3" x14ac:dyDescent="0.2">
      <c r="A801" s="1">
        <v>44904</v>
      </c>
      <c r="B801">
        <v>67.900000000000006</v>
      </c>
      <c r="C801" s="2">
        <f t="shared" si="12"/>
        <v>-6.8980973610521645E-3</v>
      </c>
    </row>
    <row r="802" spans="1:3" x14ac:dyDescent="0.2">
      <c r="A802" s="1">
        <v>44903</v>
      </c>
      <c r="B802">
        <v>68.37</v>
      </c>
      <c r="C802" s="2">
        <f t="shared" si="12"/>
        <v>8.6669657467972755E-3</v>
      </c>
    </row>
    <row r="803" spans="1:3" x14ac:dyDescent="0.2">
      <c r="A803" s="1">
        <v>44902</v>
      </c>
      <c r="B803">
        <v>67.78</v>
      </c>
      <c r="C803" s="2">
        <f t="shared" si="12"/>
        <v>5.1771434324145256E-3</v>
      </c>
    </row>
    <row r="804" spans="1:3" x14ac:dyDescent="0.2">
      <c r="A804" s="1">
        <v>44901</v>
      </c>
      <c r="B804">
        <v>67.430000000000007</v>
      </c>
      <c r="C804" s="2">
        <f t="shared" si="12"/>
        <v>-2.0840202428173037E-2</v>
      </c>
    </row>
    <row r="805" spans="1:3" x14ac:dyDescent="0.2">
      <c r="A805" s="1">
        <v>44900</v>
      </c>
      <c r="B805">
        <v>68.849999999999994</v>
      </c>
      <c r="C805" s="2">
        <f t="shared" si="12"/>
        <v>-1.9987724152197382E-2</v>
      </c>
    </row>
    <row r="806" spans="1:3" x14ac:dyDescent="0.2">
      <c r="A806" s="1">
        <v>44897</v>
      </c>
      <c r="B806">
        <v>70.239999999999995</v>
      </c>
      <c r="C806" s="2">
        <f t="shared" si="12"/>
        <v>6.4272162978007323E-3</v>
      </c>
    </row>
    <row r="807" spans="1:3" x14ac:dyDescent="0.2">
      <c r="A807" s="1">
        <v>44896</v>
      </c>
      <c r="B807">
        <v>69.790000000000006</v>
      </c>
      <c r="C807" s="2">
        <f t="shared" si="12"/>
        <v>-2.5758457287450168E-3</v>
      </c>
    </row>
    <row r="808" spans="1:3" x14ac:dyDescent="0.2">
      <c r="A808" s="1">
        <v>44895</v>
      </c>
      <c r="B808">
        <v>69.97</v>
      </c>
      <c r="C808" s="2">
        <f t="shared" si="12"/>
        <v>2.1816945655766144E-2</v>
      </c>
    </row>
    <row r="809" spans="1:3" x14ac:dyDescent="0.2">
      <c r="A809" s="1">
        <v>44894</v>
      </c>
      <c r="B809">
        <v>68.459999999999994</v>
      </c>
      <c r="C809" s="2">
        <f t="shared" si="12"/>
        <v>-1.8971184091908506E-3</v>
      </c>
    </row>
    <row r="810" spans="1:3" x14ac:dyDescent="0.2">
      <c r="A810" s="1">
        <v>44893</v>
      </c>
      <c r="B810">
        <v>68.59</v>
      </c>
      <c r="C810" s="2">
        <f t="shared" si="12"/>
        <v>-2.3486419229056137E-2</v>
      </c>
    </row>
    <row r="811" spans="1:3" x14ac:dyDescent="0.2">
      <c r="A811" s="1">
        <v>44890</v>
      </c>
      <c r="B811">
        <v>70.22</v>
      </c>
      <c r="C811" s="2">
        <f t="shared" si="12"/>
        <v>1.9957241121502018E-3</v>
      </c>
    </row>
    <row r="812" spans="1:3" x14ac:dyDescent="0.2">
      <c r="A812" s="1">
        <v>44888</v>
      </c>
      <c r="B812">
        <v>70.08</v>
      </c>
      <c r="C812" s="2">
        <f t="shared" si="12"/>
        <v>-5.7061342489784638E-4</v>
      </c>
    </row>
    <row r="813" spans="1:3" x14ac:dyDescent="0.2">
      <c r="A813" s="1">
        <v>44887</v>
      </c>
      <c r="B813">
        <v>70.12</v>
      </c>
      <c r="C813" s="2">
        <f t="shared" si="12"/>
        <v>-1.5675101178953704E-3</v>
      </c>
    </row>
    <row r="814" spans="1:3" x14ac:dyDescent="0.2">
      <c r="A814" s="1">
        <v>44886</v>
      </c>
      <c r="B814">
        <v>70.23</v>
      </c>
      <c r="C814" s="2">
        <f t="shared" si="12"/>
        <v>5.2823307922431903E-3</v>
      </c>
    </row>
    <row r="815" spans="1:3" x14ac:dyDescent="0.2">
      <c r="A815" s="1">
        <v>44883</v>
      </c>
      <c r="B815">
        <v>69.86</v>
      </c>
      <c r="C815" s="2">
        <f t="shared" si="12"/>
        <v>3.2977304242305791E-3</v>
      </c>
    </row>
    <row r="816" spans="1:3" x14ac:dyDescent="0.2">
      <c r="A816" s="1">
        <v>44882</v>
      </c>
      <c r="B816">
        <v>69.63</v>
      </c>
      <c r="C816" s="2">
        <f t="shared" si="12"/>
        <v>-4.4422226807744134E-3</v>
      </c>
    </row>
    <row r="817" spans="1:3" x14ac:dyDescent="0.2">
      <c r="A817" s="1">
        <v>44881</v>
      </c>
      <c r="B817">
        <v>69.94</v>
      </c>
      <c r="C817" s="2">
        <f t="shared" si="12"/>
        <v>-1.0100377495306736E-2</v>
      </c>
    </row>
    <row r="818" spans="1:3" x14ac:dyDescent="0.2">
      <c r="A818" s="1">
        <v>44880</v>
      </c>
      <c r="B818">
        <v>70.650000000000006</v>
      </c>
      <c r="C818" s="2">
        <f t="shared" si="12"/>
        <v>1.7131039930183774E-2</v>
      </c>
    </row>
    <row r="819" spans="1:3" x14ac:dyDescent="0.2">
      <c r="A819" s="1">
        <v>44879</v>
      </c>
      <c r="B819">
        <v>69.45</v>
      </c>
      <c r="C819" s="2">
        <f t="shared" si="12"/>
        <v>-4.3187217255137789E-4</v>
      </c>
    </row>
    <row r="820" spans="1:3" x14ac:dyDescent="0.2">
      <c r="A820" s="1">
        <v>44876</v>
      </c>
      <c r="B820">
        <v>69.48</v>
      </c>
      <c r="C820" s="2">
        <f t="shared" si="12"/>
        <v>-1.1732857443714937E-2</v>
      </c>
    </row>
    <row r="821" spans="1:3" x14ac:dyDescent="0.2">
      <c r="A821" s="1">
        <v>44875</v>
      </c>
      <c r="B821">
        <v>70.3</v>
      </c>
      <c r="C821" s="2">
        <f t="shared" si="12"/>
        <v>4.3462984793997309E-2</v>
      </c>
    </row>
    <row r="822" spans="1:3" x14ac:dyDescent="0.2">
      <c r="A822" s="1">
        <v>44874</v>
      </c>
      <c r="B822">
        <v>67.31</v>
      </c>
      <c r="C822" s="2">
        <f t="shared" si="12"/>
        <v>-1.4015129455939244E-2</v>
      </c>
    </row>
    <row r="823" spans="1:3" x14ac:dyDescent="0.2">
      <c r="A823" s="1">
        <v>44873</v>
      </c>
      <c r="B823">
        <v>68.260000000000005</v>
      </c>
      <c r="C823" s="2">
        <f t="shared" si="12"/>
        <v>1.4650941349200151E-4</v>
      </c>
    </row>
    <row r="824" spans="1:3" x14ac:dyDescent="0.2">
      <c r="A824" s="1">
        <v>44872</v>
      </c>
      <c r="B824">
        <v>68.25</v>
      </c>
      <c r="C824" s="2">
        <f t="shared" si="12"/>
        <v>3.6697288889624017E-3</v>
      </c>
    </row>
    <row r="825" spans="1:3" x14ac:dyDescent="0.2">
      <c r="A825" s="1">
        <v>44869</v>
      </c>
      <c r="B825">
        <v>68</v>
      </c>
      <c r="C825" s="2">
        <f t="shared" si="12"/>
        <v>1.3244060504066493E-3</v>
      </c>
    </row>
    <row r="826" spans="1:3" x14ac:dyDescent="0.2">
      <c r="A826" s="1">
        <v>44868</v>
      </c>
      <c r="B826">
        <v>67.91</v>
      </c>
      <c r="C826" s="2">
        <f t="shared" si="12"/>
        <v>-5.8884147145280691E-4</v>
      </c>
    </row>
    <row r="827" spans="1:3" x14ac:dyDescent="0.2">
      <c r="A827" s="1">
        <v>44867</v>
      </c>
      <c r="B827">
        <v>67.95</v>
      </c>
      <c r="C827" s="2">
        <f t="shared" si="12"/>
        <v>-3.2861030143133366E-2</v>
      </c>
    </row>
    <row r="828" spans="1:3" x14ac:dyDescent="0.2">
      <c r="A828" s="1">
        <v>44866</v>
      </c>
      <c r="B828">
        <v>70.22</v>
      </c>
      <c r="C828" s="2">
        <f t="shared" si="12"/>
        <v>9.1560010164902714E-3</v>
      </c>
    </row>
    <row r="829" spans="1:3" x14ac:dyDescent="0.2">
      <c r="A829" s="1">
        <v>44865</v>
      </c>
      <c r="B829">
        <v>69.58</v>
      </c>
      <c r="C829" s="2">
        <f t="shared" si="12"/>
        <v>2.4462203723037714E-3</v>
      </c>
    </row>
    <row r="830" spans="1:3" x14ac:dyDescent="0.2">
      <c r="A830" s="1">
        <v>44862</v>
      </c>
      <c r="B830">
        <v>69.41</v>
      </c>
      <c r="C830" s="2">
        <f t="shared" si="12"/>
        <v>3.5636881985433633E-2</v>
      </c>
    </row>
    <row r="831" spans="1:3" x14ac:dyDescent="0.2">
      <c r="A831" s="1">
        <v>44861</v>
      </c>
      <c r="B831">
        <v>66.98</v>
      </c>
      <c r="C831" s="2">
        <f t="shared" si="12"/>
        <v>2.5861554718932686E-2</v>
      </c>
    </row>
    <row r="832" spans="1:3" x14ac:dyDescent="0.2">
      <c r="A832" s="1">
        <v>44860</v>
      </c>
      <c r="B832">
        <v>65.27</v>
      </c>
      <c r="C832" s="2">
        <f t="shared" si="12"/>
        <v>3.0688991402334892E-3</v>
      </c>
    </row>
    <row r="833" spans="1:3" x14ac:dyDescent="0.2">
      <c r="A833" s="1">
        <v>44859</v>
      </c>
      <c r="B833">
        <v>65.069999999999993</v>
      </c>
      <c r="C833" s="2">
        <f t="shared" si="12"/>
        <v>2.0808204180689967E-2</v>
      </c>
    </row>
    <row r="834" spans="1:3" x14ac:dyDescent="0.2">
      <c r="A834" s="1">
        <v>44858</v>
      </c>
      <c r="B834">
        <v>63.73</v>
      </c>
      <c r="C834" s="2">
        <f t="shared" si="12"/>
        <v>1.406359593878231E-2</v>
      </c>
    </row>
    <row r="835" spans="1:3" x14ac:dyDescent="0.2">
      <c r="A835" s="1">
        <v>44855</v>
      </c>
      <c r="B835">
        <v>62.84</v>
      </c>
      <c r="C835" s="2">
        <f t="shared" ref="C835:C898" si="13">+LN(B835/B836)</f>
        <v>2.9554028223659452E-2</v>
      </c>
    </row>
    <row r="836" spans="1:3" x14ac:dyDescent="0.2">
      <c r="A836" s="1">
        <v>44854</v>
      </c>
      <c r="B836">
        <v>61.01</v>
      </c>
      <c r="C836" s="2">
        <f t="shared" si="13"/>
        <v>-2.5248144846511122E-2</v>
      </c>
    </row>
    <row r="837" spans="1:3" x14ac:dyDescent="0.2">
      <c r="A837" s="1">
        <v>44853</v>
      </c>
      <c r="B837">
        <v>62.57</v>
      </c>
      <c r="C837" s="2">
        <f t="shared" si="13"/>
        <v>-1.491144380461128E-2</v>
      </c>
    </row>
    <row r="838" spans="1:3" x14ac:dyDescent="0.2">
      <c r="A838" s="1">
        <v>44852</v>
      </c>
      <c r="B838">
        <v>63.51</v>
      </c>
      <c r="C838" s="2">
        <f t="shared" si="13"/>
        <v>1.5231136901963326E-2</v>
      </c>
    </row>
    <row r="839" spans="1:3" x14ac:dyDescent="0.2">
      <c r="A839" s="1">
        <v>44851</v>
      </c>
      <c r="B839">
        <v>62.55</v>
      </c>
      <c r="C839" s="2">
        <f t="shared" si="13"/>
        <v>4.0289229457040804E-2</v>
      </c>
    </row>
    <row r="840" spans="1:3" x14ac:dyDescent="0.2">
      <c r="A840" s="1">
        <v>44848</v>
      </c>
      <c r="B840">
        <v>60.08</v>
      </c>
      <c r="C840" s="2">
        <f t="shared" si="13"/>
        <v>-1.4704932463845447E-2</v>
      </c>
    </row>
    <row r="841" spans="1:3" x14ac:dyDescent="0.2">
      <c r="A841" s="1">
        <v>44847</v>
      </c>
      <c r="B841">
        <v>60.97</v>
      </c>
      <c r="C841" s="2">
        <f t="shared" si="13"/>
        <v>1.7037878031207692E-2</v>
      </c>
    </row>
    <row r="842" spans="1:3" x14ac:dyDescent="0.2">
      <c r="A842" s="1">
        <v>44846</v>
      </c>
      <c r="B842">
        <v>59.94</v>
      </c>
      <c r="C842" s="2">
        <f t="shared" si="13"/>
        <v>-1.2764367253825548E-2</v>
      </c>
    </row>
    <row r="843" spans="1:3" x14ac:dyDescent="0.2">
      <c r="A843" s="1">
        <v>44845</v>
      </c>
      <c r="B843">
        <v>60.71</v>
      </c>
      <c r="C843" s="2">
        <f t="shared" si="13"/>
        <v>1.8135360670738397E-3</v>
      </c>
    </row>
    <row r="844" spans="1:3" x14ac:dyDescent="0.2">
      <c r="A844" s="1">
        <v>44844</v>
      </c>
      <c r="B844">
        <v>60.6</v>
      </c>
      <c r="C844" s="2">
        <f t="shared" si="13"/>
        <v>-3.6237891739498438E-3</v>
      </c>
    </row>
    <row r="845" spans="1:3" x14ac:dyDescent="0.2">
      <c r="A845" s="1">
        <v>44841</v>
      </c>
      <c r="B845">
        <v>60.82</v>
      </c>
      <c r="C845" s="2">
        <f t="shared" si="13"/>
        <v>-2.6927823282211893E-2</v>
      </c>
    </row>
    <row r="846" spans="1:3" x14ac:dyDescent="0.2">
      <c r="A846" s="1">
        <v>44840</v>
      </c>
      <c r="B846">
        <v>62.48</v>
      </c>
      <c r="C846" s="2">
        <f t="shared" si="13"/>
        <v>-1.3038823618700039E-2</v>
      </c>
    </row>
    <row r="847" spans="1:3" x14ac:dyDescent="0.2">
      <c r="A847" s="1">
        <v>44839</v>
      </c>
      <c r="B847">
        <v>63.3</v>
      </c>
      <c r="C847" s="2">
        <f t="shared" si="13"/>
        <v>-2.051606495675303E-3</v>
      </c>
    </row>
    <row r="848" spans="1:3" x14ac:dyDescent="0.2">
      <c r="A848" s="1">
        <v>44838</v>
      </c>
      <c r="B848">
        <v>63.43</v>
      </c>
      <c r="C848" s="2">
        <f t="shared" si="13"/>
        <v>3.3667816007913423E-2</v>
      </c>
    </row>
    <row r="849" spans="1:3" x14ac:dyDescent="0.2">
      <c r="A849" s="1">
        <v>44837</v>
      </c>
      <c r="B849">
        <v>61.33</v>
      </c>
      <c r="C849" s="2">
        <f t="shared" si="13"/>
        <v>2.2758238164369081E-2</v>
      </c>
    </row>
    <row r="850" spans="1:3" x14ac:dyDescent="0.2">
      <c r="A850" s="1">
        <v>44834</v>
      </c>
      <c r="B850">
        <v>59.95</v>
      </c>
      <c r="C850" s="2">
        <f t="shared" si="13"/>
        <v>-5.1576522286318248E-3</v>
      </c>
    </row>
    <row r="851" spans="1:3" x14ac:dyDescent="0.2">
      <c r="A851" s="1">
        <v>44833</v>
      </c>
      <c r="B851">
        <v>60.26</v>
      </c>
      <c r="C851" s="2">
        <f t="shared" si="13"/>
        <v>-2.0368641110316991E-2</v>
      </c>
    </row>
    <row r="852" spans="1:3" x14ac:dyDescent="0.2">
      <c r="A852" s="1">
        <v>44832</v>
      </c>
      <c r="B852">
        <v>61.5</v>
      </c>
      <c r="C852" s="2">
        <f t="shared" si="13"/>
        <v>2.4359334800251126E-2</v>
      </c>
    </row>
    <row r="853" spans="1:3" x14ac:dyDescent="0.2">
      <c r="A853" s="1">
        <v>44831</v>
      </c>
      <c r="B853">
        <v>60.02</v>
      </c>
      <c r="C853" s="2">
        <f t="shared" si="13"/>
        <v>-1.5376015915059433E-2</v>
      </c>
    </row>
    <row r="854" spans="1:3" x14ac:dyDescent="0.2">
      <c r="A854" s="1">
        <v>44830</v>
      </c>
      <c r="B854">
        <v>60.95</v>
      </c>
      <c r="C854" s="2">
        <f t="shared" si="13"/>
        <v>-4.2567189356978686E-3</v>
      </c>
    </row>
    <row r="855" spans="1:3" x14ac:dyDescent="0.2">
      <c r="A855" s="1">
        <v>44827</v>
      </c>
      <c r="B855">
        <v>61.21</v>
      </c>
      <c r="C855" s="2">
        <f t="shared" si="13"/>
        <v>1.3078308223443706E-3</v>
      </c>
    </row>
    <row r="856" spans="1:3" x14ac:dyDescent="0.2">
      <c r="A856" s="1">
        <v>44826</v>
      </c>
      <c r="B856">
        <v>61.13</v>
      </c>
      <c r="C856" s="2">
        <f t="shared" si="13"/>
        <v>-1.8798155225420114E-2</v>
      </c>
    </row>
    <row r="857" spans="1:3" x14ac:dyDescent="0.2">
      <c r="A857" s="1">
        <v>44825</v>
      </c>
      <c r="B857">
        <v>62.29</v>
      </c>
      <c r="C857" s="2">
        <f t="shared" si="13"/>
        <v>-1.5926439521159807E-2</v>
      </c>
    </row>
    <row r="858" spans="1:3" x14ac:dyDescent="0.2">
      <c r="A858" s="1">
        <v>44824</v>
      </c>
      <c r="B858">
        <v>63.29</v>
      </c>
      <c r="C858" s="2">
        <f t="shared" si="13"/>
        <v>-4.7288864921025018E-3</v>
      </c>
    </row>
    <row r="859" spans="1:3" x14ac:dyDescent="0.2">
      <c r="A859" s="1">
        <v>44823</v>
      </c>
      <c r="B859">
        <v>63.59</v>
      </c>
      <c r="C859" s="2">
        <f t="shared" si="13"/>
        <v>2.580582830530042E-2</v>
      </c>
    </row>
    <row r="860" spans="1:3" x14ac:dyDescent="0.2">
      <c r="A860" s="1">
        <v>44820</v>
      </c>
      <c r="B860">
        <v>61.97</v>
      </c>
      <c r="C860" s="2">
        <f t="shared" si="13"/>
        <v>-3.3949961025149807E-2</v>
      </c>
    </row>
    <row r="861" spans="1:3" x14ac:dyDescent="0.2">
      <c r="A861" s="1">
        <v>44819</v>
      </c>
      <c r="B861">
        <v>64.11</v>
      </c>
      <c r="C861" s="2">
        <f t="shared" si="13"/>
        <v>-2.9592732444077598E-3</v>
      </c>
    </row>
    <row r="862" spans="1:3" x14ac:dyDescent="0.2">
      <c r="A862" s="1">
        <v>44818</v>
      </c>
      <c r="B862">
        <v>64.3</v>
      </c>
      <c r="C862" s="2">
        <f t="shared" si="13"/>
        <v>-6.3561178256009094E-3</v>
      </c>
    </row>
    <row r="863" spans="1:3" x14ac:dyDescent="0.2">
      <c r="A863" s="1">
        <v>44817</v>
      </c>
      <c r="B863">
        <v>64.709999999999994</v>
      </c>
      <c r="C863" s="2">
        <f t="shared" si="13"/>
        <v>-3.7459835114972202E-2</v>
      </c>
    </row>
    <row r="864" spans="1:3" x14ac:dyDescent="0.2">
      <c r="A864" s="1">
        <v>44816</v>
      </c>
      <c r="B864">
        <v>67.180000000000007</v>
      </c>
      <c r="C864" s="2">
        <f t="shared" si="13"/>
        <v>1.5148396160178611E-2</v>
      </c>
    </row>
    <row r="865" spans="1:3" x14ac:dyDescent="0.2">
      <c r="A865" s="1">
        <v>44813</v>
      </c>
      <c r="B865">
        <v>66.17</v>
      </c>
      <c r="C865" s="2">
        <f t="shared" si="13"/>
        <v>9.7191349725626649E-3</v>
      </c>
    </row>
    <row r="866" spans="1:3" x14ac:dyDescent="0.2">
      <c r="A866" s="1">
        <v>44812</v>
      </c>
      <c r="B866">
        <v>65.53</v>
      </c>
      <c r="C866" s="2">
        <f t="shared" si="13"/>
        <v>7.0444395445128467E-3</v>
      </c>
    </row>
    <row r="867" spans="1:3" x14ac:dyDescent="0.2">
      <c r="A867" s="1">
        <v>44811</v>
      </c>
      <c r="B867">
        <v>65.069999999999993</v>
      </c>
      <c r="C867" s="2">
        <f t="shared" si="13"/>
        <v>2.3951378228450806E-2</v>
      </c>
    </row>
    <row r="868" spans="1:3" x14ac:dyDescent="0.2">
      <c r="A868" s="1">
        <v>44810</v>
      </c>
      <c r="B868">
        <v>63.53</v>
      </c>
      <c r="C868" s="2">
        <f t="shared" si="13"/>
        <v>1.5752996326360864E-3</v>
      </c>
    </row>
    <row r="869" spans="1:3" x14ac:dyDescent="0.2">
      <c r="A869" s="1">
        <v>44806</v>
      </c>
      <c r="B869">
        <v>63.43</v>
      </c>
      <c r="C869" s="2">
        <f t="shared" si="13"/>
        <v>-8.946147713866091E-3</v>
      </c>
    </row>
    <row r="870" spans="1:3" x14ac:dyDescent="0.2">
      <c r="A870" s="1">
        <v>44805</v>
      </c>
      <c r="B870">
        <v>64</v>
      </c>
      <c r="C870" s="2">
        <f t="shared" si="13"/>
        <v>2.5031302181184748E-3</v>
      </c>
    </row>
    <row r="871" spans="1:3" x14ac:dyDescent="0.2">
      <c r="A871" s="1">
        <v>44804</v>
      </c>
      <c r="B871">
        <v>63.84</v>
      </c>
      <c r="C871" s="2">
        <f t="shared" si="13"/>
        <v>-8.7336799687546662E-3</v>
      </c>
    </row>
    <row r="872" spans="1:3" x14ac:dyDescent="0.2">
      <c r="A872" s="1">
        <v>44803</v>
      </c>
      <c r="B872">
        <v>64.400000000000006</v>
      </c>
      <c r="C872" s="2">
        <f t="shared" si="13"/>
        <v>-1.1118088583976936E-2</v>
      </c>
    </row>
    <row r="873" spans="1:3" x14ac:dyDescent="0.2">
      <c r="A873" s="1">
        <v>44802</v>
      </c>
      <c r="B873">
        <v>65.12</v>
      </c>
      <c r="C873" s="2">
        <f t="shared" si="13"/>
        <v>-9.0193992154915196E-3</v>
      </c>
    </row>
    <row r="874" spans="1:3" x14ac:dyDescent="0.2">
      <c r="A874" s="1">
        <v>44799</v>
      </c>
      <c r="B874">
        <v>65.709999999999994</v>
      </c>
      <c r="C874" s="2">
        <f t="shared" si="13"/>
        <v>-3.9536737337613731E-2</v>
      </c>
    </row>
    <row r="875" spans="1:3" x14ac:dyDescent="0.2">
      <c r="A875" s="1">
        <v>44798</v>
      </c>
      <c r="B875">
        <v>68.36</v>
      </c>
      <c r="C875" s="2">
        <f t="shared" si="13"/>
        <v>1.0440503630593097E-2</v>
      </c>
    </row>
    <row r="876" spans="1:3" x14ac:dyDescent="0.2">
      <c r="A876" s="1">
        <v>44797</v>
      </c>
      <c r="B876">
        <v>67.650000000000006</v>
      </c>
      <c r="C876" s="2">
        <f t="shared" si="13"/>
        <v>-8.8652488075677933E-4</v>
      </c>
    </row>
    <row r="877" spans="1:3" x14ac:dyDescent="0.2">
      <c r="A877" s="1">
        <v>44796</v>
      </c>
      <c r="B877">
        <v>67.709999999999994</v>
      </c>
      <c r="C877" s="2">
        <f t="shared" si="13"/>
        <v>-5.905802622563456E-4</v>
      </c>
    </row>
    <row r="878" spans="1:3" x14ac:dyDescent="0.2">
      <c r="A878" s="1">
        <v>44795</v>
      </c>
      <c r="B878">
        <v>67.75</v>
      </c>
      <c r="C878" s="2">
        <f t="shared" si="13"/>
        <v>-4.0638951938725631E-2</v>
      </c>
    </row>
    <row r="879" spans="1:3" x14ac:dyDescent="0.2">
      <c r="A879" s="1">
        <v>44792</v>
      </c>
      <c r="B879">
        <v>70.56</v>
      </c>
      <c r="C879" s="2">
        <f t="shared" si="13"/>
        <v>-3.1130632187813981E-3</v>
      </c>
    </row>
    <row r="880" spans="1:3" x14ac:dyDescent="0.2">
      <c r="A880" s="1">
        <v>44791</v>
      </c>
      <c r="B880">
        <v>70.78</v>
      </c>
      <c r="C880" s="2">
        <f t="shared" si="13"/>
        <v>-5.3543878803169785E-3</v>
      </c>
    </row>
    <row r="881" spans="1:3" x14ac:dyDescent="0.2">
      <c r="A881" s="1">
        <v>44790</v>
      </c>
      <c r="B881">
        <v>71.16</v>
      </c>
      <c r="C881" s="2">
        <f t="shared" si="13"/>
        <v>8.4352598843928021E-4</v>
      </c>
    </row>
    <row r="882" spans="1:3" x14ac:dyDescent="0.2">
      <c r="A882" s="1">
        <v>44789</v>
      </c>
      <c r="B882">
        <v>71.099999999999994</v>
      </c>
      <c r="C882" s="2">
        <f t="shared" si="13"/>
        <v>1.0320300830737393E-2</v>
      </c>
    </row>
    <row r="883" spans="1:3" x14ac:dyDescent="0.2">
      <c r="A883" s="1">
        <v>44788</v>
      </c>
      <c r="B883">
        <v>70.37</v>
      </c>
      <c r="C883" s="2">
        <f t="shared" si="13"/>
        <v>9.4232564801502577E-3</v>
      </c>
    </row>
    <row r="884" spans="1:3" x14ac:dyDescent="0.2">
      <c r="A884" s="1">
        <v>44785</v>
      </c>
      <c r="B884">
        <v>69.709999999999994</v>
      </c>
      <c r="C884" s="2">
        <f t="shared" si="13"/>
        <v>1.5468324318600476E-2</v>
      </c>
    </row>
    <row r="885" spans="1:3" x14ac:dyDescent="0.2">
      <c r="A885" s="1">
        <v>44784</v>
      </c>
      <c r="B885">
        <v>68.64</v>
      </c>
      <c r="C885" s="2">
        <f t="shared" si="13"/>
        <v>1.0203338834339009E-3</v>
      </c>
    </row>
    <row r="886" spans="1:3" x14ac:dyDescent="0.2">
      <c r="A886" s="1">
        <v>44783</v>
      </c>
      <c r="B886">
        <v>68.569999999999993</v>
      </c>
      <c r="C886" s="2">
        <f t="shared" si="13"/>
        <v>2.3162501905306995E-2</v>
      </c>
    </row>
    <row r="887" spans="1:3" x14ac:dyDescent="0.2">
      <c r="A887" s="1">
        <v>44782</v>
      </c>
      <c r="B887">
        <v>67</v>
      </c>
      <c r="C887" s="2">
        <f t="shared" si="13"/>
        <v>-1.1869575555383769E-2</v>
      </c>
    </row>
    <row r="888" spans="1:3" x14ac:dyDescent="0.2">
      <c r="A888" s="1">
        <v>44781</v>
      </c>
      <c r="B888">
        <v>67.8</v>
      </c>
      <c r="C888" s="2">
        <f t="shared" si="13"/>
        <v>3.694130540142098E-3</v>
      </c>
    </row>
    <row r="889" spans="1:3" x14ac:dyDescent="0.2">
      <c r="A889" s="1">
        <v>44778</v>
      </c>
      <c r="B889">
        <v>67.55</v>
      </c>
      <c r="C889" s="2">
        <f t="shared" si="13"/>
        <v>3.70782775552573E-3</v>
      </c>
    </row>
    <row r="890" spans="1:3" x14ac:dyDescent="0.2">
      <c r="A890" s="1">
        <v>44777</v>
      </c>
      <c r="B890">
        <v>67.3</v>
      </c>
      <c r="C890" s="2">
        <f t="shared" si="13"/>
        <v>1.7846524665352933E-3</v>
      </c>
    </row>
    <row r="891" spans="1:3" x14ac:dyDescent="0.2">
      <c r="A891" s="1">
        <v>44776</v>
      </c>
      <c r="B891">
        <v>67.180000000000007</v>
      </c>
      <c r="C891" s="2">
        <f t="shared" si="13"/>
        <v>1.0925799024892496E-2</v>
      </c>
    </row>
    <row r="892" spans="1:3" x14ac:dyDescent="0.2">
      <c r="A892" s="1">
        <v>44775</v>
      </c>
      <c r="B892">
        <v>66.45</v>
      </c>
      <c r="C892" s="2">
        <f t="shared" si="13"/>
        <v>-8.2428342317116699E-3</v>
      </c>
    </row>
    <row r="893" spans="1:3" x14ac:dyDescent="0.2">
      <c r="A893" s="1">
        <v>44774</v>
      </c>
      <c r="B893">
        <v>67</v>
      </c>
      <c r="C893" s="2">
        <f t="shared" si="13"/>
        <v>-2.3852128183739288E-3</v>
      </c>
    </row>
    <row r="894" spans="1:3" x14ac:dyDescent="0.2">
      <c r="A894" s="1">
        <v>44771</v>
      </c>
      <c r="B894">
        <v>67.16</v>
      </c>
      <c r="C894" s="2">
        <f t="shared" si="13"/>
        <v>2.2131125304958539E-2</v>
      </c>
    </row>
    <row r="895" spans="1:3" x14ac:dyDescent="0.2">
      <c r="A895" s="1">
        <v>44770</v>
      </c>
      <c r="B895">
        <v>65.69</v>
      </c>
      <c r="C895" s="2">
        <f t="shared" si="13"/>
        <v>2.8253519617745543E-2</v>
      </c>
    </row>
    <row r="896" spans="1:3" x14ac:dyDescent="0.2">
      <c r="A896" s="1">
        <v>44769</v>
      </c>
      <c r="B896">
        <v>63.86</v>
      </c>
      <c r="C896" s="2">
        <f t="shared" si="13"/>
        <v>1.8491242000758835E-2</v>
      </c>
    </row>
    <row r="897" spans="1:3" x14ac:dyDescent="0.2">
      <c r="A897" s="1">
        <v>44768</v>
      </c>
      <c r="B897">
        <v>62.69</v>
      </c>
      <c r="C897" s="2">
        <f t="shared" si="13"/>
        <v>9.7780694109138606E-3</v>
      </c>
    </row>
    <row r="898" spans="1:3" x14ac:dyDescent="0.2">
      <c r="A898" s="1">
        <v>44767</v>
      </c>
      <c r="B898">
        <v>62.08</v>
      </c>
      <c r="C898" s="2">
        <f t="shared" si="13"/>
        <v>4.5205114113182803E-3</v>
      </c>
    </row>
    <row r="899" spans="1:3" x14ac:dyDescent="0.2">
      <c r="A899" s="1">
        <v>44764</v>
      </c>
      <c r="B899">
        <v>61.8</v>
      </c>
      <c r="C899" s="2">
        <f t="shared" ref="C899:C962" si="14">+LN(B899/B900)</f>
        <v>-3.2310205814465318E-3</v>
      </c>
    </row>
    <row r="900" spans="1:3" x14ac:dyDescent="0.2">
      <c r="A900" s="1">
        <v>44763</v>
      </c>
      <c r="B900">
        <v>62</v>
      </c>
      <c r="C900" s="2">
        <f t="shared" si="14"/>
        <v>1.7244611487528635E-2</v>
      </c>
    </row>
    <row r="901" spans="1:3" x14ac:dyDescent="0.2">
      <c r="A901" s="1">
        <v>44762</v>
      </c>
      <c r="B901">
        <v>60.94</v>
      </c>
      <c r="C901" s="2">
        <f t="shared" si="14"/>
        <v>3.6166404701885148E-3</v>
      </c>
    </row>
    <row r="902" spans="1:3" x14ac:dyDescent="0.2">
      <c r="A902" s="1">
        <v>44761</v>
      </c>
      <c r="B902">
        <v>60.72</v>
      </c>
      <c r="C902" s="2">
        <f t="shared" si="14"/>
        <v>3.8443676521028848E-2</v>
      </c>
    </row>
    <row r="903" spans="1:3" x14ac:dyDescent="0.2">
      <c r="A903" s="1">
        <v>44760</v>
      </c>
      <c r="B903">
        <v>58.43</v>
      </c>
      <c r="C903" s="2">
        <f t="shared" si="14"/>
        <v>-6.3123983382355189E-3</v>
      </c>
    </row>
    <row r="904" spans="1:3" x14ac:dyDescent="0.2">
      <c r="A904" s="1">
        <v>44757</v>
      </c>
      <c r="B904">
        <v>58.8</v>
      </c>
      <c r="C904" s="2">
        <f t="shared" si="14"/>
        <v>1.5424470325631731E-2</v>
      </c>
    </row>
    <row r="905" spans="1:3" x14ac:dyDescent="0.2">
      <c r="A905" s="1">
        <v>44756</v>
      </c>
      <c r="B905">
        <v>57.9</v>
      </c>
      <c r="C905" s="2">
        <f t="shared" si="14"/>
        <v>-1.4573768445318783E-2</v>
      </c>
    </row>
    <row r="906" spans="1:3" x14ac:dyDescent="0.2">
      <c r="A906" s="1">
        <v>44755</v>
      </c>
      <c r="B906">
        <v>58.75</v>
      </c>
      <c r="C906" s="2">
        <f t="shared" si="14"/>
        <v>-3.9072503628617963E-3</v>
      </c>
    </row>
    <row r="907" spans="1:3" x14ac:dyDescent="0.2">
      <c r="A907" s="1">
        <v>44754</v>
      </c>
      <c r="B907">
        <v>58.98</v>
      </c>
      <c r="C907" s="2">
        <f t="shared" si="14"/>
        <v>-1.4977141550130487E-2</v>
      </c>
    </row>
    <row r="908" spans="1:3" x14ac:dyDescent="0.2">
      <c r="A908" s="1">
        <v>44753</v>
      </c>
      <c r="B908">
        <v>59.87</v>
      </c>
      <c r="C908" s="2">
        <f t="shared" si="14"/>
        <v>-5.496807377514807E-3</v>
      </c>
    </row>
    <row r="909" spans="1:3" x14ac:dyDescent="0.2">
      <c r="A909" s="1">
        <v>44750</v>
      </c>
      <c r="B909">
        <v>60.2</v>
      </c>
      <c r="C909" s="2">
        <f t="shared" si="14"/>
        <v>-1.8107490627390217E-2</v>
      </c>
    </row>
    <row r="910" spans="1:3" x14ac:dyDescent="0.2">
      <c r="A910" s="1">
        <v>44749</v>
      </c>
      <c r="B910">
        <v>61.3</v>
      </c>
      <c r="C910" s="2">
        <f t="shared" si="14"/>
        <v>1.9270957890688379E-2</v>
      </c>
    </row>
    <row r="911" spans="1:3" x14ac:dyDescent="0.2">
      <c r="A911" s="1">
        <v>44748</v>
      </c>
      <c r="B911">
        <v>60.13</v>
      </c>
      <c r="C911" s="2">
        <f t="shared" si="14"/>
        <v>-1.9936873192869724E-3</v>
      </c>
    </row>
    <row r="912" spans="1:3" x14ac:dyDescent="0.2">
      <c r="A912" s="1">
        <v>44747</v>
      </c>
      <c r="B912">
        <v>60.25</v>
      </c>
      <c r="C912" s="2">
        <f t="shared" si="14"/>
        <v>1.2526259819180256E-2</v>
      </c>
    </row>
    <row r="913" spans="1:3" x14ac:dyDescent="0.2">
      <c r="A913" s="1">
        <v>44743</v>
      </c>
      <c r="B913">
        <v>59.5</v>
      </c>
      <c r="C913" s="2">
        <f t="shared" si="14"/>
        <v>1.5137501839339858E-3</v>
      </c>
    </row>
    <row r="914" spans="1:3" x14ac:dyDescent="0.2">
      <c r="A914" s="1">
        <v>44742</v>
      </c>
      <c r="B914">
        <v>59.41</v>
      </c>
      <c r="C914" s="2">
        <f t="shared" si="14"/>
        <v>-6.0413004685128894E-3</v>
      </c>
    </row>
    <row r="915" spans="1:3" x14ac:dyDescent="0.2">
      <c r="A915" s="1">
        <v>44741</v>
      </c>
      <c r="B915">
        <v>59.77</v>
      </c>
      <c r="C915" s="2">
        <f t="shared" si="14"/>
        <v>1.8420837495605458E-3</v>
      </c>
    </row>
    <row r="916" spans="1:3" x14ac:dyDescent="0.2">
      <c r="A916" s="1">
        <v>44740</v>
      </c>
      <c r="B916">
        <v>59.66</v>
      </c>
      <c r="C916" s="2">
        <f t="shared" si="14"/>
        <v>-1.4477330816993457E-2</v>
      </c>
    </row>
    <row r="917" spans="1:3" x14ac:dyDescent="0.2">
      <c r="A917" s="1">
        <v>44739</v>
      </c>
      <c r="B917">
        <v>60.53</v>
      </c>
      <c r="C917" s="2">
        <f t="shared" si="14"/>
        <v>-4.7795723456227103E-3</v>
      </c>
    </row>
    <row r="918" spans="1:3" x14ac:dyDescent="0.2">
      <c r="A918" s="1">
        <v>44736</v>
      </c>
      <c r="B918">
        <v>60.82</v>
      </c>
      <c r="C918" s="2">
        <f t="shared" si="14"/>
        <v>3.5308612173124032E-2</v>
      </c>
    </row>
    <row r="919" spans="1:3" x14ac:dyDescent="0.2">
      <c r="A919" s="1">
        <v>44735</v>
      </c>
      <c r="B919">
        <v>58.71</v>
      </c>
      <c r="C919" s="2">
        <f t="shared" si="14"/>
        <v>9.7561749453646558E-3</v>
      </c>
    </row>
    <row r="920" spans="1:3" x14ac:dyDescent="0.2">
      <c r="A920" s="1">
        <v>44734</v>
      </c>
      <c r="B920">
        <v>58.14</v>
      </c>
      <c r="C920" s="2">
        <f t="shared" si="14"/>
        <v>2.4108845843104996E-3</v>
      </c>
    </row>
    <row r="921" spans="1:3" x14ac:dyDescent="0.2">
      <c r="A921" s="1">
        <v>44733</v>
      </c>
      <c r="B921">
        <v>58</v>
      </c>
      <c r="C921" s="2">
        <f t="shared" si="14"/>
        <v>1.5989217937783795E-2</v>
      </c>
    </row>
    <row r="922" spans="1:3" x14ac:dyDescent="0.2">
      <c r="A922" s="1">
        <v>44729</v>
      </c>
      <c r="B922">
        <v>57.08</v>
      </c>
      <c r="C922" s="2">
        <f t="shared" si="14"/>
        <v>2.8070193869840104E-3</v>
      </c>
    </row>
    <row r="923" spans="1:3" x14ac:dyDescent="0.2">
      <c r="A923" s="1">
        <v>44728</v>
      </c>
      <c r="B923">
        <v>56.92</v>
      </c>
      <c r="C923" s="2">
        <f t="shared" si="14"/>
        <v>-3.0792953612399216E-2</v>
      </c>
    </row>
    <row r="924" spans="1:3" x14ac:dyDescent="0.2">
      <c r="A924" s="1">
        <v>44727</v>
      </c>
      <c r="B924">
        <v>58.7</v>
      </c>
      <c r="C924" s="2">
        <f t="shared" si="14"/>
        <v>1.0962768237566908E-2</v>
      </c>
    </row>
    <row r="925" spans="1:3" x14ac:dyDescent="0.2">
      <c r="A925" s="1">
        <v>44726</v>
      </c>
      <c r="B925">
        <v>58.06</v>
      </c>
      <c r="C925" s="2">
        <f t="shared" si="14"/>
        <v>-1.0110616503000526E-2</v>
      </c>
    </row>
    <row r="926" spans="1:3" x14ac:dyDescent="0.2">
      <c r="A926" s="1">
        <v>44725</v>
      </c>
      <c r="B926">
        <v>58.65</v>
      </c>
      <c r="C926" s="2">
        <f t="shared" si="14"/>
        <v>-3.8630336278906413E-2</v>
      </c>
    </row>
    <row r="927" spans="1:3" x14ac:dyDescent="0.2">
      <c r="A927" s="1">
        <v>44722</v>
      </c>
      <c r="B927">
        <v>60.96</v>
      </c>
      <c r="C927" s="2">
        <f t="shared" si="14"/>
        <v>-2.8781291384141258E-2</v>
      </c>
    </row>
    <row r="928" spans="1:3" x14ac:dyDescent="0.2">
      <c r="A928" s="1">
        <v>44721</v>
      </c>
      <c r="B928">
        <v>62.74</v>
      </c>
      <c r="C928" s="2">
        <f t="shared" si="14"/>
        <v>-8.5701206968663169E-3</v>
      </c>
    </row>
    <row r="929" spans="1:3" x14ac:dyDescent="0.2">
      <c r="A929" s="1">
        <v>44720</v>
      </c>
      <c r="B929">
        <v>63.28</v>
      </c>
      <c r="C929" s="2">
        <f t="shared" si="14"/>
        <v>-1.1313759900273404E-2</v>
      </c>
    </row>
    <row r="930" spans="1:3" x14ac:dyDescent="0.2">
      <c r="A930" s="1">
        <v>44719</v>
      </c>
      <c r="B930">
        <v>64</v>
      </c>
      <c r="C930" s="2">
        <f t="shared" si="14"/>
        <v>4.5415472312749922E-3</v>
      </c>
    </row>
    <row r="931" spans="1:3" x14ac:dyDescent="0.2">
      <c r="A931" s="1">
        <v>44718</v>
      </c>
      <c r="B931">
        <v>63.71</v>
      </c>
      <c r="C931" s="2">
        <f t="shared" si="14"/>
        <v>-1.5694891345089908E-4</v>
      </c>
    </row>
    <row r="932" spans="1:3" x14ac:dyDescent="0.2">
      <c r="A932" s="1">
        <v>44715</v>
      </c>
      <c r="B932">
        <v>63.72</v>
      </c>
      <c r="C932" s="2">
        <f t="shared" si="14"/>
        <v>-7.81620361952012E-3</v>
      </c>
    </row>
    <row r="933" spans="1:3" x14ac:dyDescent="0.2">
      <c r="A933" s="1">
        <v>44714</v>
      </c>
      <c r="B933">
        <v>64.22</v>
      </c>
      <c r="C933" s="2">
        <f t="shared" si="14"/>
        <v>2.3793764106438471E-2</v>
      </c>
    </row>
    <row r="934" spans="1:3" x14ac:dyDescent="0.2">
      <c r="A934" s="1">
        <v>44713</v>
      </c>
      <c r="B934">
        <v>62.71</v>
      </c>
      <c r="C934" s="2">
        <f t="shared" si="14"/>
        <v>-9.3644045952009369E-3</v>
      </c>
    </row>
    <row r="935" spans="1:3" x14ac:dyDescent="0.2">
      <c r="A935" s="1">
        <v>44712</v>
      </c>
      <c r="B935">
        <v>63.3</v>
      </c>
      <c r="C935" s="2">
        <f t="shared" si="14"/>
        <v>-3.4694877887499163E-3</v>
      </c>
    </row>
    <row r="936" spans="1:3" x14ac:dyDescent="0.2">
      <c r="A936" s="1">
        <v>44708</v>
      </c>
      <c r="B936">
        <v>63.52</v>
      </c>
      <c r="C936" s="2">
        <f t="shared" si="14"/>
        <v>1.7308887865227593E-2</v>
      </c>
    </row>
    <row r="937" spans="1:3" x14ac:dyDescent="0.2">
      <c r="A937" s="1">
        <v>44707</v>
      </c>
      <c r="B937">
        <v>62.43</v>
      </c>
      <c r="C937" s="2">
        <f t="shared" si="14"/>
        <v>1.8429231576012364E-2</v>
      </c>
    </row>
    <row r="938" spans="1:3" x14ac:dyDescent="0.2">
      <c r="A938" s="1">
        <v>44706</v>
      </c>
      <c r="B938">
        <v>61.29</v>
      </c>
      <c r="C938" s="2">
        <f t="shared" si="14"/>
        <v>4.2511509412366802E-3</v>
      </c>
    </row>
    <row r="939" spans="1:3" x14ac:dyDescent="0.2">
      <c r="A939" s="1">
        <v>44705</v>
      </c>
      <c r="B939">
        <v>61.03</v>
      </c>
      <c r="C939" s="2">
        <f t="shared" si="14"/>
        <v>3.4468643071850105E-3</v>
      </c>
    </row>
    <row r="940" spans="1:3" x14ac:dyDescent="0.2">
      <c r="A940" s="1">
        <v>44704</v>
      </c>
      <c r="B940">
        <v>60.82</v>
      </c>
      <c r="C940" s="2">
        <f t="shared" si="14"/>
        <v>4.7795723456226244E-3</v>
      </c>
    </row>
    <row r="941" spans="1:3" x14ac:dyDescent="0.2">
      <c r="A941" s="1">
        <v>44701</v>
      </c>
      <c r="B941">
        <v>60.53</v>
      </c>
      <c r="C941" s="2">
        <f t="shared" si="14"/>
        <v>6.1314302620115073E-3</v>
      </c>
    </row>
    <row r="942" spans="1:3" x14ac:dyDescent="0.2">
      <c r="A942" s="1">
        <v>44700</v>
      </c>
      <c r="B942">
        <v>60.16</v>
      </c>
      <c r="C942" s="2">
        <f t="shared" si="14"/>
        <v>1.2545117273934349E-2</v>
      </c>
    </row>
    <row r="943" spans="1:3" x14ac:dyDescent="0.2">
      <c r="A943" s="1">
        <v>44699</v>
      </c>
      <c r="B943">
        <v>59.41</v>
      </c>
      <c r="C943" s="2">
        <f t="shared" si="14"/>
        <v>-3.5062298384748919E-2</v>
      </c>
    </row>
    <row r="944" spans="1:3" x14ac:dyDescent="0.2">
      <c r="A944" s="1">
        <v>44698</v>
      </c>
      <c r="B944">
        <v>61.53</v>
      </c>
      <c r="C944" s="2">
        <f t="shared" si="14"/>
        <v>1.8866936473706273E-2</v>
      </c>
    </row>
    <row r="945" spans="1:3" x14ac:dyDescent="0.2">
      <c r="A945" s="1">
        <v>44697</v>
      </c>
      <c r="B945">
        <v>60.38</v>
      </c>
      <c r="C945" s="2">
        <f t="shared" si="14"/>
        <v>-6.931864693428531E-3</v>
      </c>
    </row>
    <row r="946" spans="1:3" x14ac:dyDescent="0.2">
      <c r="A946" s="1">
        <v>44694</v>
      </c>
      <c r="B946">
        <v>60.8</v>
      </c>
      <c r="C946" s="2">
        <f t="shared" si="14"/>
        <v>1.2578782206860185E-2</v>
      </c>
    </row>
    <row r="947" spans="1:3" x14ac:dyDescent="0.2">
      <c r="A947" s="1">
        <v>44693</v>
      </c>
      <c r="B947">
        <v>60.04</v>
      </c>
      <c r="C947" s="2">
        <f t="shared" si="14"/>
        <v>1.967938372509135E-2</v>
      </c>
    </row>
    <row r="948" spans="1:3" x14ac:dyDescent="0.2">
      <c r="A948" s="1">
        <v>44692</v>
      </c>
      <c r="B948">
        <v>58.87</v>
      </c>
      <c r="C948" s="2">
        <f t="shared" si="14"/>
        <v>-1.3832879140388471E-2</v>
      </c>
    </row>
    <row r="949" spans="1:3" x14ac:dyDescent="0.2">
      <c r="A949" s="1">
        <v>44691</v>
      </c>
      <c r="B949">
        <v>59.69</v>
      </c>
      <c r="C949" s="2">
        <f t="shared" si="14"/>
        <v>-2.4819275293890667E-2</v>
      </c>
    </row>
    <row r="950" spans="1:3" x14ac:dyDescent="0.2">
      <c r="A950" s="1">
        <v>44690</v>
      </c>
      <c r="B950">
        <v>61.19</v>
      </c>
      <c r="C950" s="2">
        <f t="shared" si="14"/>
        <v>4.7506027585977988E-3</v>
      </c>
    </row>
    <row r="951" spans="1:3" x14ac:dyDescent="0.2">
      <c r="A951" s="1">
        <v>44687</v>
      </c>
      <c r="B951">
        <v>60.9</v>
      </c>
      <c r="C951" s="2">
        <f t="shared" si="14"/>
        <v>-1.6287004974699051E-2</v>
      </c>
    </row>
    <row r="952" spans="1:3" x14ac:dyDescent="0.2">
      <c r="A952" s="1">
        <v>44686</v>
      </c>
      <c r="B952">
        <v>61.9</v>
      </c>
      <c r="C952" s="2">
        <f t="shared" si="14"/>
        <v>-4.2849017879523728E-2</v>
      </c>
    </row>
    <row r="953" spans="1:3" x14ac:dyDescent="0.2">
      <c r="A953" s="1">
        <v>44685</v>
      </c>
      <c r="B953">
        <v>64.61</v>
      </c>
      <c r="C953" s="2">
        <f t="shared" si="14"/>
        <v>3.2243101333018512E-2</v>
      </c>
    </row>
    <row r="954" spans="1:3" x14ac:dyDescent="0.2">
      <c r="A954" s="1">
        <v>44684</v>
      </c>
      <c r="B954">
        <v>62.56</v>
      </c>
      <c r="C954" s="2">
        <f t="shared" si="14"/>
        <v>-8.753139359092452E-3</v>
      </c>
    </row>
    <row r="955" spans="1:3" x14ac:dyDescent="0.2">
      <c r="A955" s="1">
        <v>44683</v>
      </c>
      <c r="B955">
        <v>63.11</v>
      </c>
      <c r="C955" s="2">
        <f t="shared" si="14"/>
        <v>1.7422321923845189E-2</v>
      </c>
    </row>
    <row r="956" spans="1:3" x14ac:dyDescent="0.2">
      <c r="A956" s="1">
        <v>44680</v>
      </c>
      <c r="B956">
        <v>62.02</v>
      </c>
      <c r="C956" s="2">
        <f t="shared" si="14"/>
        <v>-3.4234722009408025E-2</v>
      </c>
    </row>
    <row r="957" spans="1:3" x14ac:dyDescent="0.2">
      <c r="A957" s="1">
        <v>44679</v>
      </c>
      <c r="B957">
        <v>64.180000000000007</v>
      </c>
      <c r="C957" s="2">
        <f t="shared" si="14"/>
        <v>-1.9900386771289035E-2</v>
      </c>
    </row>
    <row r="958" spans="1:3" x14ac:dyDescent="0.2">
      <c r="A958" s="1">
        <v>44678</v>
      </c>
      <c r="B958">
        <v>65.47</v>
      </c>
      <c r="C958" s="2">
        <f t="shared" si="14"/>
        <v>9.6693255855245519E-3</v>
      </c>
    </row>
    <row r="959" spans="1:3" x14ac:dyDescent="0.2">
      <c r="A959" s="1">
        <v>44677</v>
      </c>
      <c r="B959">
        <v>64.84</v>
      </c>
      <c r="C959" s="2">
        <f t="shared" si="14"/>
        <v>-1.9699804819095574E-2</v>
      </c>
    </row>
    <row r="960" spans="1:3" x14ac:dyDescent="0.2">
      <c r="A960" s="1">
        <v>44676</v>
      </c>
      <c r="B960">
        <v>66.13</v>
      </c>
      <c r="C960" s="2">
        <f t="shared" si="14"/>
        <v>2.5740039951728426E-3</v>
      </c>
    </row>
    <row r="961" spans="1:3" x14ac:dyDescent="0.2">
      <c r="A961" s="1">
        <v>44673</v>
      </c>
      <c r="B961">
        <v>65.959999999999994</v>
      </c>
      <c r="C961" s="2">
        <f t="shared" si="14"/>
        <v>-2.7218668487507248E-2</v>
      </c>
    </row>
    <row r="962" spans="1:3" x14ac:dyDescent="0.2">
      <c r="A962" s="1">
        <v>44672</v>
      </c>
      <c r="B962">
        <v>67.78</v>
      </c>
      <c r="C962" s="2">
        <f t="shared" si="14"/>
        <v>0</v>
      </c>
    </row>
    <row r="963" spans="1:3" x14ac:dyDescent="0.2">
      <c r="A963" s="1">
        <v>44671</v>
      </c>
      <c r="B963">
        <v>67.78</v>
      </c>
      <c r="C963" s="2">
        <f t="shared" ref="C963:C1026" si="15">+LN(B963/B964)</f>
        <v>9.0404469001320407E-3</v>
      </c>
    </row>
    <row r="964" spans="1:3" x14ac:dyDescent="0.2">
      <c r="A964" s="1">
        <v>44670</v>
      </c>
      <c r="B964">
        <v>67.17</v>
      </c>
      <c r="C964" s="2">
        <f t="shared" si="15"/>
        <v>2.9307233470768506E-2</v>
      </c>
    </row>
    <row r="965" spans="1:3" x14ac:dyDescent="0.2">
      <c r="A965" s="1">
        <v>44669</v>
      </c>
      <c r="B965">
        <v>65.23</v>
      </c>
      <c r="C965" s="2">
        <f t="shared" si="15"/>
        <v>1.5331544683164135E-4</v>
      </c>
    </row>
    <row r="966" spans="1:3" x14ac:dyDescent="0.2">
      <c r="A966" s="1">
        <v>44665</v>
      </c>
      <c r="B966">
        <v>65.22</v>
      </c>
      <c r="C966" s="2">
        <f t="shared" si="15"/>
        <v>-2.7970679750472748E-2</v>
      </c>
    </row>
    <row r="967" spans="1:3" x14ac:dyDescent="0.2">
      <c r="A967" s="1">
        <v>44664</v>
      </c>
      <c r="B967">
        <v>67.069999999999993</v>
      </c>
      <c r="C967" s="2">
        <f t="shared" si="15"/>
        <v>5.8317922290523939E-3</v>
      </c>
    </row>
    <row r="968" spans="1:3" x14ac:dyDescent="0.2">
      <c r="A968" s="1">
        <v>44663</v>
      </c>
      <c r="B968">
        <v>66.680000000000007</v>
      </c>
      <c r="C968" s="2">
        <f t="shared" si="15"/>
        <v>-1.2666885704157209E-2</v>
      </c>
    </row>
    <row r="969" spans="1:3" x14ac:dyDescent="0.2">
      <c r="A969" s="1">
        <v>44662</v>
      </c>
      <c r="B969">
        <v>67.53</v>
      </c>
      <c r="C969" s="2">
        <f t="shared" si="15"/>
        <v>-1.0019238079877306E-2</v>
      </c>
    </row>
    <row r="970" spans="1:3" x14ac:dyDescent="0.2">
      <c r="A970" s="1">
        <v>44659</v>
      </c>
      <c r="B970">
        <v>68.209999999999994</v>
      </c>
      <c r="C970" s="2">
        <f t="shared" si="15"/>
        <v>-6.4299505473522115E-3</v>
      </c>
    </row>
    <row r="971" spans="1:3" x14ac:dyDescent="0.2">
      <c r="A971" s="1">
        <v>44658</v>
      </c>
      <c r="B971">
        <v>68.650000000000006</v>
      </c>
      <c r="C971" s="2">
        <f t="shared" si="15"/>
        <v>-2.9129041860494491E-4</v>
      </c>
    </row>
    <row r="972" spans="1:3" x14ac:dyDescent="0.2">
      <c r="A972" s="1">
        <v>44657</v>
      </c>
      <c r="B972">
        <v>68.67</v>
      </c>
      <c r="C972" s="2">
        <f t="shared" si="15"/>
        <v>-1.8611227517816149E-2</v>
      </c>
    </row>
    <row r="973" spans="1:3" x14ac:dyDescent="0.2">
      <c r="A973" s="1">
        <v>44656</v>
      </c>
      <c r="B973">
        <v>69.959999999999994</v>
      </c>
      <c r="C973" s="2">
        <f t="shared" si="15"/>
        <v>-1.2358989615129963E-2</v>
      </c>
    </row>
    <row r="974" spans="1:3" x14ac:dyDescent="0.2">
      <c r="A974" s="1">
        <v>44655</v>
      </c>
      <c r="B974">
        <v>70.83</v>
      </c>
      <c r="C974" s="2">
        <f t="shared" si="15"/>
        <v>1.2714559881966659E-3</v>
      </c>
    </row>
    <row r="975" spans="1:3" x14ac:dyDescent="0.2">
      <c r="A975" s="1">
        <v>44652</v>
      </c>
      <c r="B975">
        <v>70.739999999999995</v>
      </c>
      <c r="C975" s="2">
        <f t="shared" si="15"/>
        <v>1.4523963125514225E-2</v>
      </c>
    </row>
    <row r="976" spans="1:3" x14ac:dyDescent="0.2">
      <c r="A976" s="1">
        <v>44651</v>
      </c>
      <c r="B976">
        <v>69.72</v>
      </c>
      <c r="C976" s="2">
        <f t="shared" si="15"/>
        <v>-1.7770031885071324E-2</v>
      </c>
    </row>
    <row r="977" spans="1:3" x14ac:dyDescent="0.2">
      <c r="A977" s="1">
        <v>44650</v>
      </c>
      <c r="B977">
        <v>70.97</v>
      </c>
      <c r="C977" s="2">
        <f t="shared" si="15"/>
        <v>-1.0791219567244921E-2</v>
      </c>
    </row>
    <row r="978" spans="1:3" x14ac:dyDescent="0.2">
      <c r="A978" s="1">
        <v>44649</v>
      </c>
      <c r="B978">
        <v>71.739999999999995</v>
      </c>
      <c r="C978" s="2">
        <f t="shared" si="15"/>
        <v>2.8704692605829245E-2</v>
      </c>
    </row>
    <row r="979" spans="1:3" x14ac:dyDescent="0.2">
      <c r="A979" s="1">
        <v>44648</v>
      </c>
      <c r="B979">
        <v>69.709999999999994</v>
      </c>
      <c r="C979" s="2">
        <f t="shared" si="15"/>
        <v>5.6103146509019243E-3</v>
      </c>
    </row>
    <row r="980" spans="1:3" x14ac:dyDescent="0.2">
      <c r="A980" s="1">
        <v>44645</v>
      </c>
      <c r="B980">
        <v>69.319999999999993</v>
      </c>
      <c r="C980" s="2">
        <f t="shared" si="15"/>
        <v>7.0937684371323506E-3</v>
      </c>
    </row>
    <row r="981" spans="1:3" x14ac:dyDescent="0.2">
      <c r="A981" s="1">
        <v>44644</v>
      </c>
      <c r="B981">
        <v>68.83</v>
      </c>
      <c r="C981" s="2">
        <f t="shared" si="15"/>
        <v>-1.886929945164728E-3</v>
      </c>
    </row>
    <row r="982" spans="1:3" x14ac:dyDescent="0.2">
      <c r="A982" s="1">
        <v>44643</v>
      </c>
      <c r="B982">
        <v>68.959999999999994</v>
      </c>
      <c r="C982" s="2">
        <f t="shared" si="15"/>
        <v>-2.5484557421896963E-2</v>
      </c>
    </row>
    <row r="983" spans="1:3" x14ac:dyDescent="0.2">
      <c r="A983" s="1">
        <v>44642</v>
      </c>
      <c r="B983">
        <v>70.739999999999995</v>
      </c>
      <c r="C983" s="2">
        <f t="shared" si="15"/>
        <v>-8.7263044944194453E-3</v>
      </c>
    </row>
    <row r="984" spans="1:3" x14ac:dyDescent="0.2">
      <c r="A984" s="1">
        <v>44641</v>
      </c>
      <c r="B984">
        <v>71.36</v>
      </c>
      <c r="C984" s="2">
        <f t="shared" si="15"/>
        <v>3.9314849853033717E-3</v>
      </c>
    </row>
    <row r="985" spans="1:3" x14ac:dyDescent="0.2">
      <c r="A985" s="1">
        <v>44638</v>
      </c>
      <c r="B985">
        <v>71.08</v>
      </c>
      <c r="C985" s="2">
        <f t="shared" si="15"/>
        <v>8.7608303733590753E-3</v>
      </c>
    </row>
    <row r="986" spans="1:3" x14ac:dyDescent="0.2">
      <c r="A986" s="1">
        <v>44637</v>
      </c>
      <c r="B986">
        <v>70.459999999999994</v>
      </c>
      <c r="C986" s="2">
        <f t="shared" si="15"/>
        <v>3.5544218839340296E-3</v>
      </c>
    </row>
    <row r="987" spans="1:3" x14ac:dyDescent="0.2">
      <c r="A987" s="1">
        <v>44636</v>
      </c>
      <c r="B987">
        <v>70.209999999999994</v>
      </c>
      <c r="C987" s="2">
        <f t="shared" si="15"/>
        <v>1.7819123585957601E-2</v>
      </c>
    </row>
    <row r="988" spans="1:3" x14ac:dyDescent="0.2">
      <c r="A988" s="1">
        <v>44635</v>
      </c>
      <c r="B988">
        <v>68.97</v>
      </c>
      <c r="C988" s="2">
        <f t="shared" si="15"/>
        <v>2.213679780969573E-2</v>
      </c>
    </row>
    <row r="989" spans="1:3" x14ac:dyDescent="0.2">
      <c r="A989" s="1">
        <v>44634</v>
      </c>
      <c r="B989">
        <v>67.459999999999994</v>
      </c>
      <c r="C989" s="2">
        <f t="shared" si="15"/>
        <v>1.7804159005755844E-3</v>
      </c>
    </row>
    <row r="990" spans="1:3" x14ac:dyDescent="0.2">
      <c r="A990" s="1">
        <v>44631</v>
      </c>
      <c r="B990">
        <v>67.34</v>
      </c>
      <c r="C990" s="2">
        <f t="shared" si="15"/>
        <v>-1.8975343187614718E-2</v>
      </c>
    </row>
    <row r="991" spans="1:3" x14ac:dyDescent="0.2">
      <c r="A991" s="1">
        <v>44630</v>
      </c>
      <c r="B991">
        <v>68.63</v>
      </c>
      <c r="C991" s="2">
        <f t="shared" si="15"/>
        <v>-1.5470560845935045E-2</v>
      </c>
    </row>
    <row r="992" spans="1:3" x14ac:dyDescent="0.2">
      <c r="A992" s="1">
        <v>44629</v>
      </c>
      <c r="B992">
        <v>69.7</v>
      </c>
      <c r="C992" s="2">
        <f t="shared" si="15"/>
        <v>3.3258607960563548E-2</v>
      </c>
    </row>
    <row r="993" spans="1:3" x14ac:dyDescent="0.2">
      <c r="A993" s="1">
        <v>44628</v>
      </c>
      <c r="B993">
        <v>67.42</v>
      </c>
      <c r="C993" s="2">
        <f t="shared" si="15"/>
        <v>-1.0916172715145544E-2</v>
      </c>
    </row>
    <row r="994" spans="1:3" x14ac:dyDescent="0.2">
      <c r="A994" s="1">
        <v>44627</v>
      </c>
      <c r="B994">
        <v>68.16</v>
      </c>
      <c r="C994" s="2">
        <f t="shared" si="15"/>
        <v>-3.5738673774644354E-2</v>
      </c>
    </row>
    <row r="995" spans="1:3" x14ac:dyDescent="0.2">
      <c r="A995" s="1">
        <v>44624</v>
      </c>
      <c r="B995">
        <v>70.64</v>
      </c>
      <c r="C995" s="2">
        <f t="shared" si="15"/>
        <v>-1.5591298344025882E-2</v>
      </c>
    </row>
    <row r="996" spans="1:3" x14ac:dyDescent="0.2">
      <c r="A996" s="1">
        <v>44623</v>
      </c>
      <c r="B996">
        <v>71.75</v>
      </c>
      <c r="C996" s="2">
        <f t="shared" si="15"/>
        <v>0</v>
      </c>
    </row>
    <row r="997" spans="1:3" x14ac:dyDescent="0.2">
      <c r="A997" s="1">
        <v>44622</v>
      </c>
      <c r="B997">
        <v>71.75</v>
      </c>
      <c r="C997" s="2">
        <f t="shared" si="15"/>
        <v>1.3187620976047785E-2</v>
      </c>
    </row>
    <row r="998" spans="1:3" x14ac:dyDescent="0.2">
      <c r="A998" s="1">
        <v>44621</v>
      </c>
      <c r="B998">
        <v>70.81</v>
      </c>
      <c r="C998" s="2">
        <f t="shared" si="15"/>
        <v>-1.7915104752804646E-2</v>
      </c>
    </row>
    <row r="999" spans="1:3" x14ac:dyDescent="0.2">
      <c r="A999" s="1">
        <v>44620</v>
      </c>
      <c r="B999">
        <v>72.09</v>
      </c>
      <c r="C999" s="2">
        <f t="shared" si="15"/>
        <v>-5.5470809909396188E-4</v>
      </c>
    </row>
    <row r="1000" spans="1:3" x14ac:dyDescent="0.2">
      <c r="A1000" s="1">
        <v>44617</v>
      </c>
      <c r="B1000">
        <v>72.13</v>
      </c>
      <c r="C1000" s="2">
        <f t="shared" si="15"/>
        <v>2.0590404584582181E-2</v>
      </c>
    </row>
    <row r="1001" spans="1:3" x14ac:dyDescent="0.2">
      <c r="A1001" s="1">
        <v>44616</v>
      </c>
      <c r="B1001">
        <v>70.66</v>
      </c>
      <c r="C1001" s="2">
        <f t="shared" si="15"/>
        <v>1.0527910583719064E-2</v>
      </c>
    </row>
    <row r="1002" spans="1:3" x14ac:dyDescent="0.2">
      <c r="A1002" s="1">
        <v>44615</v>
      </c>
      <c r="B1002">
        <v>69.92</v>
      </c>
      <c r="C1002" s="2">
        <f t="shared" si="15"/>
        <v>-1.6735605461915087E-2</v>
      </c>
    </row>
    <row r="1003" spans="1:3" x14ac:dyDescent="0.2">
      <c r="A1003" s="1">
        <v>44614</v>
      </c>
      <c r="B1003">
        <v>71.099999999999994</v>
      </c>
      <c r="C1003" s="2">
        <f t="shared" si="15"/>
        <v>-7.7058174649857975E-3</v>
      </c>
    </row>
    <row r="1004" spans="1:3" x14ac:dyDescent="0.2">
      <c r="A1004" s="1">
        <v>44610</v>
      </c>
      <c r="B1004">
        <v>71.650000000000006</v>
      </c>
      <c r="C1004" s="2">
        <f t="shared" si="15"/>
        <v>-1.11591586416212E-3</v>
      </c>
    </row>
    <row r="1005" spans="1:3" x14ac:dyDescent="0.2">
      <c r="A1005" s="1">
        <v>44609</v>
      </c>
      <c r="B1005">
        <v>71.73</v>
      </c>
      <c r="C1005" s="2">
        <f t="shared" si="15"/>
        <v>-7.7767368738627845E-3</v>
      </c>
    </row>
    <row r="1006" spans="1:3" x14ac:dyDescent="0.2">
      <c r="A1006" s="1">
        <v>44608</v>
      </c>
      <c r="B1006">
        <v>72.290000000000006</v>
      </c>
      <c r="C1006" s="2">
        <f t="shared" si="15"/>
        <v>8.8926527380249094E-3</v>
      </c>
    </row>
    <row r="1007" spans="1:3" x14ac:dyDescent="0.2">
      <c r="A1007" s="1">
        <v>44607</v>
      </c>
      <c r="B1007">
        <v>71.650000000000006</v>
      </c>
      <c r="C1007" s="2">
        <f t="shared" si="15"/>
        <v>1.3347581371653859E-2</v>
      </c>
    </row>
    <row r="1008" spans="1:3" x14ac:dyDescent="0.2">
      <c r="A1008" s="1">
        <v>44606</v>
      </c>
      <c r="B1008">
        <v>70.7</v>
      </c>
      <c r="C1008" s="2">
        <f t="shared" si="15"/>
        <v>-2.6838069643990328E-3</v>
      </c>
    </row>
    <row r="1009" spans="1:3" x14ac:dyDescent="0.2">
      <c r="A1009" s="1">
        <v>44603</v>
      </c>
      <c r="B1009">
        <v>70.89</v>
      </c>
      <c r="C1009" s="2">
        <f t="shared" si="15"/>
        <v>-1.6369725453020994E-2</v>
      </c>
    </row>
    <row r="1010" spans="1:3" x14ac:dyDescent="0.2">
      <c r="A1010" s="1">
        <v>44602</v>
      </c>
      <c r="B1010">
        <v>72.06</v>
      </c>
      <c r="C1010" s="2">
        <f t="shared" si="15"/>
        <v>-2.9938672362861792E-2</v>
      </c>
    </row>
    <row r="1011" spans="1:3" x14ac:dyDescent="0.2">
      <c r="A1011" s="1">
        <v>44601</v>
      </c>
      <c r="B1011">
        <v>74.25</v>
      </c>
      <c r="C1011" s="2">
        <f t="shared" si="15"/>
        <v>1.7389379905280344E-2</v>
      </c>
    </row>
    <row r="1012" spans="1:3" x14ac:dyDescent="0.2">
      <c r="A1012" s="1">
        <v>44600</v>
      </c>
      <c r="B1012">
        <v>72.97</v>
      </c>
      <c r="C1012" s="2">
        <f t="shared" si="15"/>
        <v>1.5606973783584518E-2</v>
      </c>
    </row>
    <row r="1013" spans="1:3" x14ac:dyDescent="0.2">
      <c r="A1013" s="1">
        <v>44599</v>
      </c>
      <c r="B1013">
        <v>71.84</v>
      </c>
      <c r="C1013" s="2">
        <f t="shared" si="15"/>
        <v>-5.5663792141397779E-4</v>
      </c>
    </row>
    <row r="1014" spans="1:3" x14ac:dyDescent="0.2">
      <c r="A1014" s="1">
        <v>44596</v>
      </c>
      <c r="B1014">
        <v>71.88</v>
      </c>
      <c r="C1014" s="2">
        <f t="shared" si="15"/>
        <v>-1.0655328100933788E-2</v>
      </c>
    </row>
    <row r="1015" spans="1:3" x14ac:dyDescent="0.2">
      <c r="A1015" s="1">
        <v>44595</v>
      </c>
      <c r="B1015">
        <v>72.650000000000006</v>
      </c>
      <c r="C1015" s="2">
        <f t="shared" si="15"/>
        <v>-1.6924110784264236E-2</v>
      </c>
    </row>
    <row r="1016" spans="1:3" x14ac:dyDescent="0.2">
      <c r="A1016" s="1">
        <v>44594</v>
      </c>
      <c r="B1016">
        <v>73.89</v>
      </c>
      <c r="C1016" s="2">
        <f t="shared" si="15"/>
        <v>-5.5334509231572144E-3</v>
      </c>
    </row>
    <row r="1017" spans="1:3" x14ac:dyDescent="0.2">
      <c r="A1017" s="1">
        <v>44593</v>
      </c>
      <c r="B1017">
        <v>74.3</v>
      </c>
      <c r="C1017" s="2">
        <f t="shared" si="15"/>
        <v>2.3697145916832217E-2</v>
      </c>
    </row>
    <row r="1018" spans="1:3" x14ac:dyDescent="0.2">
      <c r="A1018" s="1">
        <v>44592</v>
      </c>
      <c r="B1018">
        <v>72.56</v>
      </c>
      <c r="C1018" s="2">
        <f t="shared" si="15"/>
        <v>1.9623481271019802E-2</v>
      </c>
    </row>
    <row r="1019" spans="1:3" x14ac:dyDescent="0.2">
      <c r="A1019" s="1">
        <v>44589</v>
      </c>
      <c r="B1019">
        <v>71.150000000000006</v>
      </c>
      <c r="C1019" s="2">
        <f t="shared" si="15"/>
        <v>1.8869822858971673E-2</v>
      </c>
    </row>
    <row r="1020" spans="1:3" x14ac:dyDescent="0.2">
      <c r="A1020" s="1">
        <v>44588</v>
      </c>
      <c r="B1020">
        <v>69.819999999999993</v>
      </c>
      <c r="C1020" s="2">
        <f t="shared" si="15"/>
        <v>-1.3655973240427404E-2</v>
      </c>
    </row>
    <row r="1021" spans="1:3" x14ac:dyDescent="0.2">
      <c r="A1021" s="1">
        <v>44587</v>
      </c>
      <c r="B1021">
        <v>70.78</v>
      </c>
      <c r="C1021" s="2">
        <f t="shared" si="15"/>
        <v>-8.8614406437012381E-3</v>
      </c>
    </row>
    <row r="1022" spans="1:3" x14ac:dyDescent="0.2">
      <c r="A1022" s="1">
        <v>44586</v>
      </c>
      <c r="B1022">
        <v>71.41</v>
      </c>
      <c r="C1022" s="2">
        <f t="shared" si="15"/>
        <v>-2.43475853349201E-2</v>
      </c>
    </row>
    <row r="1023" spans="1:3" x14ac:dyDescent="0.2">
      <c r="A1023" s="1">
        <v>44585</v>
      </c>
      <c r="B1023">
        <v>73.17</v>
      </c>
      <c r="C1023" s="2">
        <f t="shared" si="15"/>
        <v>2.4487631550399819E-2</v>
      </c>
    </row>
    <row r="1024" spans="1:3" x14ac:dyDescent="0.2">
      <c r="A1024" s="1">
        <v>44582</v>
      </c>
      <c r="B1024">
        <v>71.400000000000006</v>
      </c>
      <c r="C1024" s="2">
        <f t="shared" si="15"/>
        <v>-9.0624530999923163E-3</v>
      </c>
    </row>
    <row r="1025" spans="1:3" x14ac:dyDescent="0.2">
      <c r="A1025" s="1">
        <v>44581</v>
      </c>
      <c r="B1025">
        <v>72.05</v>
      </c>
      <c r="C1025" s="2">
        <f t="shared" si="15"/>
        <v>-2.3998409160895764E-2</v>
      </c>
    </row>
    <row r="1026" spans="1:3" x14ac:dyDescent="0.2">
      <c r="A1026" s="1">
        <v>44580</v>
      </c>
      <c r="B1026">
        <v>73.8</v>
      </c>
      <c r="C1026" s="2">
        <f t="shared" si="15"/>
        <v>2.9854819297984291E-3</v>
      </c>
    </row>
    <row r="1027" spans="1:3" x14ac:dyDescent="0.2">
      <c r="A1027" s="1">
        <v>44579</v>
      </c>
      <c r="B1027">
        <v>73.58</v>
      </c>
      <c r="C1027" s="2">
        <f t="shared" ref="C1027:C1090" si="16">+LN(B1027/B1028)</f>
        <v>-2.3239678436632154E-2</v>
      </c>
    </row>
    <row r="1028" spans="1:3" x14ac:dyDescent="0.2">
      <c r="A1028" s="1">
        <v>44575</v>
      </c>
      <c r="B1028">
        <v>75.31</v>
      </c>
      <c r="C1028" s="2">
        <f t="shared" si="16"/>
        <v>-2.1802807432965605E-2</v>
      </c>
    </row>
    <row r="1029" spans="1:3" x14ac:dyDescent="0.2">
      <c r="A1029" s="1">
        <v>44574</v>
      </c>
      <c r="B1029">
        <v>76.97</v>
      </c>
      <c r="C1029" s="2">
        <f t="shared" si="16"/>
        <v>-1.6875450230577481E-3</v>
      </c>
    </row>
    <row r="1030" spans="1:3" x14ac:dyDescent="0.2">
      <c r="A1030" s="1">
        <v>44573</v>
      </c>
      <c r="B1030">
        <v>77.099999999999994</v>
      </c>
      <c r="C1030" s="2">
        <f t="shared" si="16"/>
        <v>1.1348194569101246E-2</v>
      </c>
    </row>
    <row r="1031" spans="1:3" x14ac:dyDescent="0.2">
      <c r="A1031" s="1">
        <v>44572</v>
      </c>
      <c r="B1031">
        <v>76.23</v>
      </c>
      <c r="C1031" s="2">
        <f t="shared" si="16"/>
        <v>7.7698422099256228E-3</v>
      </c>
    </row>
    <row r="1032" spans="1:3" x14ac:dyDescent="0.2">
      <c r="A1032" s="1">
        <v>44571</v>
      </c>
      <c r="B1032">
        <v>75.64</v>
      </c>
      <c r="C1032" s="2">
        <f t="shared" si="16"/>
        <v>-1.8469317975868021E-2</v>
      </c>
    </row>
    <row r="1033" spans="1:3" x14ac:dyDescent="0.2">
      <c r="A1033" s="1">
        <v>44568</v>
      </c>
      <c r="B1033">
        <v>77.05</v>
      </c>
      <c r="C1033" s="2">
        <f t="shared" si="16"/>
        <v>-8.6580627431146542E-3</v>
      </c>
    </row>
    <row r="1034" spans="1:3" x14ac:dyDescent="0.2">
      <c r="A1034" s="1">
        <v>44567</v>
      </c>
      <c r="B1034">
        <v>77.72</v>
      </c>
      <c r="C1034" s="2">
        <f t="shared" si="16"/>
        <v>-3.3397590452119972E-3</v>
      </c>
    </row>
    <row r="1035" spans="1:3" x14ac:dyDescent="0.2">
      <c r="A1035" s="1">
        <v>44566</v>
      </c>
      <c r="B1035">
        <v>77.98</v>
      </c>
      <c r="C1035" s="2">
        <f t="shared" si="16"/>
        <v>-1.1602093552546943E-2</v>
      </c>
    </row>
    <row r="1036" spans="1:3" x14ac:dyDescent="0.2">
      <c r="A1036" s="1">
        <v>44565</v>
      </c>
      <c r="B1036">
        <v>78.89</v>
      </c>
      <c r="C1036" s="2">
        <f t="shared" si="16"/>
        <v>2.6654835861398807E-3</v>
      </c>
    </row>
    <row r="1037" spans="1:3" x14ac:dyDescent="0.2">
      <c r="A1037" s="1">
        <v>44564</v>
      </c>
      <c r="B1037">
        <v>78.680000000000007</v>
      </c>
      <c r="C1037" s="2">
        <f t="shared" si="16"/>
        <v>-2.4357764168161412E-2</v>
      </c>
    </row>
    <row r="1038" spans="1:3" x14ac:dyDescent="0.2">
      <c r="A1038" s="1">
        <v>44561</v>
      </c>
      <c r="B1038">
        <v>80.62</v>
      </c>
      <c r="C1038" s="2">
        <f t="shared" si="16"/>
        <v>4.5999956788946089E-3</v>
      </c>
    </row>
    <row r="1039" spans="1:3" x14ac:dyDescent="0.2">
      <c r="A1039" s="1">
        <v>44560</v>
      </c>
      <c r="B1039">
        <v>80.25</v>
      </c>
      <c r="C1039" s="2">
        <f t="shared" si="16"/>
        <v>-4.3518875024572629E-3</v>
      </c>
    </row>
    <row r="1040" spans="1:3" x14ac:dyDescent="0.2">
      <c r="A1040" s="1">
        <v>44559</v>
      </c>
      <c r="B1040">
        <v>80.599999999999994</v>
      </c>
      <c r="C1040" s="2">
        <f t="shared" si="16"/>
        <v>1.4899431611533564E-3</v>
      </c>
    </row>
    <row r="1041" spans="1:3" x14ac:dyDescent="0.2">
      <c r="A1041" s="1">
        <v>44558</v>
      </c>
      <c r="B1041">
        <v>80.48</v>
      </c>
      <c r="C1041" s="2">
        <f t="shared" si="16"/>
        <v>1.0994613501091816E-2</v>
      </c>
    </row>
    <row r="1042" spans="1:3" x14ac:dyDescent="0.2">
      <c r="A1042" s="1">
        <v>44557</v>
      </c>
      <c r="B1042">
        <v>79.599999999999994</v>
      </c>
      <c r="C1042" s="2">
        <f t="shared" si="16"/>
        <v>1.3024145662607088E-2</v>
      </c>
    </row>
    <row r="1043" spans="1:3" x14ac:dyDescent="0.2">
      <c r="A1043" s="1">
        <v>44553</v>
      </c>
      <c r="B1043">
        <v>78.569999999999993</v>
      </c>
      <c r="C1043" s="2">
        <f t="shared" si="16"/>
        <v>1.3712010828428744E-2</v>
      </c>
    </row>
    <row r="1044" spans="1:3" x14ac:dyDescent="0.2">
      <c r="A1044" s="1">
        <v>44552</v>
      </c>
      <c r="B1044">
        <v>77.5</v>
      </c>
      <c r="C1044" s="2">
        <f t="shared" si="16"/>
        <v>9.5942652198021117E-3</v>
      </c>
    </row>
    <row r="1045" spans="1:3" x14ac:dyDescent="0.2">
      <c r="A1045" s="1">
        <v>44551</v>
      </c>
      <c r="B1045">
        <v>76.760000000000005</v>
      </c>
      <c r="C1045" s="2">
        <f t="shared" si="16"/>
        <v>1.1398747723677672E-2</v>
      </c>
    </row>
    <row r="1046" spans="1:3" x14ac:dyDescent="0.2">
      <c r="A1046" s="1">
        <v>44550</v>
      </c>
      <c r="B1046">
        <v>75.89</v>
      </c>
      <c r="C1046" s="2">
        <f t="shared" si="16"/>
        <v>-6.1740754417253943E-3</v>
      </c>
    </row>
    <row r="1047" spans="1:3" x14ac:dyDescent="0.2">
      <c r="A1047" s="1">
        <v>44547</v>
      </c>
      <c r="B1047">
        <v>76.36</v>
      </c>
      <c r="C1047" s="2">
        <f t="shared" si="16"/>
        <v>-3.8913416879475193E-2</v>
      </c>
    </row>
    <row r="1048" spans="1:3" x14ac:dyDescent="0.2">
      <c r="A1048" s="1">
        <v>44546</v>
      </c>
      <c r="B1048">
        <v>79.39</v>
      </c>
      <c r="C1048" s="2">
        <f t="shared" si="16"/>
        <v>-1.2517374602847459E-2</v>
      </c>
    </row>
    <row r="1049" spans="1:3" x14ac:dyDescent="0.2">
      <c r="A1049" s="1">
        <v>44545</v>
      </c>
      <c r="B1049">
        <v>80.39</v>
      </c>
      <c r="C1049" s="2">
        <f t="shared" si="16"/>
        <v>1.2895327363252072E-2</v>
      </c>
    </row>
    <row r="1050" spans="1:3" x14ac:dyDescent="0.2">
      <c r="A1050" s="1">
        <v>44544</v>
      </c>
      <c r="B1050">
        <v>79.36</v>
      </c>
      <c r="C1050" s="2">
        <f t="shared" si="16"/>
        <v>-7.4069763033458857E-3</v>
      </c>
    </row>
    <row r="1051" spans="1:3" x14ac:dyDescent="0.2">
      <c r="A1051" s="1">
        <v>44543</v>
      </c>
      <c r="B1051">
        <v>79.95</v>
      </c>
      <c r="C1051" s="2">
        <f t="shared" si="16"/>
        <v>1.2508599678590798E-4</v>
      </c>
    </row>
    <row r="1052" spans="1:3" x14ac:dyDescent="0.2">
      <c r="A1052" s="1">
        <v>44540</v>
      </c>
      <c r="B1052">
        <v>79.94</v>
      </c>
      <c r="C1052" s="2">
        <f t="shared" si="16"/>
        <v>1.3855870998657926E-2</v>
      </c>
    </row>
    <row r="1053" spans="1:3" x14ac:dyDescent="0.2">
      <c r="A1053" s="1">
        <v>44539</v>
      </c>
      <c r="B1053">
        <v>78.84</v>
      </c>
      <c r="C1053" s="2">
        <f t="shared" si="16"/>
        <v>4.7040961451376671E-3</v>
      </c>
    </row>
    <row r="1054" spans="1:3" x14ac:dyDescent="0.2">
      <c r="A1054" s="1">
        <v>44538</v>
      </c>
      <c r="B1054">
        <v>78.47</v>
      </c>
      <c r="C1054" s="2">
        <f t="shared" si="16"/>
        <v>9.6037616301425655E-3</v>
      </c>
    </row>
    <row r="1055" spans="1:3" x14ac:dyDescent="0.2">
      <c r="A1055" s="1">
        <v>44537</v>
      </c>
      <c r="B1055">
        <v>77.72</v>
      </c>
      <c r="C1055" s="2">
        <f t="shared" si="16"/>
        <v>5.1599701691093305E-3</v>
      </c>
    </row>
    <row r="1056" spans="1:3" x14ac:dyDescent="0.2">
      <c r="A1056" s="1">
        <v>44536</v>
      </c>
      <c r="B1056">
        <v>77.319999999999993</v>
      </c>
      <c r="C1056" s="2">
        <f t="shared" si="16"/>
        <v>2.5145379326219561E-2</v>
      </c>
    </row>
    <row r="1057" spans="1:3" x14ac:dyDescent="0.2">
      <c r="A1057" s="1">
        <v>44533</v>
      </c>
      <c r="B1057">
        <v>75.400000000000006</v>
      </c>
      <c r="C1057" s="2">
        <f t="shared" si="16"/>
        <v>-3.3101652204544922E-3</v>
      </c>
    </row>
    <row r="1058" spans="1:3" x14ac:dyDescent="0.2">
      <c r="A1058" s="1">
        <v>44532</v>
      </c>
      <c r="B1058">
        <v>75.650000000000006</v>
      </c>
      <c r="C1058" s="2">
        <f t="shared" si="16"/>
        <v>5.3905671567689953E-2</v>
      </c>
    </row>
    <row r="1059" spans="1:3" x14ac:dyDescent="0.2">
      <c r="A1059" s="1">
        <v>44531</v>
      </c>
      <c r="B1059">
        <v>71.680000000000007</v>
      </c>
      <c r="C1059" s="2">
        <f t="shared" si="16"/>
        <v>-1.6739686727446433E-2</v>
      </c>
    </row>
    <row r="1060" spans="1:3" x14ac:dyDescent="0.2">
      <c r="A1060" s="1">
        <v>44530</v>
      </c>
      <c r="B1060">
        <v>72.89</v>
      </c>
      <c r="C1060" s="2">
        <f t="shared" si="16"/>
        <v>-3.1066787995813881E-2</v>
      </c>
    </row>
    <row r="1061" spans="1:3" x14ac:dyDescent="0.2">
      <c r="A1061" s="1">
        <v>44529</v>
      </c>
      <c r="B1061">
        <v>75.19</v>
      </c>
      <c r="C1061" s="2">
        <f t="shared" si="16"/>
        <v>9.314084899280248E-4</v>
      </c>
    </row>
    <row r="1062" spans="1:3" x14ac:dyDescent="0.2">
      <c r="A1062" s="1">
        <v>44526</v>
      </c>
      <c r="B1062">
        <v>75.12</v>
      </c>
      <c r="C1062" s="2">
        <f t="shared" si="16"/>
        <v>-3.2738291040752779E-2</v>
      </c>
    </row>
    <row r="1063" spans="1:3" x14ac:dyDescent="0.2">
      <c r="A1063" s="1">
        <v>44524</v>
      </c>
      <c r="B1063">
        <v>77.62</v>
      </c>
      <c r="C1063" s="2">
        <f t="shared" si="16"/>
        <v>-2.8303119369893102E-3</v>
      </c>
    </row>
    <row r="1064" spans="1:3" x14ac:dyDescent="0.2">
      <c r="A1064" s="1">
        <v>44523</v>
      </c>
      <c r="B1064">
        <v>77.84</v>
      </c>
      <c r="C1064" s="2">
        <f t="shared" si="16"/>
        <v>4.7646732339385435E-3</v>
      </c>
    </row>
    <row r="1065" spans="1:3" x14ac:dyDescent="0.2">
      <c r="A1065" s="1">
        <v>44522</v>
      </c>
      <c r="B1065">
        <v>77.47</v>
      </c>
      <c r="C1065" s="2">
        <f t="shared" si="16"/>
        <v>2.0674513114278237E-3</v>
      </c>
    </row>
    <row r="1066" spans="1:3" x14ac:dyDescent="0.2">
      <c r="A1066" s="1">
        <v>44519</v>
      </c>
      <c r="B1066">
        <v>77.31</v>
      </c>
      <c r="C1066" s="2">
        <f t="shared" si="16"/>
        <v>2.3310033864756084E-3</v>
      </c>
    </row>
    <row r="1067" spans="1:3" x14ac:dyDescent="0.2">
      <c r="A1067" s="1">
        <v>44518</v>
      </c>
      <c r="B1067">
        <v>77.13</v>
      </c>
      <c r="C1067" s="2">
        <f t="shared" si="16"/>
        <v>-1.1857337015533261E-2</v>
      </c>
    </row>
    <row r="1068" spans="1:3" x14ac:dyDescent="0.2">
      <c r="A1068" s="1">
        <v>44517</v>
      </c>
      <c r="B1068">
        <v>78.05</v>
      </c>
      <c r="C1068" s="2">
        <f t="shared" si="16"/>
        <v>1.7953326186743339E-3</v>
      </c>
    </row>
    <row r="1069" spans="1:3" x14ac:dyDescent="0.2">
      <c r="A1069" s="1">
        <v>44516</v>
      </c>
      <c r="B1069">
        <v>77.91</v>
      </c>
      <c r="C1069" s="2">
        <f t="shared" si="16"/>
        <v>2.9564903596972433E-3</v>
      </c>
    </row>
    <row r="1070" spans="1:3" x14ac:dyDescent="0.2">
      <c r="A1070" s="1">
        <v>44515</v>
      </c>
      <c r="B1070">
        <v>77.680000000000007</v>
      </c>
      <c r="C1070" s="2">
        <f t="shared" si="16"/>
        <v>-1.1392123204660532E-2</v>
      </c>
    </row>
    <row r="1071" spans="1:3" x14ac:dyDescent="0.2">
      <c r="A1071" s="1">
        <v>44512</v>
      </c>
      <c r="B1071">
        <v>78.569999999999993</v>
      </c>
      <c r="C1071" s="2">
        <f t="shared" si="16"/>
        <v>4.7202996364646334E-3</v>
      </c>
    </row>
    <row r="1072" spans="1:3" x14ac:dyDescent="0.2">
      <c r="A1072" s="1">
        <v>44511</v>
      </c>
      <c r="B1072">
        <v>78.2</v>
      </c>
      <c r="C1072" s="2">
        <f t="shared" si="16"/>
        <v>-1.2580380671055651E-2</v>
      </c>
    </row>
    <row r="1073" spans="1:3" x14ac:dyDescent="0.2">
      <c r="A1073" s="1">
        <v>44510</v>
      </c>
      <c r="B1073">
        <v>79.19</v>
      </c>
      <c r="C1073" s="2">
        <f t="shared" si="16"/>
        <v>-2.0184187500969313E-3</v>
      </c>
    </row>
    <row r="1074" spans="1:3" x14ac:dyDescent="0.2">
      <c r="A1074" s="1">
        <v>44509</v>
      </c>
      <c r="B1074">
        <v>79.349999999999994</v>
      </c>
      <c r="C1074" s="2">
        <f t="shared" si="16"/>
        <v>4.6737911139146712E-3</v>
      </c>
    </row>
    <row r="1075" spans="1:3" x14ac:dyDescent="0.2">
      <c r="A1075" s="1">
        <v>44508</v>
      </c>
      <c r="B1075">
        <v>78.98</v>
      </c>
      <c r="C1075" s="2">
        <f t="shared" si="16"/>
        <v>1.389708092664632E-2</v>
      </c>
    </row>
    <row r="1076" spans="1:3" x14ac:dyDescent="0.2">
      <c r="A1076" s="1">
        <v>44505</v>
      </c>
      <c r="B1076">
        <v>77.89</v>
      </c>
      <c r="C1076" s="2">
        <f t="shared" si="16"/>
        <v>1.5418222250052798E-3</v>
      </c>
    </row>
    <row r="1077" spans="1:3" x14ac:dyDescent="0.2">
      <c r="A1077" s="1">
        <v>44504</v>
      </c>
      <c r="B1077">
        <v>77.77</v>
      </c>
      <c r="C1077" s="2">
        <f t="shared" si="16"/>
        <v>1.1379923662762362E-2</v>
      </c>
    </row>
    <row r="1078" spans="1:3" x14ac:dyDescent="0.2">
      <c r="A1078" s="1">
        <v>44503</v>
      </c>
      <c r="B1078">
        <v>76.89</v>
      </c>
      <c r="C1078" s="2">
        <f t="shared" si="16"/>
        <v>-7.6440094947057245E-3</v>
      </c>
    </row>
    <row r="1079" spans="1:3" x14ac:dyDescent="0.2">
      <c r="A1079" s="1">
        <v>44502</v>
      </c>
      <c r="B1079">
        <v>77.48</v>
      </c>
      <c r="C1079" s="2">
        <f t="shared" si="16"/>
        <v>1.3644549284002296E-2</v>
      </c>
    </row>
    <row r="1080" spans="1:3" x14ac:dyDescent="0.2">
      <c r="A1080" s="1">
        <v>44501</v>
      </c>
      <c r="B1080">
        <v>76.430000000000007</v>
      </c>
      <c r="C1080" s="2">
        <f t="shared" si="16"/>
        <v>1.6490051118760857E-2</v>
      </c>
    </row>
    <row r="1081" spans="1:3" x14ac:dyDescent="0.2">
      <c r="A1081" s="1">
        <v>44498</v>
      </c>
      <c r="B1081">
        <v>75.180000000000007</v>
      </c>
      <c r="C1081" s="2">
        <f t="shared" si="16"/>
        <v>5.3347685870642888E-3</v>
      </c>
    </row>
    <row r="1082" spans="1:3" x14ac:dyDescent="0.2">
      <c r="A1082" s="1">
        <v>44497</v>
      </c>
      <c r="B1082">
        <v>74.78</v>
      </c>
      <c r="C1082" s="2">
        <f t="shared" si="16"/>
        <v>2.8121879932643426E-3</v>
      </c>
    </row>
    <row r="1083" spans="1:3" x14ac:dyDescent="0.2">
      <c r="A1083" s="1">
        <v>44496</v>
      </c>
      <c r="B1083">
        <v>74.569999999999993</v>
      </c>
      <c r="C1083" s="2">
        <f t="shared" si="16"/>
        <v>-1.2261915595830047E-2</v>
      </c>
    </row>
    <row r="1084" spans="1:3" x14ac:dyDescent="0.2">
      <c r="A1084" s="1">
        <v>44495</v>
      </c>
      <c r="B1084">
        <v>75.489999999999995</v>
      </c>
      <c r="C1084" s="2">
        <f t="shared" si="16"/>
        <v>2.1217353139301545E-3</v>
      </c>
    </row>
    <row r="1085" spans="1:3" x14ac:dyDescent="0.2">
      <c r="A1085" s="1">
        <v>44494</v>
      </c>
      <c r="B1085">
        <v>75.33</v>
      </c>
      <c r="C1085" s="2">
        <f t="shared" si="16"/>
        <v>-1.8567644591736794E-3</v>
      </c>
    </row>
    <row r="1086" spans="1:3" x14ac:dyDescent="0.2">
      <c r="A1086" s="1">
        <v>44491</v>
      </c>
      <c r="B1086">
        <v>75.47</v>
      </c>
      <c r="C1086" s="2">
        <f t="shared" si="16"/>
        <v>4.914667526687966E-3</v>
      </c>
    </row>
    <row r="1087" spans="1:3" x14ac:dyDescent="0.2">
      <c r="A1087" s="1">
        <v>44490</v>
      </c>
      <c r="B1087">
        <v>75.099999999999994</v>
      </c>
      <c r="C1087" s="2">
        <f t="shared" si="16"/>
        <v>2.8087182542598163E-2</v>
      </c>
    </row>
    <row r="1088" spans="1:3" x14ac:dyDescent="0.2">
      <c r="A1088" s="1">
        <v>44489</v>
      </c>
      <c r="B1088">
        <v>73.02</v>
      </c>
      <c r="C1088" s="2">
        <f t="shared" si="16"/>
        <v>1.1431844076421241E-2</v>
      </c>
    </row>
    <row r="1089" spans="1:3" x14ac:dyDescent="0.2">
      <c r="A1089" s="1">
        <v>44488</v>
      </c>
      <c r="B1089">
        <v>72.19</v>
      </c>
      <c r="C1089" s="2">
        <f t="shared" si="16"/>
        <v>6.671324256586098E-3</v>
      </c>
    </row>
    <row r="1090" spans="1:3" x14ac:dyDescent="0.2">
      <c r="A1090" s="1">
        <v>44487</v>
      </c>
      <c r="B1090">
        <v>71.709999999999994</v>
      </c>
      <c r="C1090" s="2">
        <f t="shared" si="16"/>
        <v>1.1782995072318671E-2</v>
      </c>
    </row>
    <row r="1091" spans="1:3" x14ac:dyDescent="0.2">
      <c r="A1091" s="1">
        <v>44484</v>
      </c>
      <c r="B1091">
        <v>70.87</v>
      </c>
      <c r="C1091" s="2">
        <f t="shared" ref="C1091:C1154" si="17">+LN(B1091/B1092)</f>
        <v>-2.3958858617500289E-3</v>
      </c>
    </row>
    <row r="1092" spans="1:3" x14ac:dyDescent="0.2">
      <c r="A1092" s="1">
        <v>44483</v>
      </c>
      <c r="B1092">
        <v>71.040000000000006</v>
      </c>
      <c r="C1092" s="2">
        <f t="shared" si="17"/>
        <v>2.3068088250274371E-2</v>
      </c>
    </row>
    <row r="1093" spans="1:3" x14ac:dyDescent="0.2">
      <c r="A1093" s="1">
        <v>44482</v>
      </c>
      <c r="B1093">
        <v>69.42</v>
      </c>
      <c r="C1093" s="2">
        <f t="shared" si="17"/>
        <v>8.5353140233673432E-3</v>
      </c>
    </row>
    <row r="1094" spans="1:3" x14ac:dyDescent="0.2">
      <c r="A1094" s="1">
        <v>44481</v>
      </c>
      <c r="B1094">
        <v>68.83</v>
      </c>
      <c r="C1094" s="2">
        <f t="shared" si="17"/>
        <v>-4.4937380832056496E-3</v>
      </c>
    </row>
    <row r="1095" spans="1:3" x14ac:dyDescent="0.2">
      <c r="A1095" s="1">
        <v>44480</v>
      </c>
      <c r="B1095">
        <v>69.14</v>
      </c>
      <c r="C1095" s="2">
        <f t="shared" si="17"/>
        <v>-1.2218940207969708E-2</v>
      </c>
    </row>
    <row r="1096" spans="1:3" x14ac:dyDescent="0.2">
      <c r="A1096" s="1">
        <v>44477</v>
      </c>
      <c r="B1096">
        <v>69.989999999999995</v>
      </c>
      <c r="C1096" s="2">
        <f t="shared" si="17"/>
        <v>-1.1224100215869171E-2</v>
      </c>
    </row>
    <row r="1097" spans="1:3" x14ac:dyDescent="0.2">
      <c r="A1097" s="1">
        <v>44476</v>
      </c>
      <c r="B1097">
        <v>70.78</v>
      </c>
      <c r="C1097" s="2">
        <f t="shared" si="17"/>
        <v>4.2474932893932461E-3</v>
      </c>
    </row>
    <row r="1098" spans="1:3" x14ac:dyDescent="0.2">
      <c r="A1098" s="1">
        <v>44475</v>
      </c>
      <c r="B1098">
        <v>70.48</v>
      </c>
      <c r="C1098" s="2">
        <f t="shared" si="17"/>
        <v>4.1231308855940365E-3</v>
      </c>
    </row>
    <row r="1099" spans="1:3" x14ac:dyDescent="0.2">
      <c r="A1099" s="1">
        <v>44474</v>
      </c>
      <c r="B1099">
        <v>70.19</v>
      </c>
      <c r="C1099" s="2">
        <f t="shared" si="17"/>
        <v>8.4412834019562278E-3</v>
      </c>
    </row>
    <row r="1100" spans="1:3" x14ac:dyDescent="0.2">
      <c r="A1100" s="1">
        <v>44473</v>
      </c>
      <c r="B1100">
        <v>69.599999999999994</v>
      </c>
      <c r="C1100" s="2">
        <f t="shared" si="17"/>
        <v>-1.0007231476245243E-2</v>
      </c>
    </row>
    <row r="1101" spans="1:3" x14ac:dyDescent="0.2">
      <c r="A1101" s="1">
        <v>44470</v>
      </c>
      <c r="B1101">
        <v>70.3</v>
      </c>
      <c r="C1101" s="2">
        <f t="shared" si="17"/>
        <v>4.7052200588139168E-3</v>
      </c>
    </row>
    <row r="1102" spans="1:3" x14ac:dyDescent="0.2">
      <c r="A1102" s="1">
        <v>44469</v>
      </c>
      <c r="B1102">
        <v>69.97</v>
      </c>
      <c r="C1102" s="2">
        <f t="shared" si="17"/>
        <v>-3.1096420456837286E-2</v>
      </c>
    </row>
    <row r="1103" spans="1:3" x14ac:dyDescent="0.2">
      <c r="A1103" s="1">
        <v>44468</v>
      </c>
      <c r="B1103">
        <v>72.180000000000007</v>
      </c>
      <c r="C1103" s="2">
        <f t="shared" si="17"/>
        <v>1.2476607981552772E-3</v>
      </c>
    </row>
    <row r="1104" spans="1:3" x14ac:dyDescent="0.2">
      <c r="A1104" s="1">
        <v>44467</v>
      </c>
      <c r="B1104">
        <v>72.09</v>
      </c>
      <c r="C1104" s="2">
        <f t="shared" si="17"/>
        <v>-1.5280082550778673E-2</v>
      </c>
    </row>
    <row r="1105" spans="1:3" x14ac:dyDescent="0.2">
      <c r="A1105" s="1">
        <v>44466</v>
      </c>
      <c r="B1105">
        <v>73.2</v>
      </c>
      <c r="C1105" s="2">
        <f t="shared" si="17"/>
        <v>-3.9539215735138319E-3</v>
      </c>
    </row>
    <row r="1106" spans="1:3" x14ac:dyDescent="0.2">
      <c r="A1106" s="1">
        <v>44463</v>
      </c>
      <c r="B1106">
        <v>73.489999999999995</v>
      </c>
      <c r="C1106" s="2">
        <f t="shared" si="17"/>
        <v>-6.3750639781442646E-3</v>
      </c>
    </row>
    <row r="1107" spans="1:3" x14ac:dyDescent="0.2">
      <c r="A1107" s="1">
        <v>44462</v>
      </c>
      <c r="B1107">
        <v>73.959999999999994</v>
      </c>
      <c r="C1107" s="2">
        <f t="shared" si="17"/>
        <v>2.8434112989947137E-3</v>
      </c>
    </row>
    <row r="1108" spans="1:3" x14ac:dyDescent="0.2">
      <c r="A1108" s="1">
        <v>44461</v>
      </c>
      <c r="B1108">
        <v>73.75</v>
      </c>
      <c r="C1108" s="2">
        <f t="shared" si="17"/>
        <v>2.1718482814215932E-3</v>
      </c>
    </row>
    <row r="1109" spans="1:3" x14ac:dyDescent="0.2">
      <c r="A1109" s="1">
        <v>44460</v>
      </c>
      <c r="B1109">
        <v>73.59</v>
      </c>
      <c r="C1109" s="2">
        <f t="shared" si="17"/>
        <v>-7.8506088099590393E-3</v>
      </c>
    </row>
    <row r="1110" spans="1:3" x14ac:dyDescent="0.2">
      <c r="A1110" s="1">
        <v>44459</v>
      </c>
      <c r="B1110">
        <v>74.17</v>
      </c>
      <c r="C1110" s="2">
        <f t="shared" si="17"/>
        <v>-1.33924594409108E-2</v>
      </c>
    </row>
    <row r="1111" spans="1:3" x14ac:dyDescent="0.2">
      <c r="A1111" s="1">
        <v>44456</v>
      </c>
      <c r="B1111">
        <v>75.17</v>
      </c>
      <c r="C1111" s="2">
        <f t="shared" si="17"/>
        <v>-1.2427447089922666E-2</v>
      </c>
    </row>
    <row r="1112" spans="1:3" x14ac:dyDescent="0.2">
      <c r="A1112" s="1">
        <v>44455</v>
      </c>
      <c r="B1112">
        <v>76.11</v>
      </c>
      <c r="C1112" s="2">
        <f t="shared" si="17"/>
        <v>-5.633817718256131E-3</v>
      </c>
    </row>
    <row r="1113" spans="1:3" x14ac:dyDescent="0.2">
      <c r="A1113" s="1">
        <v>44454</v>
      </c>
      <c r="B1113">
        <v>76.540000000000006</v>
      </c>
      <c r="C1113" s="2">
        <f t="shared" si="17"/>
        <v>6.0280617604215204E-3</v>
      </c>
    </row>
    <row r="1114" spans="1:3" x14ac:dyDescent="0.2">
      <c r="A1114" s="1">
        <v>44453</v>
      </c>
      <c r="B1114">
        <v>76.08</v>
      </c>
      <c r="C1114" s="2">
        <f t="shared" si="17"/>
        <v>-3.1496089028961085E-3</v>
      </c>
    </row>
    <row r="1115" spans="1:3" x14ac:dyDescent="0.2">
      <c r="A1115" s="1">
        <v>44452</v>
      </c>
      <c r="B1115">
        <v>76.319999999999993</v>
      </c>
      <c r="C1115" s="2">
        <f t="shared" si="17"/>
        <v>-8.7405161499271317E-3</v>
      </c>
    </row>
    <row r="1116" spans="1:3" x14ac:dyDescent="0.2">
      <c r="A1116" s="1">
        <v>44449</v>
      </c>
      <c r="B1116">
        <v>76.989999999999995</v>
      </c>
      <c r="C1116" s="2">
        <f t="shared" si="17"/>
        <v>-2.982947546132121E-3</v>
      </c>
    </row>
    <row r="1117" spans="1:3" x14ac:dyDescent="0.2">
      <c r="A1117" s="1">
        <v>44448</v>
      </c>
      <c r="B1117">
        <v>77.22</v>
      </c>
      <c r="C1117" s="2">
        <f t="shared" si="17"/>
        <v>-1.133156600954997E-2</v>
      </c>
    </row>
    <row r="1118" spans="1:3" x14ac:dyDescent="0.2">
      <c r="A1118" s="1">
        <v>44447</v>
      </c>
      <c r="B1118">
        <v>78.099999999999994</v>
      </c>
      <c r="C1118" s="2">
        <f t="shared" si="17"/>
        <v>1.2108868808111942E-2</v>
      </c>
    </row>
    <row r="1119" spans="1:3" x14ac:dyDescent="0.2">
      <c r="A1119" s="1">
        <v>44446</v>
      </c>
      <c r="B1119">
        <v>77.16</v>
      </c>
      <c r="C1119" s="2">
        <f t="shared" si="17"/>
        <v>-1.7981476008682207E-2</v>
      </c>
    </row>
    <row r="1120" spans="1:3" x14ac:dyDescent="0.2">
      <c r="A1120" s="1">
        <v>44442</v>
      </c>
      <c r="B1120">
        <v>78.56</v>
      </c>
      <c r="C1120" s="2">
        <f t="shared" si="17"/>
        <v>-4.8254061884905365E-3</v>
      </c>
    </row>
    <row r="1121" spans="1:3" x14ac:dyDescent="0.2">
      <c r="A1121" s="1">
        <v>44441</v>
      </c>
      <c r="B1121">
        <v>78.94</v>
      </c>
      <c r="C1121" s="2">
        <f t="shared" si="17"/>
        <v>6.7365999918703829E-3</v>
      </c>
    </row>
    <row r="1122" spans="1:3" x14ac:dyDescent="0.2">
      <c r="A1122" s="1">
        <v>44440</v>
      </c>
      <c r="B1122">
        <v>78.41</v>
      </c>
      <c r="C1122" s="2">
        <f t="shared" si="17"/>
        <v>-1.2752662135503745E-4</v>
      </c>
    </row>
    <row r="1123" spans="1:3" x14ac:dyDescent="0.2">
      <c r="A1123" s="1">
        <v>44439</v>
      </c>
      <c r="B1123">
        <v>78.42</v>
      </c>
      <c r="C1123" s="2">
        <f t="shared" si="17"/>
        <v>-4.9608955013725692E-3</v>
      </c>
    </row>
    <row r="1124" spans="1:3" x14ac:dyDescent="0.2">
      <c r="A1124" s="1">
        <v>44438</v>
      </c>
      <c r="B1124">
        <v>78.81</v>
      </c>
      <c r="C1124" s="2">
        <f t="shared" si="17"/>
        <v>1.0202868765336479E-2</v>
      </c>
    </row>
    <row r="1125" spans="1:3" x14ac:dyDescent="0.2">
      <c r="A1125" s="1">
        <v>44435</v>
      </c>
      <c r="B1125">
        <v>78.010000000000005</v>
      </c>
      <c r="C1125" s="2">
        <f t="shared" si="17"/>
        <v>6.0430913574386434E-3</v>
      </c>
    </row>
    <row r="1126" spans="1:3" x14ac:dyDescent="0.2">
      <c r="A1126" s="1">
        <v>44434</v>
      </c>
      <c r="B1126">
        <v>77.540000000000006</v>
      </c>
      <c r="C1126" s="2">
        <f t="shared" si="17"/>
        <v>-1.4176173519130099E-3</v>
      </c>
    </row>
    <row r="1127" spans="1:3" x14ac:dyDescent="0.2">
      <c r="A1127" s="1">
        <v>44433</v>
      </c>
      <c r="B1127">
        <v>77.650000000000006</v>
      </c>
      <c r="C1127" s="2">
        <f t="shared" si="17"/>
        <v>2.0626538188372933E-3</v>
      </c>
    </row>
    <row r="1128" spans="1:3" x14ac:dyDescent="0.2">
      <c r="A1128" s="1">
        <v>44432</v>
      </c>
      <c r="B1128">
        <v>77.489999999999995</v>
      </c>
      <c r="C1128" s="2">
        <f t="shared" si="17"/>
        <v>3.8722168925267613E-4</v>
      </c>
    </row>
    <row r="1129" spans="1:3" x14ac:dyDescent="0.2">
      <c r="A1129" s="1">
        <v>44431</v>
      </c>
      <c r="B1129">
        <v>77.459999999999994</v>
      </c>
      <c r="C1129" s="2">
        <f t="shared" si="17"/>
        <v>6.3459385403800911E-3</v>
      </c>
    </row>
    <row r="1130" spans="1:3" x14ac:dyDescent="0.2">
      <c r="A1130" s="1">
        <v>44428</v>
      </c>
      <c r="B1130">
        <v>76.97</v>
      </c>
      <c r="C1130" s="2">
        <f t="shared" si="17"/>
        <v>2.3413122037737369E-3</v>
      </c>
    </row>
    <row r="1131" spans="1:3" x14ac:dyDescent="0.2">
      <c r="A1131" s="1">
        <v>44427</v>
      </c>
      <c r="B1131">
        <v>76.790000000000006</v>
      </c>
      <c r="C1131" s="2">
        <f t="shared" si="17"/>
        <v>-5.2076553709127084E-4</v>
      </c>
    </row>
    <row r="1132" spans="1:3" x14ac:dyDescent="0.2">
      <c r="A1132" s="1">
        <v>44426</v>
      </c>
      <c r="B1132">
        <v>76.83</v>
      </c>
      <c r="C1132" s="2">
        <f t="shared" si="17"/>
        <v>-6.3574654605865278E-3</v>
      </c>
    </row>
    <row r="1133" spans="1:3" x14ac:dyDescent="0.2">
      <c r="A1133" s="1">
        <v>44425</v>
      </c>
      <c r="B1133">
        <v>77.319999999999993</v>
      </c>
      <c r="C1133" s="2">
        <f t="shared" si="17"/>
        <v>-1.4126342524055487E-2</v>
      </c>
    </row>
    <row r="1134" spans="1:3" x14ac:dyDescent="0.2">
      <c r="A1134" s="1">
        <v>44424</v>
      </c>
      <c r="B1134">
        <v>78.42</v>
      </c>
      <c r="C1134" s="2">
        <f t="shared" si="17"/>
        <v>1.6591159443628014E-3</v>
      </c>
    </row>
    <row r="1135" spans="1:3" x14ac:dyDescent="0.2">
      <c r="A1135" s="1">
        <v>44421</v>
      </c>
      <c r="B1135">
        <v>78.290000000000006</v>
      </c>
      <c r="C1135" s="2">
        <f t="shared" si="17"/>
        <v>4.0957435983143163E-3</v>
      </c>
    </row>
    <row r="1136" spans="1:3" x14ac:dyDescent="0.2">
      <c r="A1136" s="1">
        <v>44420</v>
      </c>
      <c r="B1136">
        <v>77.97</v>
      </c>
      <c r="C1136" s="2">
        <f t="shared" si="17"/>
        <v>1.7971763502118584E-3</v>
      </c>
    </row>
    <row r="1137" spans="1:3" x14ac:dyDescent="0.2">
      <c r="A1137" s="1">
        <v>44419</v>
      </c>
      <c r="B1137">
        <v>77.83</v>
      </c>
      <c r="C1137" s="2">
        <f t="shared" si="17"/>
        <v>4.8943941084190531E-3</v>
      </c>
    </row>
    <row r="1138" spans="1:3" x14ac:dyDescent="0.2">
      <c r="A1138" s="1">
        <v>44418</v>
      </c>
      <c r="B1138">
        <v>77.45</v>
      </c>
      <c r="C1138" s="2">
        <f t="shared" si="17"/>
        <v>-6.3067330476855119E-3</v>
      </c>
    </row>
    <row r="1139" spans="1:3" x14ac:dyDescent="0.2">
      <c r="A1139" s="1">
        <v>44417</v>
      </c>
      <c r="B1139">
        <v>77.94</v>
      </c>
      <c r="C1139" s="2">
        <f t="shared" si="17"/>
        <v>-4.3528426173123965E-3</v>
      </c>
    </row>
    <row r="1140" spans="1:3" x14ac:dyDescent="0.2">
      <c r="A1140" s="1">
        <v>44414</v>
      </c>
      <c r="B1140">
        <v>78.28</v>
      </c>
      <c r="C1140" s="2">
        <f t="shared" si="17"/>
        <v>-6.1131112430493637E-3</v>
      </c>
    </row>
    <row r="1141" spans="1:3" x14ac:dyDescent="0.2">
      <c r="A1141" s="1">
        <v>44413</v>
      </c>
      <c r="B1141">
        <v>78.760000000000005</v>
      </c>
      <c r="C1141" s="2">
        <f t="shared" si="17"/>
        <v>-1.0608839079412373E-2</v>
      </c>
    </row>
    <row r="1142" spans="1:3" x14ac:dyDescent="0.2">
      <c r="A1142" s="1">
        <v>44412</v>
      </c>
      <c r="B1142">
        <v>79.599999999999994</v>
      </c>
      <c r="C1142" s="2">
        <f t="shared" si="17"/>
        <v>-1.3809555894944505E-3</v>
      </c>
    </row>
    <row r="1143" spans="1:3" x14ac:dyDescent="0.2">
      <c r="A1143" s="1">
        <v>44411</v>
      </c>
      <c r="B1143">
        <v>79.709999999999994</v>
      </c>
      <c r="C1143" s="2">
        <f t="shared" si="17"/>
        <v>2.3739610562082045E-2</v>
      </c>
    </row>
    <row r="1144" spans="1:3" x14ac:dyDescent="0.2">
      <c r="A1144" s="1">
        <v>44410</v>
      </c>
      <c r="B1144">
        <v>77.84</v>
      </c>
      <c r="C1144" s="2">
        <f t="shared" si="17"/>
        <v>-3.0785042270873859E-3</v>
      </c>
    </row>
    <row r="1145" spans="1:3" x14ac:dyDescent="0.2">
      <c r="A1145" s="1">
        <v>44407</v>
      </c>
      <c r="B1145">
        <v>78.08</v>
      </c>
      <c r="C1145" s="2">
        <f t="shared" si="17"/>
        <v>2.2013060307466879E-2</v>
      </c>
    </row>
    <row r="1146" spans="1:3" x14ac:dyDescent="0.2">
      <c r="A1146" s="1">
        <v>44406</v>
      </c>
      <c r="B1146">
        <v>76.38</v>
      </c>
      <c r="C1146" s="2">
        <f t="shared" si="17"/>
        <v>9.0748304762940987E-3</v>
      </c>
    </row>
    <row r="1147" spans="1:3" x14ac:dyDescent="0.2">
      <c r="A1147" s="1">
        <v>44405</v>
      </c>
      <c r="B1147">
        <v>75.69</v>
      </c>
      <c r="C1147" s="2">
        <f t="shared" si="17"/>
        <v>3.3084129958740314E-3</v>
      </c>
    </row>
    <row r="1148" spans="1:3" x14ac:dyDescent="0.2">
      <c r="A1148" s="1">
        <v>44404</v>
      </c>
      <c r="B1148">
        <v>75.44</v>
      </c>
      <c r="C1148" s="2">
        <f t="shared" si="17"/>
        <v>-1.1335299965209227E-2</v>
      </c>
    </row>
    <row r="1149" spans="1:3" x14ac:dyDescent="0.2">
      <c r="A1149" s="1">
        <v>44403</v>
      </c>
      <c r="B1149">
        <v>76.3</v>
      </c>
      <c r="C1149" s="2">
        <f t="shared" si="17"/>
        <v>-4.4461953721938591E-3</v>
      </c>
    </row>
    <row r="1150" spans="1:3" x14ac:dyDescent="0.2">
      <c r="A1150" s="1">
        <v>44400</v>
      </c>
      <c r="B1150">
        <v>76.64</v>
      </c>
      <c r="C1150" s="2">
        <f t="shared" si="17"/>
        <v>7.0708687949651095E-3</v>
      </c>
    </row>
    <row r="1151" spans="1:3" x14ac:dyDescent="0.2">
      <c r="A1151" s="1">
        <v>44399</v>
      </c>
      <c r="B1151">
        <v>76.099999999999994</v>
      </c>
      <c r="C1151" s="2">
        <f t="shared" si="17"/>
        <v>-2.8754733354614783E-2</v>
      </c>
    </row>
    <row r="1152" spans="1:3" x14ac:dyDescent="0.2">
      <c r="A1152" s="1">
        <v>44398</v>
      </c>
      <c r="B1152">
        <v>78.319999999999993</v>
      </c>
      <c r="C1152" s="2">
        <f t="shared" si="17"/>
        <v>1.6608041857380362E-2</v>
      </c>
    </row>
    <row r="1153" spans="1:3" x14ac:dyDescent="0.2">
      <c r="A1153" s="1">
        <v>44397</v>
      </c>
      <c r="B1153">
        <v>77.03</v>
      </c>
      <c r="C1153" s="2">
        <f t="shared" si="17"/>
        <v>1.8738673179387197E-2</v>
      </c>
    </row>
    <row r="1154" spans="1:3" x14ac:dyDescent="0.2">
      <c r="A1154" s="1">
        <v>44396</v>
      </c>
      <c r="B1154">
        <v>75.599999999999994</v>
      </c>
      <c r="C1154" s="2">
        <f t="shared" si="17"/>
        <v>-1.1442223870646549E-2</v>
      </c>
    </row>
    <row r="1155" spans="1:3" x14ac:dyDescent="0.2">
      <c r="A1155" s="1">
        <v>44393</v>
      </c>
      <c r="B1155">
        <v>76.47</v>
      </c>
      <c r="C1155" s="2">
        <f t="shared" ref="C1155:C1218" si="18">+LN(B1155/B1156)</f>
        <v>7.8492939665851438E-4</v>
      </c>
    </row>
    <row r="1156" spans="1:3" x14ac:dyDescent="0.2">
      <c r="A1156" s="1">
        <v>44392</v>
      </c>
      <c r="B1156">
        <v>76.41</v>
      </c>
      <c r="C1156" s="2">
        <f t="shared" si="18"/>
        <v>-6.0021057015654427E-3</v>
      </c>
    </row>
    <row r="1157" spans="1:3" x14ac:dyDescent="0.2">
      <c r="A1157" s="1">
        <v>44391</v>
      </c>
      <c r="B1157">
        <v>76.87</v>
      </c>
      <c r="C1157" s="2">
        <f t="shared" si="18"/>
        <v>-5.3195065432218918E-3</v>
      </c>
    </row>
    <row r="1158" spans="1:3" x14ac:dyDescent="0.2">
      <c r="A1158" s="1">
        <v>44390</v>
      </c>
      <c r="B1158">
        <v>77.28</v>
      </c>
      <c r="C1158" s="2">
        <f t="shared" si="18"/>
        <v>-3.358742338520617E-3</v>
      </c>
    </row>
    <row r="1159" spans="1:3" x14ac:dyDescent="0.2">
      <c r="A1159" s="1">
        <v>44389</v>
      </c>
      <c r="B1159">
        <v>77.540000000000006</v>
      </c>
      <c r="C1159" s="2">
        <f t="shared" si="18"/>
        <v>-1.8038917402863849E-3</v>
      </c>
    </row>
    <row r="1160" spans="1:3" x14ac:dyDescent="0.2">
      <c r="A1160" s="1">
        <v>44386</v>
      </c>
      <c r="B1160">
        <v>77.680000000000007</v>
      </c>
      <c r="C1160" s="2">
        <f t="shared" si="18"/>
        <v>9.0153911702219405E-4</v>
      </c>
    </row>
    <row r="1161" spans="1:3" x14ac:dyDescent="0.2">
      <c r="A1161" s="1">
        <v>44385</v>
      </c>
      <c r="B1161">
        <v>77.61</v>
      </c>
      <c r="C1161" s="2">
        <f t="shared" si="18"/>
        <v>-9.4896839359822991E-3</v>
      </c>
    </row>
    <row r="1162" spans="1:3" x14ac:dyDescent="0.2">
      <c r="A1162" s="1">
        <v>44384</v>
      </c>
      <c r="B1162">
        <v>78.349999999999994</v>
      </c>
      <c r="C1162" s="2">
        <f t="shared" si="18"/>
        <v>2.6775188069811457E-2</v>
      </c>
    </row>
    <row r="1163" spans="1:3" x14ac:dyDescent="0.2">
      <c r="A1163" s="1">
        <v>44383</v>
      </c>
      <c r="B1163">
        <v>76.28</v>
      </c>
      <c r="C1163" s="2">
        <f t="shared" si="18"/>
        <v>-6.5526507816070299E-4</v>
      </c>
    </row>
    <row r="1164" spans="1:3" x14ac:dyDescent="0.2">
      <c r="A1164" s="1">
        <v>44379</v>
      </c>
      <c r="B1164">
        <v>76.33</v>
      </c>
      <c r="C1164" s="2">
        <f t="shared" si="18"/>
        <v>5.7811223945574359E-3</v>
      </c>
    </row>
    <row r="1165" spans="1:3" x14ac:dyDescent="0.2">
      <c r="A1165" s="1">
        <v>44378</v>
      </c>
      <c r="B1165">
        <v>75.89</v>
      </c>
      <c r="C1165" s="2">
        <f t="shared" si="18"/>
        <v>2.5067629724183412E-3</v>
      </c>
    </row>
    <row r="1166" spans="1:3" x14ac:dyDescent="0.2">
      <c r="A1166" s="1">
        <v>44377</v>
      </c>
      <c r="B1166">
        <v>75.7</v>
      </c>
      <c r="C1166" s="2">
        <f t="shared" si="18"/>
        <v>1.4541611393178461E-3</v>
      </c>
    </row>
    <row r="1167" spans="1:3" x14ac:dyDescent="0.2">
      <c r="A1167" s="1">
        <v>44376</v>
      </c>
      <c r="B1167">
        <v>75.59</v>
      </c>
      <c r="C1167" s="2">
        <f t="shared" si="18"/>
        <v>5.9709591582625806E-3</v>
      </c>
    </row>
    <row r="1168" spans="1:3" x14ac:dyDescent="0.2">
      <c r="A1168" s="1">
        <v>44375</v>
      </c>
      <c r="B1168">
        <v>75.14</v>
      </c>
      <c r="C1168" s="2">
        <f t="shared" si="18"/>
        <v>2.1316288380568596E-3</v>
      </c>
    </row>
    <row r="1169" spans="1:3" x14ac:dyDescent="0.2">
      <c r="A1169" s="1">
        <v>44372</v>
      </c>
      <c r="B1169">
        <v>74.98</v>
      </c>
      <c r="C1169" s="2">
        <f t="shared" si="18"/>
        <v>1.275099485275912E-2</v>
      </c>
    </row>
    <row r="1170" spans="1:3" x14ac:dyDescent="0.2">
      <c r="A1170" s="1">
        <v>44371</v>
      </c>
      <c r="B1170">
        <v>74.03</v>
      </c>
      <c r="C1170" s="2">
        <f t="shared" si="18"/>
        <v>3.7894212350777588E-3</v>
      </c>
    </row>
    <row r="1171" spans="1:3" x14ac:dyDescent="0.2">
      <c r="A1171" s="1">
        <v>44370</v>
      </c>
      <c r="B1171">
        <v>73.75</v>
      </c>
      <c r="C1171" s="2">
        <f t="shared" si="18"/>
        <v>4.8933086629576617E-3</v>
      </c>
    </row>
    <row r="1172" spans="1:3" x14ac:dyDescent="0.2">
      <c r="A1172" s="1">
        <v>44369</v>
      </c>
      <c r="B1172">
        <v>73.39</v>
      </c>
      <c r="C1172" s="2">
        <f t="shared" si="18"/>
        <v>9.9966597639155903E-3</v>
      </c>
    </row>
    <row r="1173" spans="1:3" x14ac:dyDescent="0.2">
      <c r="A1173" s="1">
        <v>44368</v>
      </c>
      <c r="B1173">
        <v>72.66</v>
      </c>
      <c r="C1173" s="2">
        <f t="shared" si="18"/>
        <v>2.0579146711009119E-2</v>
      </c>
    </row>
    <row r="1174" spans="1:3" x14ac:dyDescent="0.2">
      <c r="A1174" s="1">
        <v>44365</v>
      </c>
      <c r="B1174">
        <v>71.180000000000007</v>
      </c>
      <c r="C1174" s="2">
        <f t="shared" si="18"/>
        <v>-4.625419978257936E-3</v>
      </c>
    </row>
    <row r="1175" spans="1:3" x14ac:dyDescent="0.2">
      <c r="A1175" s="1">
        <v>44364</v>
      </c>
      <c r="B1175">
        <v>71.510000000000005</v>
      </c>
      <c r="C1175" s="2">
        <f t="shared" si="18"/>
        <v>-1.3197385406626464E-2</v>
      </c>
    </row>
    <row r="1176" spans="1:3" x14ac:dyDescent="0.2">
      <c r="A1176" s="1">
        <v>44363</v>
      </c>
      <c r="B1176">
        <v>72.459999999999994</v>
      </c>
      <c r="C1176" s="2">
        <f t="shared" si="18"/>
        <v>-1.723944733469138E-2</v>
      </c>
    </row>
    <row r="1177" spans="1:3" x14ac:dyDescent="0.2">
      <c r="A1177" s="1">
        <v>44362</v>
      </c>
      <c r="B1177">
        <v>73.72</v>
      </c>
      <c r="C1177" s="2">
        <f t="shared" si="18"/>
        <v>6.784721069002217E-4</v>
      </c>
    </row>
    <row r="1178" spans="1:3" x14ac:dyDescent="0.2">
      <c r="A1178" s="1">
        <v>44361</v>
      </c>
      <c r="B1178">
        <v>73.67</v>
      </c>
      <c r="C1178" s="2">
        <f t="shared" si="18"/>
        <v>-2.4403482826664664E-3</v>
      </c>
    </row>
    <row r="1179" spans="1:3" x14ac:dyDescent="0.2">
      <c r="A1179" s="1">
        <v>44358</v>
      </c>
      <c r="B1179">
        <v>73.849999999999994</v>
      </c>
      <c r="C1179" s="2">
        <f t="shared" si="18"/>
        <v>5.0227486304638518E-3</v>
      </c>
    </row>
    <row r="1180" spans="1:3" x14ac:dyDescent="0.2">
      <c r="A1180" s="1">
        <v>44357</v>
      </c>
      <c r="B1180">
        <v>73.48</v>
      </c>
      <c r="C1180" s="2">
        <f t="shared" si="18"/>
        <v>-2.9895388483660483E-3</v>
      </c>
    </row>
    <row r="1181" spans="1:3" x14ac:dyDescent="0.2">
      <c r="A1181" s="1">
        <v>44356</v>
      </c>
      <c r="B1181">
        <v>73.7</v>
      </c>
      <c r="C1181" s="2">
        <f t="shared" si="18"/>
        <v>-1.0259269249279777E-2</v>
      </c>
    </row>
    <row r="1182" spans="1:3" x14ac:dyDescent="0.2">
      <c r="A1182" s="1">
        <v>44355</v>
      </c>
      <c r="B1182">
        <v>74.459999999999994</v>
      </c>
      <c r="C1182" s="2">
        <f t="shared" si="18"/>
        <v>-3.485725476016421E-3</v>
      </c>
    </row>
    <row r="1183" spans="1:3" x14ac:dyDescent="0.2">
      <c r="A1183" s="1">
        <v>44354</v>
      </c>
      <c r="B1183">
        <v>74.72</v>
      </c>
      <c r="C1183" s="2">
        <f t="shared" si="18"/>
        <v>-8.5288363475204357E-3</v>
      </c>
    </row>
    <row r="1184" spans="1:3" x14ac:dyDescent="0.2">
      <c r="A1184" s="1">
        <v>44351</v>
      </c>
      <c r="B1184">
        <v>75.36</v>
      </c>
      <c r="C1184" s="2">
        <f t="shared" si="18"/>
        <v>1.2686288858937892E-2</v>
      </c>
    </row>
    <row r="1185" spans="1:3" x14ac:dyDescent="0.2">
      <c r="A1185" s="1">
        <v>44350</v>
      </c>
      <c r="B1185">
        <v>74.41</v>
      </c>
      <c r="C1185" s="2">
        <f t="shared" si="18"/>
        <v>-8.5642166703011231E-3</v>
      </c>
    </row>
    <row r="1186" spans="1:3" x14ac:dyDescent="0.2">
      <c r="A1186" s="1">
        <v>44349</v>
      </c>
      <c r="B1186">
        <v>75.05</v>
      </c>
      <c r="C1186" s="2">
        <f t="shared" si="18"/>
        <v>-1.2183967435659302E-2</v>
      </c>
    </row>
    <row r="1187" spans="1:3" x14ac:dyDescent="0.2">
      <c r="A1187" s="1">
        <v>44348</v>
      </c>
      <c r="B1187">
        <v>75.97</v>
      </c>
      <c r="C1187" s="2">
        <f t="shared" si="18"/>
        <v>3.2961991740081075E-3</v>
      </c>
    </row>
    <row r="1188" spans="1:3" x14ac:dyDescent="0.2">
      <c r="A1188" s="1">
        <v>44344</v>
      </c>
      <c r="B1188">
        <v>75.72</v>
      </c>
      <c r="C1188" s="2">
        <f t="shared" si="18"/>
        <v>1.7183270370366278E-3</v>
      </c>
    </row>
    <row r="1189" spans="1:3" x14ac:dyDescent="0.2">
      <c r="A1189" s="1">
        <v>44343</v>
      </c>
      <c r="B1189">
        <v>75.59</v>
      </c>
      <c r="C1189" s="2">
        <f t="shared" si="18"/>
        <v>3.5782955151338952E-3</v>
      </c>
    </row>
    <row r="1190" spans="1:3" x14ac:dyDescent="0.2">
      <c r="A1190" s="1">
        <v>44342</v>
      </c>
      <c r="B1190">
        <v>75.319999999999993</v>
      </c>
      <c r="C1190" s="2">
        <f t="shared" si="18"/>
        <v>3.4579100820768187E-3</v>
      </c>
    </row>
    <row r="1191" spans="1:3" x14ac:dyDescent="0.2">
      <c r="A1191" s="1">
        <v>44341</v>
      </c>
      <c r="B1191">
        <v>75.06</v>
      </c>
      <c r="C1191" s="2">
        <f t="shared" si="18"/>
        <v>1.866916130987025E-3</v>
      </c>
    </row>
    <row r="1192" spans="1:3" x14ac:dyDescent="0.2">
      <c r="A1192" s="1">
        <v>44340</v>
      </c>
      <c r="B1192">
        <v>74.92</v>
      </c>
      <c r="C1192" s="2">
        <f t="shared" si="18"/>
        <v>2.8069255881780666E-3</v>
      </c>
    </row>
    <row r="1193" spans="1:3" x14ac:dyDescent="0.2">
      <c r="A1193" s="1">
        <v>44337</v>
      </c>
      <c r="B1193">
        <v>74.709999999999994</v>
      </c>
      <c r="C1193" s="2">
        <f t="shared" si="18"/>
        <v>-8.0278302411431054E-4</v>
      </c>
    </row>
    <row r="1194" spans="1:3" x14ac:dyDescent="0.2">
      <c r="A1194" s="1">
        <v>44336</v>
      </c>
      <c r="B1194">
        <v>74.77</v>
      </c>
      <c r="C1194" s="2">
        <f t="shared" si="18"/>
        <v>2.2762278021091092E-3</v>
      </c>
    </row>
    <row r="1195" spans="1:3" x14ac:dyDescent="0.2">
      <c r="A1195" s="1">
        <v>44335</v>
      </c>
      <c r="B1195">
        <v>74.599999999999994</v>
      </c>
      <c r="C1195" s="2">
        <f t="shared" si="18"/>
        <v>-8.54249722311449E-3</v>
      </c>
    </row>
    <row r="1196" spans="1:3" x14ac:dyDescent="0.2">
      <c r="A1196" s="1">
        <v>44334</v>
      </c>
      <c r="B1196">
        <v>75.239999999999995</v>
      </c>
      <c r="C1196" s="2">
        <f t="shared" si="18"/>
        <v>-1.5561437585924388E-2</v>
      </c>
    </row>
    <row r="1197" spans="1:3" x14ac:dyDescent="0.2">
      <c r="A1197" s="1">
        <v>44333</v>
      </c>
      <c r="B1197">
        <v>76.42</v>
      </c>
      <c r="C1197" s="2">
        <f t="shared" si="18"/>
        <v>-8.4696577711478455E-3</v>
      </c>
    </row>
    <row r="1198" spans="1:3" x14ac:dyDescent="0.2">
      <c r="A1198" s="1">
        <v>44330</v>
      </c>
      <c r="B1198">
        <v>77.069999999999993</v>
      </c>
      <c r="C1198" s="2">
        <f t="shared" si="18"/>
        <v>8.731403617427004E-3</v>
      </c>
    </row>
    <row r="1199" spans="1:3" x14ac:dyDescent="0.2">
      <c r="A1199" s="1">
        <v>44329</v>
      </c>
      <c r="B1199">
        <v>76.400000000000006</v>
      </c>
      <c r="C1199" s="2">
        <f t="shared" si="18"/>
        <v>2.6526754333428604E-2</v>
      </c>
    </row>
    <row r="1200" spans="1:3" x14ac:dyDescent="0.2">
      <c r="A1200" s="1">
        <v>44328</v>
      </c>
      <c r="B1200">
        <v>74.400000000000006</v>
      </c>
      <c r="C1200" s="2">
        <f t="shared" si="18"/>
        <v>-3.1357997000760869E-2</v>
      </c>
    </row>
    <row r="1201" spans="1:3" x14ac:dyDescent="0.2">
      <c r="A1201" s="1">
        <v>44327</v>
      </c>
      <c r="B1201">
        <v>76.77</v>
      </c>
      <c r="C1201" s="2">
        <f t="shared" si="18"/>
        <v>-1.9350448976939601E-2</v>
      </c>
    </row>
    <row r="1202" spans="1:3" x14ac:dyDescent="0.2">
      <c r="A1202" s="1">
        <v>44326</v>
      </c>
      <c r="B1202">
        <v>78.27</v>
      </c>
      <c r="C1202" s="2">
        <f t="shared" si="18"/>
        <v>-3.4436613331169162E-3</v>
      </c>
    </row>
    <row r="1203" spans="1:3" x14ac:dyDescent="0.2">
      <c r="A1203" s="1">
        <v>44323</v>
      </c>
      <c r="B1203">
        <v>78.540000000000006</v>
      </c>
      <c r="C1203" s="2">
        <f t="shared" si="18"/>
        <v>-7.6365028529711118E-4</v>
      </c>
    </row>
    <row r="1204" spans="1:3" x14ac:dyDescent="0.2">
      <c r="A1204" s="1">
        <v>44322</v>
      </c>
      <c r="B1204">
        <v>78.599999999999994</v>
      </c>
      <c r="C1204" s="2">
        <f t="shared" si="18"/>
        <v>1.3319869060709711E-2</v>
      </c>
    </row>
    <row r="1205" spans="1:3" x14ac:dyDescent="0.2">
      <c r="A1205" s="1">
        <v>44321</v>
      </c>
      <c r="B1205">
        <v>77.56</v>
      </c>
      <c r="C1205" s="2">
        <f t="shared" si="18"/>
        <v>-9.0212004313779777E-4</v>
      </c>
    </row>
    <row r="1206" spans="1:3" x14ac:dyDescent="0.2">
      <c r="A1206" s="1">
        <v>44320</v>
      </c>
      <c r="B1206">
        <v>77.63</v>
      </c>
      <c r="C1206" s="2">
        <f t="shared" si="18"/>
        <v>1.4793937083814315E-2</v>
      </c>
    </row>
    <row r="1207" spans="1:3" x14ac:dyDescent="0.2">
      <c r="A1207" s="1">
        <v>44319</v>
      </c>
      <c r="B1207">
        <v>76.489999999999995</v>
      </c>
      <c r="C1207" s="2">
        <f t="shared" si="18"/>
        <v>-4.0446268198518114E-3</v>
      </c>
    </row>
    <row r="1208" spans="1:3" x14ac:dyDescent="0.2">
      <c r="A1208" s="1">
        <v>44316</v>
      </c>
      <c r="B1208">
        <v>76.8</v>
      </c>
      <c r="C1208" s="2">
        <f t="shared" si="18"/>
        <v>-1.2422519998557209E-2</v>
      </c>
    </row>
    <row r="1209" spans="1:3" x14ac:dyDescent="0.2">
      <c r="A1209" s="1">
        <v>44315</v>
      </c>
      <c r="B1209">
        <v>77.760000000000005</v>
      </c>
      <c r="C1209" s="2">
        <f t="shared" si="18"/>
        <v>9.6918766010249922E-3</v>
      </c>
    </row>
    <row r="1210" spans="1:3" x14ac:dyDescent="0.2">
      <c r="A1210" s="1">
        <v>44314</v>
      </c>
      <c r="B1210">
        <v>77.010000000000005</v>
      </c>
      <c r="C1210" s="2">
        <f t="shared" si="18"/>
        <v>-4.7930657212080672E-3</v>
      </c>
    </row>
    <row r="1211" spans="1:3" x14ac:dyDescent="0.2">
      <c r="A1211" s="1">
        <v>44313</v>
      </c>
      <c r="B1211">
        <v>77.38</v>
      </c>
      <c r="C1211" s="2">
        <f t="shared" si="18"/>
        <v>6.7427641356688868E-3</v>
      </c>
    </row>
    <row r="1212" spans="1:3" x14ac:dyDescent="0.2">
      <c r="A1212" s="1">
        <v>44312</v>
      </c>
      <c r="B1212">
        <v>76.86</v>
      </c>
      <c r="C1212" s="2">
        <f t="shared" si="18"/>
        <v>-1.1512965922645642E-2</v>
      </c>
    </row>
    <row r="1213" spans="1:3" x14ac:dyDescent="0.2">
      <c r="A1213" s="1">
        <v>44309</v>
      </c>
      <c r="B1213">
        <v>77.75</v>
      </c>
      <c r="C1213" s="2">
        <f t="shared" si="18"/>
        <v>1.6600044003209746E-2</v>
      </c>
    </row>
    <row r="1214" spans="1:3" x14ac:dyDescent="0.2">
      <c r="A1214" s="1">
        <v>44308</v>
      </c>
      <c r="B1214">
        <v>76.47</v>
      </c>
      <c r="C1214" s="2">
        <f t="shared" si="18"/>
        <v>-7.6858321418778143E-3</v>
      </c>
    </row>
    <row r="1215" spans="1:3" x14ac:dyDescent="0.2">
      <c r="A1215" s="1">
        <v>44307</v>
      </c>
      <c r="B1215">
        <v>77.06</v>
      </c>
      <c r="C1215" s="2">
        <f t="shared" si="18"/>
        <v>1.3587875636908841E-2</v>
      </c>
    </row>
    <row r="1216" spans="1:3" x14ac:dyDescent="0.2">
      <c r="A1216" s="1">
        <v>44306</v>
      </c>
      <c r="B1216">
        <v>76.02</v>
      </c>
      <c r="C1216" s="2">
        <f t="shared" si="18"/>
        <v>2.8981709127766306E-3</v>
      </c>
    </row>
    <row r="1217" spans="1:3" x14ac:dyDescent="0.2">
      <c r="A1217" s="1">
        <v>44305</v>
      </c>
      <c r="B1217">
        <v>75.8</v>
      </c>
      <c r="C1217" s="2">
        <f t="shared" si="18"/>
        <v>8.8783462672566513E-3</v>
      </c>
    </row>
    <row r="1218" spans="1:3" x14ac:dyDescent="0.2">
      <c r="A1218" s="1">
        <v>44302</v>
      </c>
      <c r="B1218">
        <v>75.13</v>
      </c>
      <c r="C1218" s="2">
        <f t="shared" si="18"/>
        <v>8.4208209955554548E-3</v>
      </c>
    </row>
    <row r="1219" spans="1:3" x14ac:dyDescent="0.2">
      <c r="A1219" s="1">
        <v>44301</v>
      </c>
      <c r="B1219">
        <v>74.5</v>
      </c>
      <c r="C1219" s="2">
        <f t="shared" ref="C1219:C1282" si="19">+LN(B1219/B1220)</f>
        <v>1.5147706458377827E-2</v>
      </c>
    </row>
    <row r="1220" spans="1:3" x14ac:dyDescent="0.2">
      <c r="A1220" s="1">
        <v>44300</v>
      </c>
      <c r="B1220">
        <v>73.38</v>
      </c>
      <c r="C1220" s="2">
        <f t="shared" si="19"/>
        <v>-1.4979236136439015E-3</v>
      </c>
    </row>
    <row r="1221" spans="1:3" x14ac:dyDescent="0.2">
      <c r="A1221" s="1">
        <v>44299</v>
      </c>
      <c r="B1221">
        <v>73.489999999999995</v>
      </c>
      <c r="C1221" s="2">
        <f t="shared" si="19"/>
        <v>-7.9962477971441751E-3</v>
      </c>
    </row>
    <row r="1222" spans="1:3" x14ac:dyDescent="0.2">
      <c r="A1222" s="1">
        <v>44298</v>
      </c>
      <c r="B1222">
        <v>74.08</v>
      </c>
      <c r="C1222" s="2">
        <f t="shared" si="19"/>
        <v>9.2216547174538525E-3</v>
      </c>
    </row>
    <row r="1223" spans="1:3" x14ac:dyDescent="0.2">
      <c r="A1223" s="1">
        <v>44295</v>
      </c>
      <c r="B1223">
        <v>73.400000000000006</v>
      </c>
      <c r="C1223" s="2">
        <f t="shared" si="19"/>
        <v>8.2079804178298021E-3</v>
      </c>
    </row>
    <row r="1224" spans="1:3" x14ac:dyDescent="0.2">
      <c r="A1224" s="1">
        <v>44294</v>
      </c>
      <c r="B1224">
        <v>72.8</v>
      </c>
      <c r="C1224" s="2">
        <f t="shared" si="19"/>
        <v>-1.5098486156986664E-3</v>
      </c>
    </row>
    <row r="1225" spans="1:3" x14ac:dyDescent="0.2">
      <c r="A1225" s="1">
        <v>44293</v>
      </c>
      <c r="B1225">
        <v>72.91</v>
      </c>
      <c r="C1225" s="2">
        <f t="shared" si="19"/>
        <v>-5.1983701194200302E-3</v>
      </c>
    </row>
    <row r="1226" spans="1:3" x14ac:dyDescent="0.2">
      <c r="A1226" s="1">
        <v>44292</v>
      </c>
      <c r="B1226">
        <v>73.290000000000006</v>
      </c>
      <c r="C1226" s="2">
        <f t="shared" si="19"/>
        <v>-5.0357370791602758E-3</v>
      </c>
    </row>
    <row r="1227" spans="1:3" x14ac:dyDescent="0.2">
      <c r="A1227" s="1">
        <v>44291</v>
      </c>
      <c r="B1227">
        <v>73.66</v>
      </c>
      <c r="C1227" s="2">
        <f t="shared" si="19"/>
        <v>1.037127200230676E-2</v>
      </c>
    </row>
    <row r="1228" spans="1:3" x14ac:dyDescent="0.2">
      <c r="A1228" s="1">
        <v>44287</v>
      </c>
      <c r="B1228">
        <v>72.900000000000006</v>
      </c>
      <c r="C1228" s="2">
        <f t="shared" si="19"/>
        <v>1.7714274444325873E-2</v>
      </c>
    </row>
    <row r="1229" spans="1:3" x14ac:dyDescent="0.2">
      <c r="A1229" s="1">
        <v>44286</v>
      </c>
      <c r="B1229">
        <v>71.62</v>
      </c>
      <c r="C1229" s="2">
        <f t="shared" si="19"/>
        <v>-7.7886346443558907E-3</v>
      </c>
    </row>
    <row r="1230" spans="1:3" x14ac:dyDescent="0.2">
      <c r="A1230" s="1">
        <v>44285</v>
      </c>
      <c r="B1230">
        <v>72.180000000000007</v>
      </c>
      <c r="C1230" s="2">
        <f t="shared" si="19"/>
        <v>-1.1077265048516454E-3</v>
      </c>
    </row>
    <row r="1231" spans="1:3" x14ac:dyDescent="0.2">
      <c r="A1231" s="1">
        <v>44284</v>
      </c>
      <c r="B1231">
        <v>72.260000000000005</v>
      </c>
      <c r="C1231" s="2">
        <f t="shared" si="19"/>
        <v>4.2992923861173713E-3</v>
      </c>
    </row>
    <row r="1232" spans="1:3" x14ac:dyDescent="0.2">
      <c r="A1232" s="1">
        <v>44281</v>
      </c>
      <c r="B1232">
        <v>71.95</v>
      </c>
      <c r="C1232" s="2">
        <f t="shared" si="19"/>
        <v>2.5193085269449269E-2</v>
      </c>
    </row>
    <row r="1233" spans="1:3" x14ac:dyDescent="0.2">
      <c r="A1233" s="1">
        <v>44280</v>
      </c>
      <c r="B1233">
        <v>70.16</v>
      </c>
      <c r="C1233" s="2">
        <f t="shared" si="19"/>
        <v>1.0747398712435264E-2</v>
      </c>
    </row>
    <row r="1234" spans="1:3" x14ac:dyDescent="0.2">
      <c r="A1234" s="1">
        <v>44279</v>
      </c>
      <c r="B1234">
        <v>69.41</v>
      </c>
      <c r="C1234" s="2">
        <f t="shared" si="19"/>
        <v>1.3635256218520662E-2</v>
      </c>
    </row>
    <row r="1235" spans="1:3" x14ac:dyDescent="0.2">
      <c r="A1235" s="1">
        <v>44278</v>
      </c>
      <c r="B1235">
        <v>68.47</v>
      </c>
      <c r="C1235" s="2">
        <f t="shared" si="19"/>
        <v>-1.392335763221055E-2</v>
      </c>
    </row>
    <row r="1236" spans="1:3" x14ac:dyDescent="0.2">
      <c r="A1236" s="1">
        <v>44277</v>
      </c>
      <c r="B1236">
        <v>69.430000000000007</v>
      </c>
      <c r="C1236" s="2">
        <f t="shared" si="19"/>
        <v>-1.583075814533298E-3</v>
      </c>
    </row>
    <row r="1237" spans="1:3" x14ac:dyDescent="0.2">
      <c r="A1237" s="1">
        <v>44274</v>
      </c>
      <c r="B1237">
        <v>69.540000000000006</v>
      </c>
      <c r="C1237" s="2">
        <f t="shared" si="19"/>
        <v>-8.1633106391608701E-3</v>
      </c>
    </row>
    <row r="1238" spans="1:3" x14ac:dyDescent="0.2">
      <c r="A1238" s="1">
        <v>44273</v>
      </c>
      <c r="B1238">
        <v>70.11</v>
      </c>
      <c r="C1238" s="2">
        <f t="shared" si="19"/>
        <v>-8.9457465584581661E-3</v>
      </c>
    </row>
    <row r="1239" spans="1:3" x14ac:dyDescent="0.2">
      <c r="A1239" s="1">
        <v>44272</v>
      </c>
      <c r="B1239">
        <v>70.739999999999995</v>
      </c>
      <c r="C1239" s="2">
        <f t="shared" si="19"/>
        <v>1.4237142529829471E-2</v>
      </c>
    </row>
    <row r="1240" spans="1:3" x14ac:dyDescent="0.2">
      <c r="A1240" s="1">
        <v>44271</v>
      </c>
      <c r="B1240">
        <v>69.739999999999995</v>
      </c>
      <c r="C1240" s="2">
        <f t="shared" si="19"/>
        <v>-7.143908079356099E-3</v>
      </c>
    </row>
    <row r="1241" spans="1:3" x14ac:dyDescent="0.2">
      <c r="A1241" s="1">
        <v>44270</v>
      </c>
      <c r="B1241">
        <v>70.239999999999995</v>
      </c>
      <c r="C1241" s="2">
        <f t="shared" si="19"/>
        <v>1.3040236372462224E-2</v>
      </c>
    </row>
    <row r="1242" spans="1:3" x14ac:dyDescent="0.2">
      <c r="A1242" s="1">
        <v>44267</v>
      </c>
      <c r="B1242">
        <v>69.33</v>
      </c>
      <c r="C1242" s="2">
        <f t="shared" si="19"/>
        <v>2.6157697996977383E-2</v>
      </c>
    </row>
    <row r="1243" spans="1:3" x14ac:dyDescent="0.2">
      <c r="A1243" s="1">
        <v>44266</v>
      </c>
      <c r="B1243">
        <v>67.540000000000006</v>
      </c>
      <c r="C1243" s="2">
        <f t="shared" si="19"/>
        <v>4.4427990364264997E-4</v>
      </c>
    </row>
    <row r="1244" spans="1:3" x14ac:dyDescent="0.2">
      <c r="A1244" s="1">
        <v>44265</v>
      </c>
      <c r="B1244">
        <v>67.510000000000005</v>
      </c>
      <c r="C1244" s="2">
        <f t="shared" si="19"/>
        <v>1.8991224976775026E-2</v>
      </c>
    </row>
    <row r="1245" spans="1:3" x14ac:dyDescent="0.2">
      <c r="A1245" s="1">
        <v>44264</v>
      </c>
      <c r="B1245">
        <v>66.239999999999995</v>
      </c>
      <c r="C1245" s="2">
        <f t="shared" si="19"/>
        <v>2.4183808642816527E-3</v>
      </c>
    </row>
    <row r="1246" spans="1:3" x14ac:dyDescent="0.2">
      <c r="A1246" s="1">
        <v>44263</v>
      </c>
      <c r="B1246">
        <v>66.08</v>
      </c>
      <c r="C1246" s="2">
        <f t="shared" si="19"/>
        <v>-3.4745861680536816E-3</v>
      </c>
    </row>
    <row r="1247" spans="1:3" x14ac:dyDescent="0.2">
      <c r="A1247" s="1">
        <v>44260</v>
      </c>
      <c r="B1247">
        <v>66.31</v>
      </c>
      <c r="C1247" s="2">
        <f t="shared" si="19"/>
        <v>1.06125920239901E-2</v>
      </c>
    </row>
    <row r="1248" spans="1:3" x14ac:dyDescent="0.2">
      <c r="A1248" s="1">
        <v>44259</v>
      </c>
      <c r="B1248">
        <v>65.61</v>
      </c>
      <c r="C1248" s="2">
        <f t="shared" si="19"/>
        <v>-4.1059734890603938E-2</v>
      </c>
    </row>
    <row r="1249" spans="1:3" x14ac:dyDescent="0.2">
      <c r="A1249" s="1">
        <v>44258</v>
      </c>
      <c r="B1249">
        <v>68.36</v>
      </c>
      <c r="C1249" s="2">
        <f t="shared" si="19"/>
        <v>-2.2706883468385463E-2</v>
      </c>
    </row>
    <row r="1250" spans="1:3" x14ac:dyDescent="0.2">
      <c r="A1250" s="1">
        <v>44257</v>
      </c>
      <c r="B1250">
        <v>69.930000000000007</v>
      </c>
      <c r="C1250" s="2">
        <f t="shared" si="19"/>
        <v>-1.462159628554841E-2</v>
      </c>
    </row>
    <row r="1251" spans="1:3" x14ac:dyDescent="0.2">
      <c r="A1251" s="1">
        <v>44256</v>
      </c>
      <c r="B1251">
        <v>70.959999999999994</v>
      </c>
      <c r="C1251" s="2">
        <f t="shared" si="19"/>
        <v>2.2950191240483357E-2</v>
      </c>
    </row>
    <row r="1252" spans="1:3" x14ac:dyDescent="0.2">
      <c r="A1252" s="1">
        <v>44253</v>
      </c>
      <c r="B1252">
        <v>69.349999999999994</v>
      </c>
      <c r="C1252" s="2">
        <f t="shared" si="19"/>
        <v>-4.3249478076307096E-4</v>
      </c>
    </row>
    <row r="1253" spans="1:3" x14ac:dyDescent="0.2">
      <c r="A1253" s="1">
        <v>44252</v>
      </c>
      <c r="B1253">
        <v>69.38</v>
      </c>
      <c r="C1253" s="2">
        <f t="shared" si="19"/>
        <v>-6.6082699897432023E-3</v>
      </c>
    </row>
    <row r="1254" spans="1:3" x14ac:dyDescent="0.2">
      <c r="A1254" s="1">
        <v>44251</v>
      </c>
      <c r="B1254">
        <v>69.84</v>
      </c>
      <c r="C1254" s="2">
        <f t="shared" si="19"/>
        <v>8.7726168414128045E-3</v>
      </c>
    </row>
    <row r="1255" spans="1:3" x14ac:dyDescent="0.2">
      <c r="A1255" s="1">
        <v>44250</v>
      </c>
      <c r="B1255">
        <v>69.23</v>
      </c>
      <c r="C1255" s="2">
        <f t="shared" si="19"/>
        <v>-2.3084702215233708E-3</v>
      </c>
    </row>
    <row r="1256" spans="1:3" x14ac:dyDescent="0.2">
      <c r="A1256" s="1">
        <v>44249</v>
      </c>
      <c r="B1256">
        <v>69.39</v>
      </c>
      <c r="C1256" s="2">
        <f t="shared" si="19"/>
        <v>-8.6096097899906986E-3</v>
      </c>
    </row>
    <row r="1257" spans="1:3" x14ac:dyDescent="0.2">
      <c r="A1257" s="1">
        <v>44246</v>
      </c>
      <c r="B1257">
        <v>69.989999999999995</v>
      </c>
      <c r="C1257" s="2">
        <f t="shared" si="19"/>
        <v>1.1496031190728596E-2</v>
      </c>
    </row>
    <row r="1258" spans="1:3" x14ac:dyDescent="0.2">
      <c r="A1258" s="1">
        <v>44245</v>
      </c>
      <c r="B1258">
        <v>69.19</v>
      </c>
      <c r="C1258" s="2">
        <f t="shared" si="19"/>
        <v>-9.3505680206271424E-3</v>
      </c>
    </row>
    <row r="1259" spans="1:3" x14ac:dyDescent="0.2">
      <c r="A1259" s="1">
        <v>44244</v>
      </c>
      <c r="B1259">
        <v>69.84</v>
      </c>
      <c r="C1259" s="2">
        <f t="shared" si="19"/>
        <v>-1.4216901383285992E-2</v>
      </c>
    </row>
    <row r="1260" spans="1:3" x14ac:dyDescent="0.2">
      <c r="A1260" s="1">
        <v>44243</v>
      </c>
      <c r="B1260">
        <v>70.84</v>
      </c>
      <c r="C1260" s="2">
        <f t="shared" si="19"/>
        <v>-1.4435118565718517E-2</v>
      </c>
    </row>
    <row r="1261" spans="1:3" x14ac:dyDescent="0.2">
      <c r="A1261" s="1">
        <v>44239</v>
      </c>
      <c r="B1261">
        <v>71.87</v>
      </c>
      <c r="C1261" s="2">
        <f t="shared" si="19"/>
        <v>-6.954586830135443E-4</v>
      </c>
    </row>
    <row r="1262" spans="1:3" x14ac:dyDescent="0.2">
      <c r="A1262" s="1">
        <v>44238</v>
      </c>
      <c r="B1262">
        <v>71.92</v>
      </c>
      <c r="C1262" s="2">
        <f t="shared" si="19"/>
        <v>1.390530489621321E-4</v>
      </c>
    </row>
    <row r="1263" spans="1:3" x14ac:dyDescent="0.2">
      <c r="A1263" s="1">
        <v>44237</v>
      </c>
      <c r="B1263">
        <v>71.91</v>
      </c>
      <c r="C1263" s="2">
        <f t="shared" si="19"/>
        <v>-3.3319481054773083E-3</v>
      </c>
    </row>
    <row r="1264" spans="1:3" x14ac:dyDescent="0.2">
      <c r="A1264" s="1">
        <v>44236</v>
      </c>
      <c r="B1264">
        <v>72.150000000000006</v>
      </c>
      <c r="C1264" s="2">
        <f t="shared" si="19"/>
        <v>-8.3125524321025275E-4</v>
      </c>
    </row>
    <row r="1265" spans="1:3" x14ac:dyDescent="0.2">
      <c r="A1265" s="1">
        <v>44235</v>
      </c>
      <c r="B1265">
        <v>72.209999999999994</v>
      </c>
      <c r="C1265" s="2">
        <f t="shared" si="19"/>
        <v>5.8333498746984732E-3</v>
      </c>
    </row>
    <row r="1266" spans="1:3" x14ac:dyDescent="0.2">
      <c r="A1266" s="1">
        <v>44232</v>
      </c>
      <c r="B1266">
        <v>71.790000000000006</v>
      </c>
      <c r="C1266" s="2">
        <f t="shared" si="19"/>
        <v>1.9125881831072566E-2</v>
      </c>
    </row>
    <row r="1267" spans="1:3" x14ac:dyDescent="0.2">
      <c r="A1267" s="1">
        <v>44231</v>
      </c>
      <c r="B1267">
        <v>70.430000000000007</v>
      </c>
      <c r="C1267" s="2">
        <f t="shared" si="19"/>
        <v>-3.2603331736800467E-3</v>
      </c>
    </row>
    <row r="1268" spans="1:3" x14ac:dyDescent="0.2">
      <c r="A1268" s="1">
        <v>44230</v>
      </c>
      <c r="B1268">
        <v>70.66</v>
      </c>
      <c r="C1268" s="2">
        <f t="shared" si="19"/>
        <v>-1.1315418463354106E-3</v>
      </c>
    </row>
    <row r="1269" spans="1:3" x14ac:dyDescent="0.2">
      <c r="A1269" s="1">
        <v>44229</v>
      </c>
      <c r="B1269">
        <v>70.739999999999995</v>
      </c>
      <c r="C1269" s="2">
        <f t="shared" si="19"/>
        <v>1.9556686380124446E-2</v>
      </c>
    </row>
    <row r="1270" spans="1:3" x14ac:dyDescent="0.2">
      <c r="A1270" s="1">
        <v>44228</v>
      </c>
      <c r="B1270">
        <v>69.37</v>
      </c>
      <c r="C1270" s="2">
        <f t="shared" si="19"/>
        <v>6.2179363084907116E-3</v>
      </c>
    </row>
    <row r="1271" spans="1:3" x14ac:dyDescent="0.2">
      <c r="A1271" s="1">
        <v>44225</v>
      </c>
      <c r="B1271">
        <v>68.94</v>
      </c>
      <c r="C1271" s="2">
        <f t="shared" si="19"/>
        <v>-2.166667725596997E-2</v>
      </c>
    </row>
    <row r="1272" spans="1:3" x14ac:dyDescent="0.2">
      <c r="A1272" s="1">
        <v>44224</v>
      </c>
      <c r="B1272">
        <v>70.45</v>
      </c>
      <c r="C1272" s="2">
        <f t="shared" si="19"/>
        <v>2.6756486833459187E-2</v>
      </c>
    </row>
    <row r="1273" spans="1:3" x14ac:dyDescent="0.2">
      <c r="A1273" s="1">
        <v>44223</v>
      </c>
      <c r="B1273">
        <v>68.59</v>
      </c>
      <c r="C1273" s="2">
        <f t="shared" si="19"/>
        <v>-3.57999284301617E-2</v>
      </c>
    </row>
    <row r="1274" spans="1:3" x14ac:dyDescent="0.2">
      <c r="A1274" s="1">
        <v>44222</v>
      </c>
      <c r="B1274">
        <v>71.09</v>
      </c>
      <c r="C1274" s="2">
        <f t="shared" si="19"/>
        <v>-5.0336302645970388E-2</v>
      </c>
    </row>
    <row r="1275" spans="1:3" x14ac:dyDescent="0.2">
      <c r="A1275" s="1">
        <v>44221</v>
      </c>
      <c r="B1275">
        <v>74.760000000000005</v>
      </c>
      <c r="C1275" s="2">
        <f t="shared" si="19"/>
        <v>-1.4211010125481996E-2</v>
      </c>
    </row>
    <row r="1276" spans="1:3" x14ac:dyDescent="0.2">
      <c r="A1276" s="1">
        <v>44218</v>
      </c>
      <c r="B1276">
        <v>75.83</v>
      </c>
      <c r="C1276" s="2">
        <f t="shared" si="19"/>
        <v>-4.4736916718526509E-3</v>
      </c>
    </row>
    <row r="1277" spans="1:3" x14ac:dyDescent="0.2">
      <c r="A1277" s="1">
        <v>44217</v>
      </c>
      <c r="B1277">
        <v>76.17</v>
      </c>
      <c r="C1277" s="2">
        <f t="shared" si="19"/>
        <v>-6.8036373920711025E-3</v>
      </c>
    </row>
    <row r="1278" spans="1:3" x14ac:dyDescent="0.2">
      <c r="A1278" s="1">
        <v>44216</v>
      </c>
      <c r="B1278">
        <v>76.69</v>
      </c>
      <c r="C1278" s="2">
        <f t="shared" si="19"/>
        <v>1.7892859939164531E-2</v>
      </c>
    </row>
    <row r="1279" spans="1:3" x14ac:dyDescent="0.2">
      <c r="A1279" s="1">
        <v>44215</v>
      </c>
      <c r="B1279">
        <v>75.33</v>
      </c>
      <c r="C1279" s="2">
        <f t="shared" si="19"/>
        <v>2.4048985964477364E-2</v>
      </c>
    </row>
    <row r="1280" spans="1:3" x14ac:dyDescent="0.2">
      <c r="A1280" s="1">
        <v>44211</v>
      </c>
      <c r="B1280">
        <v>73.540000000000006</v>
      </c>
      <c r="C1280" s="2">
        <f t="shared" si="19"/>
        <v>-1.9658637663184458E-2</v>
      </c>
    </row>
    <row r="1281" spans="1:3" x14ac:dyDescent="0.2">
      <c r="A1281" s="1">
        <v>44210</v>
      </c>
      <c r="B1281">
        <v>75</v>
      </c>
      <c r="C1281" s="2">
        <f t="shared" si="19"/>
        <v>9.5117603725955145E-3</v>
      </c>
    </row>
    <row r="1282" spans="1:3" x14ac:dyDescent="0.2">
      <c r="A1282" s="1">
        <v>44209</v>
      </c>
      <c r="B1282">
        <v>74.290000000000006</v>
      </c>
      <c r="C1282" s="2">
        <f t="shared" si="19"/>
        <v>-1.8141087070650038E-2</v>
      </c>
    </row>
    <row r="1283" spans="1:3" x14ac:dyDescent="0.2">
      <c r="A1283" s="1">
        <v>44208</v>
      </c>
      <c r="B1283">
        <v>75.650000000000006</v>
      </c>
      <c r="C1283" s="2">
        <f t="shared" ref="C1283:C1346" si="20">+LN(B1283/B1284)</f>
        <v>3.9735151618605349E-3</v>
      </c>
    </row>
    <row r="1284" spans="1:3" x14ac:dyDescent="0.2">
      <c r="A1284" s="1">
        <v>44207</v>
      </c>
      <c r="B1284">
        <v>75.349999999999994</v>
      </c>
      <c r="C1284" s="2">
        <f t="shared" si="20"/>
        <v>6.2570929031677816E-3</v>
      </c>
    </row>
    <row r="1285" spans="1:3" x14ac:dyDescent="0.2">
      <c r="A1285" s="1">
        <v>44204</v>
      </c>
      <c r="B1285">
        <v>74.88</v>
      </c>
      <c r="C1285" s="2">
        <f t="shared" si="20"/>
        <v>-1.0678057608301005E-3</v>
      </c>
    </row>
    <row r="1286" spans="1:3" x14ac:dyDescent="0.2">
      <c r="A1286" s="1">
        <v>44203</v>
      </c>
      <c r="B1286">
        <v>74.959999999999994</v>
      </c>
      <c r="C1286" s="2">
        <f t="shared" si="20"/>
        <v>2.8277606247975779E-2</v>
      </c>
    </row>
    <row r="1287" spans="1:3" x14ac:dyDescent="0.2">
      <c r="A1287" s="1">
        <v>44202</v>
      </c>
      <c r="B1287">
        <v>72.87</v>
      </c>
      <c r="C1287" s="2">
        <f t="shared" si="20"/>
        <v>3.8468971629157016E-2</v>
      </c>
    </row>
    <row r="1288" spans="1:3" x14ac:dyDescent="0.2">
      <c r="A1288" s="1">
        <v>44201</v>
      </c>
      <c r="B1288">
        <v>70.12</v>
      </c>
      <c r="C1288" s="2">
        <f t="shared" si="20"/>
        <v>-6.8220844461624516E-3</v>
      </c>
    </row>
    <row r="1289" spans="1:3" x14ac:dyDescent="0.2">
      <c r="A1289" s="1">
        <v>44200</v>
      </c>
      <c r="B1289">
        <v>70.599999999999994</v>
      </c>
      <c r="C1289" s="2">
        <f t="shared" si="20"/>
        <v>-2.4485308578296439E-2</v>
      </c>
    </row>
    <row r="1290" spans="1:3" x14ac:dyDescent="0.2">
      <c r="A1290" s="1">
        <v>44196</v>
      </c>
      <c r="B1290">
        <v>72.349999999999994</v>
      </c>
      <c r="C1290" s="2">
        <f t="shared" si="20"/>
        <v>1.9369126144025567E-3</v>
      </c>
    </row>
    <row r="1291" spans="1:3" x14ac:dyDescent="0.2">
      <c r="A1291" s="1">
        <v>44195</v>
      </c>
      <c r="B1291">
        <v>72.209999999999994</v>
      </c>
      <c r="C1291" s="2">
        <f t="shared" si="20"/>
        <v>5.1371164691460204E-3</v>
      </c>
    </row>
    <row r="1292" spans="1:3" x14ac:dyDescent="0.2">
      <c r="A1292" s="1">
        <v>44194</v>
      </c>
      <c r="B1292">
        <v>71.84</v>
      </c>
      <c r="C1292" s="2">
        <f t="shared" si="20"/>
        <v>-1.3549218753343048E-2</v>
      </c>
    </row>
    <row r="1293" spans="1:3" x14ac:dyDescent="0.2">
      <c r="A1293" s="1">
        <v>44193</v>
      </c>
      <c r="B1293">
        <v>72.819999999999993</v>
      </c>
      <c r="C1293" s="2">
        <f t="shared" si="20"/>
        <v>-2.7461211211996151E-4</v>
      </c>
    </row>
    <row r="1294" spans="1:3" x14ac:dyDescent="0.2">
      <c r="A1294" s="1">
        <v>44189</v>
      </c>
      <c r="B1294">
        <v>72.84</v>
      </c>
      <c r="C1294" s="2">
        <f t="shared" si="20"/>
        <v>1.3738153005642992E-3</v>
      </c>
    </row>
    <row r="1295" spans="1:3" x14ac:dyDescent="0.2">
      <c r="A1295" s="1">
        <v>44188</v>
      </c>
      <c r="B1295">
        <v>72.739999999999995</v>
      </c>
      <c r="C1295" s="2">
        <f t="shared" si="20"/>
        <v>3.71875643765281E-3</v>
      </c>
    </row>
    <row r="1296" spans="1:3" x14ac:dyDescent="0.2">
      <c r="A1296" s="1">
        <v>44187</v>
      </c>
      <c r="B1296">
        <v>72.47</v>
      </c>
      <c r="C1296" s="2">
        <f t="shared" si="20"/>
        <v>6.6454626399786538E-3</v>
      </c>
    </row>
    <row r="1297" spans="1:3" x14ac:dyDescent="0.2">
      <c r="A1297" s="1">
        <v>44186</v>
      </c>
      <c r="B1297">
        <v>71.989999999999995</v>
      </c>
      <c r="C1297" s="2">
        <f t="shared" si="20"/>
        <v>4.1759526164306783E-3</v>
      </c>
    </row>
    <row r="1298" spans="1:3" x14ac:dyDescent="0.2">
      <c r="A1298" s="1">
        <v>44183</v>
      </c>
      <c r="B1298">
        <v>71.69</v>
      </c>
      <c r="C1298" s="2">
        <f t="shared" si="20"/>
        <v>4.4736548818046723E-3</v>
      </c>
    </row>
    <row r="1299" spans="1:3" x14ac:dyDescent="0.2">
      <c r="A1299" s="1">
        <v>44182</v>
      </c>
      <c r="B1299">
        <v>71.37</v>
      </c>
      <c r="C1299" s="2">
        <f t="shared" si="20"/>
        <v>1.4679162663049295E-2</v>
      </c>
    </row>
    <row r="1300" spans="1:3" x14ac:dyDescent="0.2">
      <c r="A1300" s="1">
        <v>44181</v>
      </c>
      <c r="B1300">
        <v>70.33</v>
      </c>
      <c r="C1300" s="2">
        <f t="shared" si="20"/>
        <v>2.9903902668930085E-3</v>
      </c>
    </row>
    <row r="1301" spans="1:3" x14ac:dyDescent="0.2">
      <c r="A1301" s="1">
        <v>44180</v>
      </c>
      <c r="B1301">
        <v>70.12</v>
      </c>
      <c r="C1301" s="2">
        <f t="shared" si="20"/>
        <v>7.4434927126600034E-3</v>
      </c>
    </row>
    <row r="1302" spans="1:3" x14ac:dyDescent="0.2">
      <c r="A1302" s="1">
        <v>44179</v>
      </c>
      <c r="B1302">
        <v>69.599999999999994</v>
      </c>
      <c r="C1302" s="2">
        <f t="shared" si="20"/>
        <v>-5.4449195991681607E-3</v>
      </c>
    </row>
    <row r="1303" spans="1:3" x14ac:dyDescent="0.2">
      <c r="A1303" s="1">
        <v>44176</v>
      </c>
      <c r="B1303">
        <v>69.98</v>
      </c>
      <c r="C1303" s="2">
        <f t="shared" si="20"/>
        <v>2.3129102728386836E-2</v>
      </c>
    </row>
    <row r="1304" spans="1:3" x14ac:dyDescent="0.2">
      <c r="A1304" s="1">
        <v>44175</v>
      </c>
      <c r="B1304">
        <v>68.38</v>
      </c>
      <c r="C1304" s="2">
        <f t="shared" si="20"/>
        <v>2.6358193617386336E-3</v>
      </c>
    </row>
    <row r="1305" spans="1:3" x14ac:dyDescent="0.2">
      <c r="A1305" s="1">
        <v>44174</v>
      </c>
      <c r="B1305">
        <v>68.2</v>
      </c>
      <c r="C1305" s="2">
        <f t="shared" si="20"/>
        <v>6.9153516226041507E-3</v>
      </c>
    </row>
    <row r="1306" spans="1:3" x14ac:dyDescent="0.2">
      <c r="A1306" s="1">
        <v>44173</v>
      </c>
      <c r="B1306">
        <v>67.73</v>
      </c>
      <c r="C1306" s="2">
        <f t="shared" si="20"/>
        <v>9.6432762718042016E-3</v>
      </c>
    </row>
    <row r="1307" spans="1:3" x14ac:dyDescent="0.2">
      <c r="A1307" s="1">
        <v>44172</v>
      </c>
      <c r="B1307">
        <v>67.08</v>
      </c>
      <c r="C1307" s="2">
        <f t="shared" si="20"/>
        <v>1.3425824348320516E-3</v>
      </c>
    </row>
    <row r="1308" spans="1:3" x14ac:dyDescent="0.2">
      <c r="A1308" s="1">
        <v>44169</v>
      </c>
      <c r="B1308">
        <v>66.989999999999995</v>
      </c>
      <c r="C1308" s="2">
        <f t="shared" si="20"/>
        <v>1.2769646966529305E-2</v>
      </c>
    </row>
    <row r="1309" spans="1:3" x14ac:dyDescent="0.2">
      <c r="A1309" s="1">
        <v>44168</v>
      </c>
      <c r="B1309">
        <v>66.14</v>
      </c>
      <c r="C1309" s="2">
        <f t="shared" si="20"/>
        <v>-7.6813390710710264E-3</v>
      </c>
    </row>
    <row r="1310" spans="1:3" x14ac:dyDescent="0.2">
      <c r="A1310" s="1">
        <v>44167</v>
      </c>
      <c r="B1310">
        <v>66.650000000000006</v>
      </c>
      <c r="C1310" s="2">
        <f t="shared" si="20"/>
        <v>-1.2228008014616227E-2</v>
      </c>
    </row>
    <row r="1311" spans="1:3" x14ac:dyDescent="0.2">
      <c r="A1311" s="1">
        <v>44166</v>
      </c>
      <c r="B1311">
        <v>67.47</v>
      </c>
      <c r="C1311" s="2">
        <f t="shared" si="20"/>
        <v>-3.9937927502915341E-3</v>
      </c>
    </row>
    <row r="1312" spans="1:3" x14ac:dyDescent="0.2">
      <c r="A1312" s="1">
        <v>44165</v>
      </c>
      <c r="B1312">
        <v>67.739999999999995</v>
      </c>
      <c r="C1312" s="2">
        <f t="shared" si="20"/>
        <v>-8.2329191871188187E-3</v>
      </c>
    </row>
    <row r="1313" spans="1:3" x14ac:dyDescent="0.2">
      <c r="A1313" s="1">
        <v>44162</v>
      </c>
      <c r="B1313">
        <v>68.3</v>
      </c>
      <c r="C1313" s="2">
        <f t="shared" si="20"/>
        <v>4.1079869976950413E-3</v>
      </c>
    </row>
    <row r="1314" spans="1:3" x14ac:dyDescent="0.2">
      <c r="A1314" s="1">
        <v>44160</v>
      </c>
      <c r="B1314">
        <v>68.02</v>
      </c>
      <c r="C1314" s="2">
        <f t="shared" si="20"/>
        <v>-1.5463473699428472E-2</v>
      </c>
    </row>
    <row r="1315" spans="1:3" x14ac:dyDescent="0.2">
      <c r="A1315" s="1">
        <v>44159</v>
      </c>
      <c r="B1315">
        <v>69.08</v>
      </c>
      <c r="C1315" s="2">
        <f t="shared" si="20"/>
        <v>1.0331121352775136E-2</v>
      </c>
    </row>
    <row r="1316" spans="1:3" x14ac:dyDescent="0.2">
      <c r="A1316" s="1">
        <v>44158</v>
      </c>
      <c r="B1316">
        <v>68.37</v>
      </c>
      <c r="C1316" s="2">
        <f t="shared" si="20"/>
        <v>3.6632761312150454E-3</v>
      </c>
    </row>
    <row r="1317" spans="1:3" x14ac:dyDescent="0.2">
      <c r="A1317" s="1">
        <v>44155</v>
      </c>
      <c r="B1317">
        <v>68.12</v>
      </c>
      <c r="C1317" s="2">
        <f t="shared" si="20"/>
        <v>-4.8326959399702845E-3</v>
      </c>
    </row>
    <row r="1318" spans="1:3" x14ac:dyDescent="0.2">
      <c r="A1318" s="1">
        <v>44154</v>
      </c>
      <c r="B1318">
        <v>68.45</v>
      </c>
      <c r="C1318" s="2">
        <f t="shared" si="20"/>
        <v>8.6567923783737628E-3</v>
      </c>
    </row>
    <row r="1319" spans="1:3" x14ac:dyDescent="0.2">
      <c r="A1319" s="1">
        <v>44153</v>
      </c>
      <c r="B1319">
        <v>67.86</v>
      </c>
      <c r="C1319" s="2">
        <f t="shared" si="20"/>
        <v>-1.0310038471266238E-3</v>
      </c>
    </row>
    <row r="1320" spans="1:3" x14ac:dyDescent="0.2">
      <c r="A1320" s="1">
        <v>44152</v>
      </c>
      <c r="B1320">
        <v>67.930000000000007</v>
      </c>
      <c r="C1320" s="2">
        <f t="shared" si="20"/>
        <v>-1.3161933207062101E-2</v>
      </c>
    </row>
    <row r="1321" spans="1:3" x14ac:dyDescent="0.2">
      <c r="A1321" s="1">
        <v>44151</v>
      </c>
      <c r="B1321">
        <v>68.83</v>
      </c>
      <c r="C1321" s="2">
        <f t="shared" si="20"/>
        <v>1.22790608719046E-2</v>
      </c>
    </row>
    <row r="1322" spans="1:3" x14ac:dyDescent="0.2">
      <c r="A1322" s="1">
        <v>44148</v>
      </c>
      <c r="B1322">
        <v>67.989999999999995</v>
      </c>
      <c r="C1322" s="2">
        <f t="shared" si="20"/>
        <v>1.1241059057422892E-2</v>
      </c>
    </row>
    <row r="1323" spans="1:3" x14ac:dyDescent="0.2">
      <c r="A1323" s="1">
        <v>44147</v>
      </c>
      <c r="B1323">
        <v>67.23</v>
      </c>
      <c r="C1323" s="2">
        <f t="shared" si="20"/>
        <v>-9.3271828751386558E-3</v>
      </c>
    </row>
    <row r="1324" spans="1:3" x14ac:dyDescent="0.2">
      <c r="A1324" s="1">
        <v>44146</v>
      </c>
      <c r="B1324">
        <v>67.86</v>
      </c>
      <c r="C1324" s="2">
        <f t="shared" si="20"/>
        <v>4.8748157693334071E-3</v>
      </c>
    </row>
    <row r="1325" spans="1:3" x14ac:dyDescent="0.2">
      <c r="A1325" s="1">
        <v>44145</v>
      </c>
      <c r="B1325">
        <v>67.53</v>
      </c>
      <c r="C1325" s="2">
        <f t="shared" si="20"/>
        <v>1.7628182808534044E-2</v>
      </c>
    </row>
    <row r="1326" spans="1:3" x14ac:dyDescent="0.2">
      <c r="A1326" s="1">
        <v>44144</v>
      </c>
      <c r="B1326">
        <v>66.349999999999994</v>
      </c>
      <c r="C1326" s="2">
        <f t="shared" si="20"/>
        <v>6.3501876530079595E-3</v>
      </c>
    </row>
    <row r="1327" spans="1:3" x14ac:dyDescent="0.2">
      <c r="A1327" s="1">
        <v>44141</v>
      </c>
      <c r="B1327">
        <v>65.930000000000007</v>
      </c>
      <c r="C1327" s="2">
        <f t="shared" si="20"/>
        <v>6.6961138952462071E-3</v>
      </c>
    </row>
    <row r="1328" spans="1:3" x14ac:dyDescent="0.2">
      <c r="A1328" s="1">
        <v>44140</v>
      </c>
      <c r="B1328">
        <v>65.489999999999995</v>
      </c>
      <c r="C1328" s="2">
        <f t="shared" si="20"/>
        <v>1.9582770568594289E-2</v>
      </c>
    </row>
    <row r="1329" spans="1:3" x14ac:dyDescent="0.2">
      <c r="A1329" s="1">
        <v>44139</v>
      </c>
      <c r="B1329">
        <v>64.22</v>
      </c>
      <c r="C1329" s="2">
        <f t="shared" si="20"/>
        <v>1.3481941155197401E-2</v>
      </c>
    </row>
    <row r="1330" spans="1:3" x14ac:dyDescent="0.2">
      <c r="A1330" s="1">
        <v>44138</v>
      </c>
      <c r="B1330">
        <v>63.36</v>
      </c>
      <c r="C1330" s="2">
        <f t="shared" si="20"/>
        <v>1.1109461982124704E-2</v>
      </c>
    </row>
    <row r="1331" spans="1:3" x14ac:dyDescent="0.2">
      <c r="A1331" s="1">
        <v>44137</v>
      </c>
      <c r="B1331">
        <v>62.66</v>
      </c>
      <c r="C1331" s="2">
        <f t="shared" si="20"/>
        <v>1.2203105833495164E-2</v>
      </c>
    </row>
    <row r="1332" spans="1:3" x14ac:dyDescent="0.2">
      <c r="A1332" s="1">
        <v>44134</v>
      </c>
      <c r="B1332">
        <v>61.9</v>
      </c>
      <c r="C1332" s="2">
        <f t="shared" si="20"/>
        <v>6.4641243362681671E-4</v>
      </c>
    </row>
    <row r="1333" spans="1:3" x14ac:dyDescent="0.2">
      <c r="A1333" s="1">
        <v>44133</v>
      </c>
      <c r="B1333">
        <v>61.86</v>
      </c>
      <c r="C1333" s="2">
        <f t="shared" si="20"/>
        <v>1.3835982093162407E-2</v>
      </c>
    </row>
    <row r="1334" spans="1:3" x14ac:dyDescent="0.2">
      <c r="A1334" s="1">
        <v>44132</v>
      </c>
      <c r="B1334">
        <v>61.01</v>
      </c>
      <c r="C1334" s="2">
        <f t="shared" si="20"/>
        <v>-2.9554028223659386E-2</v>
      </c>
    </row>
    <row r="1335" spans="1:3" x14ac:dyDescent="0.2">
      <c r="A1335" s="1">
        <v>44131</v>
      </c>
      <c r="B1335">
        <v>62.84</v>
      </c>
      <c r="C1335" s="2">
        <f t="shared" si="20"/>
        <v>-1.750971463743126E-2</v>
      </c>
    </row>
    <row r="1336" spans="1:3" x14ac:dyDescent="0.2">
      <c r="A1336" s="1">
        <v>44130</v>
      </c>
      <c r="B1336">
        <v>63.95</v>
      </c>
      <c r="C1336" s="2">
        <f t="shared" si="20"/>
        <v>-2.4988299743142037E-3</v>
      </c>
    </row>
    <row r="1337" spans="1:3" x14ac:dyDescent="0.2">
      <c r="A1337" s="1">
        <v>44127</v>
      </c>
      <c r="B1337">
        <v>64.11</v>
      </c>
      <c r="C1337" s="2">
        <f t="shared" si="20"/>
        <v>-5.4445183881257873E-3</v>
      </c>
    </row>
    <row r="1338" spans="1:3" x14ac:dyDescent="0.2">
      <c r="A1338" s="1">
        <v>44126</v>
      </c>
      <c r="B1338">
        <v>64.459999999999994</v>
      </c>
      <c r="C1338" s="2">
        <f t="shared" si="20"/>
        <v>-3.7163251195632108E-3</v>
      </c>
    </row>
    <row r="1339" spans="1:3" x14ac:dyDescent="0.2">
      <c r="A1339" s="1">
        <v>44125</v>
      </c>
      <c r="B1339">
        <v>64.7</v>
      </c>
      <c r="C1339" s="2">
        <f t="shared" si="20"/>
        <v>-7.3914719025607173E-3</v>
      </c>
    </row>
    <row r="1340" spans="1:3" x14ac:dyDescent="0.2">
      <c r="A1340" s="1">
        <v>44124</v>
      </c>
      <c r="B1340">
        <v>65.180000000000007</v>
      </c>
      <c r="C1340" s="2">
        <f t="shared" si="20"/>
        <v>7.0824006591794532E-3</v>
      </c>
    </row>
    <row r="1341" spans="1:3" x14ac:dyDescent="0.2">
      <c r="A1341" s="1">
        <v>44123</v>
      </c>
      <c r="B1341">
        <v>64.72</v>
      </c>
      <c r="C1341" s="2">
        <f t="shared" si="20"/>
        <v>-1.3048001525291715E-2</v>
      </c>
    </row>
    <row r="1342" spans="1:3" x14ac:dyDescent="0.2">
      <c r="A1342" s="1">
        <v>44120</v>
      </c>
      <c r="B1342">
        <v>65.569999999999993</v>
      </c>
      <c r="C1342" s="2">
        <f t="shared" si="20"/>
        <v>3.2078237237804603E-3</v>
      </c>
    </row>
    <row r="1343" spans="1:3" x14ac:dyDescent="0.2">
      <c r="A1343" s="1">
        <v>44119</v>
      </c>
      <c r="B1343">
        <v>65.36</v>
      </c>
      <c r="C1343" s="2">
        <f t="shared" si="20"/>
        <v>-5.6449917237374487E-3</v>
      </c>
    </row>
    <row r="1344" spans="1:3" x14ac:dyDescent="0.2">
      <c r="A1344" s="1">
        <v>44118</v>
      </c>
      <c r="B1344">
        <v>65.73</v>
      </c>
      <c r="C1344" s="2">
        <f t="shared" si="20"/>
        <v>1.3941244562083661E-2</v>
      </c>
    </row>
    <row r="1345" spans="1:3" x14ac:dyDescent="0.2">
      <c r="A1345" s="1">
        <v>44117</v>
      </c>
      <c r="B1345">
        <v>64.819999999999993</v>
      </c>
      <c r="C1345" s="2">
        <f t="shared" si="20"/>
        <v>-4.6271304905154051E-4</v>
      </c>
    </row>
    <row r="1346" spans="1:3" x14ac:dyDescent="0.2">
      <c r="A1346" s="1">
        <v>44116</v>
      </c>
      <c r="B1346">
        <v>64.849999999999994</v>
      </c>
      <c r="C1346" s="2">
        <f t="shared" si="20"/>
        <v>4.6367934698013039E-3</v>
      </c>
    </row>
    <row r="1347" spans="1:3" x14ac:dyDescent="0.2">
      <c r="A1347" s="1">
        <v>44113</v>
      </c>
      <c r="B1347">
        <v>64.55</v>
      </c>
      <c r="C1347" s="2">
        <f t="shared" ref="C1347:C1410" si="21">+LN(B1347/B1348)</f>
        <v>8.8695827712796157E-3</v>
      </c>
    </row>
    <row r="1348" spans="1:3" x14ac:dyDescent="0.2">
      <c r="A1348" s="1">
        <v>44112</v>
      </c>
      <c r="B1348">
        <v>63.98</v>
      </c>
      <c r="C1348" s="2">
        <f t="shared" si="21"/>
        <v>1.0211383993032995E-2</v>
      </c>
    </row>
    <row r="1349" spans="1:3" x14ac:dyDescent="0.2">
      <c r="A1349" s="1">
        <v>44111</v>
      </c>
      <c r="B1349">
        <v>63.33</v>
      </c>
      <c r="C1349" s="2">
        <f t="shared" si="21"/>
        <v>2.3647051689841901E-2</v>
      </c>
    </row>
    <row r="1350" spans="1:3" x14ac:dyDescent="0.2">
      <c r="A1350" s="1">
        <v>44110</v>
      </c>
      <c r="B1350">
        <v>61.85</v>
      </c>
      <c r="C1350" s="2">
        <f t="shared" si="21"/>
        <v>3.0766763804926174E-3</v>
      </c>
    </row>
    <row r="1351" spans="1:3" x14ac:dyDescent="0.2">
      <c r="A1351" s="1">
        <v>44109</v>
      </c>
      <c r="B1351">
        <v>61.66</v>
      </c>
      <c r="C1351" s="2">
        <f t="shared" si="21"/>
        <v>1.1909758197601266E-2</v>
      </c>
    </row>
    <row r="1352" spans="1:3" x14ac:dyDescent="0.2">
      <c r="A1352" s="1">
        <v>44106</v>
      </c>
      <c r="B1352">
        <v>60.93</v>
      </c>
      <c r="C1352" s="2">
        <f t="shared" si="21"/>
        <v>-1.0124188370059488E-2</v>
      </c>
    </row>
    <row r="1353" spans="1:3" x14ac:dyDescent="0.2">
      <c r="A1353" s="1">
        <v>44105</v>
      </c>
      <c r="B1353">
        <v>61.55</v>
      </c>
      <c r="C1353" s="2">
        <f t="shared" si="21"/>
        <v>3.2546814735420881E-3</v>
      </c>
    </row>
    <row r="1354" spans="1:3" x14ac:dyDescent="0.2">
      <c r="A1354" s="1">
        <v>44104</v>
      </c>
      <c r="B1354">
        <v>61.35</v>
      </c>
      <c r="C1354" s="2">
        <f t="shared" si="21"/>
        <v>0</v>
      </c>
    </row>
    <row r="1355" spans="1:3" x14ac:dyDescent="0.2">
      <c r="A1355" s="1">
        <v>44103</v>
      </c>
      <c r="B1355">
        <v>61.35</v>
      </c>
      <c r="C1355" s="2">
        <f t="shared" si="21"/>
        <v>3.1017900960590736E-3</v>
      </c>
    </row>
    <row r="1356" spans="1:3" x14ac:dyDescent="0.2">
      <c r="A1356" s="1">
        <v>44102</v>
      </c>
      <c r="B1356">
        <v>61.16</v>
      </c>
      <c r="C1356" s="2">
        <f t="shared" si="21"/>
        <v>1.0684740426631326E-2</v>
      </c>
    </row>
    <row r="1357" spans="1:3" x14ac:dyDescent="0.2">
      <c r="A1357" s="1">
        <v>44099</v>
      </c>
      <c r="B1357">
        <v>60.51</v>
      </c>
      <c r="C1357" s="2">
        <f t="shared" si="21"/>
        <v>4.3060682634656596E-3</v>
      </c>
    </row>
    <row r="1358" spans="1:3" x14ac:dyDescent="0.2">
      <c r="A1358" s="1">
        <v>44098</v>
      </c>
      <c r="B1358">
        <v>60.25</v>
      </c>
      <c r="C1358" s="2">
        <f t="shared" si="21"/>
        <v>1.4881973511639468E-2</v>
      </c>
    </row>
    <row r="1359" spans="1:3" x14ac:dyDescent="0.2">
      <c r="A1359" s="1">
        <v>44097</v>
      </c>
      <c r="B1359">
        <v>59.36</v>
      </c>
      <c r="C1359" s="2">
        <f t="shared" si="21"/>
        <v>-1.6374634871790066E-2</v>
      </c>
    </row>
    <row r="1360" spans="1:3" x14ac:dyDescent="0.2">
      <c r="A1360" s="1">
        <v>44096</v>
      </c>
      <c r="B1360">
        <v>60.34</v>
      </c>
      <c r="C1360" s="2">
        <f t="shared" si="21"/>
        <v>1.4355112138960801E-2</v>
      </c>
    </row>
    <row r="1361" spans="1:3" x14ac:dyDescent="0.2">
      <c r="A1361" s="1">
        <v>44095</v>
      </c>
      <c r="B1361">
        <v>59.48</v>
      </c>
      <c r="C1361" s="2">
        <f t="shared" si="21"/>
        <v>-2.6871744585595426E-2</v>
      </c>
    </row>
    <row r="1362" spans="1:3" x14ac:dyDescent="0.2">
      <c r="A1362" s="1">
        <v>44092</v>
      </c>
      <c r="B1362">
        <v>61.1</v>
      </c>
      <c r="C1362" s="2">
        <f t="shared" si="21"/>
        <v>1.1463196211459711E-3</v>
      </c>
    </row>
    <row r="1363" spans="1:3" x14ac:dyDescent="0.2">
      <c r="A1363" s="1">
        <v>44091</v>
      </c>
      <c r="B1363">
        <v>61.03</v>
      </c>
      <c r="C1363" s="2">
        <f t="shared" si="21"/>
        <v>-1.638404197979279E-4</v>
      </c>
    </row>
    <row r="1364" spans="1:3" x14ac:dyDescent="0.2">
      <c r="A1364" s="1">
        <v>44090</v>
      </c>
      <c r="B1364">
        <v>61.04</v>
      </c>
      <c r="C1364" s="2">
        <f t="shared" si="21"/>
        <v>-6.5509337423011135E-4</v>
      </c>
    </row>
    <row r="1365" spans="1:3" x14ac:dyDescent="0.2">
      <c r="A1365" s="1">
        <v>44089</v>
      </c>
      <c r="B1365">
        <v>61.08</v>
      </c>
      <c r="C1365" s="2">
        <f t="shared" si="21"/>
        <v>3.7726609168955024E-3</v>
      </c>
    </row>
    <row r="1366" spans="1:3" x14ac:dyDescent="0.2">
      <c r="A1366" s="1">
        <v>44088</v>
      </c>
      <c r="B1366">
        <v>60.85</v>
      </c>
      <c r="C1366" s="2">
        <f t="shared" si="21"/>
        <v>1.1071748231636969E-2</v>
      </c>
    </row>
    <row r="1367" spans="1:3" x14ac:dyDescent="0.2">
      <c r="A1367" s="1">
        <v>44085</v>
      </c>
      <c r="B1367">
        <v>60.18</v>
      </c>
      <c r="C1367" s="2">
        <f t="shared" si="21"/>
        <v>1.8278365844315803E-2</v>
      </c>
    </row>
    <row r="1368" spans="1:3" x14ac:dyDescent="0.2">
      <c r="A1368" s="1">
        <v>44084</v>
      </c>
      <c r="B1368">
        <v>59.09</v>
      </c>
      <c r="C1368" s="2">
        <f t="shared" si="21"/>
        <v>-6.7670447515530039E-4</v>
      </c>
    </row>
    <row r="1369" spans="1:3" x14ac:dyDescent="0.2">
      <c r="A1369" s="1">
        <v>44083</v>
      </c>
      <c r="B1369">
        <v>59.13</v>
      </c>
      <c r="C1369" s="2">
        <f t="shared" si="21"/>
        <v>2.1539294246991317E-2</v>
      </c>
    </row>
    <row r="1370" spans="1:3" x14ac:dyDescent="0.2">
      <c r="A1370" s="1">
        <v>44082</v>
      </c>
      <c r="B1370">
        <v>57.87</v>
      </c>
      <c r="C1370" s="2">
        <f t="shared" si="21"/>
        <v>-1.0827638652063503E-2</v>
      </c>
    </row>
    <row r="1371" spans="1:3" x14ac:dyDescent="0.2">
      <c r="A1371" s="1">
        <v>44078</v>
      </c>
      <c r="B1371">
        <v>58.5</v>
      </c>
      <c r="C1371" s="2">
        <f t="shared" si="21"/>
        <v>2.9102134722646935E-3</v>
      </c>
    </row>
    <row r="1372" spans="1:3" x14ac:dyDescent="0.2">
      <c r="A1372" s="1">
        <v>44077</v>
      </c>
      <c r="B1372">
        <v>58.33</v>
      </c>
      <c r="C1372" s="2">
        <f t="shared" si="21"/>
        <v>-2.8228021456554484E-2</v>
      </c>
    </row>
    <row r="1373" spans="1:3" x14ac:dyDescent="0.2">
      <c r="A1373" s="1">
        <v>44076</v>
      </c>
      <c r="B1373">
        <v>60</v>
      </c>
      <c r="C1373" s="2">
        <f t="shared" si="21"/>
        <v>2.0883210916424262E-2</v>
      </c>
    </row>
    <row r="1374" spans="1:3" x14ac:dyDescent="0.2">
      <c r="A1374" s="1">
        <v>44075</v>
      </c>
      <c r="B1374">
        <v>58.76</v>
      </c>
      <c r="C1374" s="2">
        <f t="shared" si="21"/>
        <v>1.267357261241854E-2</v>
      </c>
    </row>
    <row r="1375" spans="1:3" x14ac:dyDescent="0.2">
      <c r="A1375" s="1">
        <v>44074</v>
      </c>
      <c r="B1375">
        <v>58.02</v>
      </c>
      <c r="C1375" s="2">
        <f t="shared" si="21"/>
        <v>-2.5819792294121428E-3</v>
      </c>
    </row>
    <row r="1376" spans="1:3" x14ac:dyDescent="0.2">
      <c r="A1376" s="1">
        <v>44071</v>
      </c>
      <c r="B1376">
        <v>58.17</v>
      </c>
      <c r="C1376" s="2">
        <f t="shared" si="21"/>
        <v>1.0319918356559094E-3</v>
      </c>
    </row>
    <row r="1377" spans="1:3" x14ac:dyDescent="0.2">
      <c r="A1377" s="1">
        <v>44070</v>
      </c>
      <c r="B1377">
        <v>58.11</v>
      </c>
      <c r="C1377" s="2">
        <f t="shared" si="21"/>
        <v>-8.7381691957321411E-3</v>
      </c>
    </row>
    <row r="1378" spans="1:3" x14ac:dyDescent="0.2">
      <c r="A1378" s="1">
        <v>44069</v>
      </c>
      <c r="B1378">
        <v>58.62</v>
      </c>
      <c r="C1378" s="2">
        <f t="shared" si="21"/>
        <v>3.7600454485650259E-3</v>
      </c>
    </row>
    <row r="1379" spans="1:3" x14ac:dyDescent="0.2">
      <c r="A1379" s="1">
        <v>44068</v>
      </c>
      <c r="B1379">
        <v>58.4</v>
      </c>
      <c r="C1379" s="2">
        <f t="shared" si="21"/>
        <v>4.1180566089175476E-3</v>
      </c>
    </row>
    <row r="1380" spans="1:3" x14ac:dyDescent="0.2">
      <c r="A1380" s="1">
        <v>44067</v>
      </c>
      <c r="B1380">
        <v>58.16</v>
      </c>
      <c r="C1380" s="2">
        <f t="shared" si="21"/>
        <v>1.6119596804253025E-2</v>
      </c>
    </row>
    <row r="1381" spans="1:3" x14ac:dyDescent="0.2">
      <c r="A1381" s="1">
        <v>44064</v>
      </c>
      <c r="B1381">
        <v>57.23</v>
      </c>
      <c r="C1381" s="2">
        <f t="shared" si="21"/>
        <v>4.0269685864607876E-3</v>
      </c>
    </row>
    <row r="1382" spans="1:3" x14ac:dyDescent="0.2">
      <c r="A1382" s="1">
        <v>44063</v>
      </c>
      <c r="B1382">
        <v>57</v>
      </c>
      <c r="C1382" s="2">
        <f t="shared" si="21"/>
        <v>-1.7528488274143605E-3</v>
      </c>
    </row>
    <row r="1383" spans="1:3" x14ac:dyDescent="0.2">
      <c r="A1383" s="1">
        <v>44062</v>
      </c>
      <c r="B1383">
        <v>57.1</v>
      </c>
      <c r="C1383" s="2">
        <f t="shared" si="21"/>
        <v>-1.0502363997020301E-3</v>
      </c>
    </row>
    <row r="1384" spans="1:3" x14ac:dyDescent="0.2">
      <c r="A1384" s="1">
        <v>44061</v>
      </c>
      <c r="B1384">
        <v>57.16</v>
      </c>
      <c r="C1384" s="2">
        <f t="shared" si="21"/>
        <v>0</v>
      </c>
    </row>
    <row r="1385" spans="1:3" x14ac:dyDescent="0.2">
      <c r="A1385" s="1">
        <v>44060</v>
      </c>
      <c r="B1385">
        <v>57.16</v>
      </c>
      <c r="C1385" s="2">
        <f t="shared" si="21"/>
        <v>-1.7493221421332699E-4</v>
      </c>
    </row>
    <row r="1386" spans="1:3" x14ac:dyDescent="0.2">
      <c r="A1386" s="1">
        <v>44057</v>
      </c>
      <c r="B1386">
        <v>57.17</v>
      </c>
      <c r="C1386" s="2">
        <f t="shared" si="21"/>
        <v>6.999125395087774E-4</v>
      </c>
    </row>
    <row r="1387" spans="1:3" x14ac:dyDescent="0.2">
      <c r="A1387" s="1">
        <v>44056</v>
      </c>
      <c r="B1387">
        <v>57.13</v>
      </c>
      <c r="C1387" s="2">
        <f t="shared" si="21"/>
        <v>-9.5811202403224098E-3</v>
      </c>
    </row>
    <row r="1388" spans="1:3" x14ac:dyDescent="0.2">
      <c r="A1388" s="1">
        <v>44055</v>
      </c>
      <c r="B1388">
        <v>57.68</v>
      </c>
      <c r="C1388" s="2">
        <f t="shared" si="21"/>
        <v>5.2146824234749556E-3</v>
      </c>
    </row>
    <row r="1389" spans="1:3" x14ac:dyDescent="0.2">
      <c r="A1389" s="1">
        <v>44054</v>
      </c>
      <c r="B1389">
        <v>57.38</v>
      </c>
      <c r="C1389" s="2">
        <f t="shared" si="21"/>
        <v>4.2180823665852005E-2</v>
      </c>
    </row>
    <row r="1390" spans="1:3" x14ac:dyDescent="0.2">
      <c r="A1390" s="1">
        <v>44053</v>
      </c>
      <c r="B1390">
        <v>55.01</v>
      </c>
      <c r="C1390" s="2">
        <f t="shared" si="21"/>
        <v>5.1029817315399106E-3</v>
      </c>
    </row>
    <row r="1391" spans="1:3" x14ac:dyDescent="0.2">
      <c r="A1391" s="1">
        <v>44050</v>
      </c>
      <c r="B1391">
        <v>54.73</v>
      </c>
      <c r="C1391" s="2">
        <f t="shared" si="21"/>
        <v>1.0654031708827155E-2</v>
      </c>
    </row>
    <row r="1392" spans="1:3" x14ac:dyDescent="0.2">
      <c r="A1392" s="1">
        <v>44049</v>
      </c>
      <c r="B1392">
        <v>54.15</v>
      </c>
      <c r="C1392" s="2">
        <f t="shared" si="21"/>
        <v>-2.9503985997543828E-3</v>
      </c>
    </row>
    <row r="1393" spans="1:3" x14ac:dyDescent="0.2">
      <c r="A1393" s="1">
        <v>44048</v>
      </c>
      <c r="B1393">
        <v>54.31</v>
      </c>
      <c r="C1393" s="2">
        <f t="shared" si="21"/>
        <v>1.3719162153885073E-2</v>
      </c>
    </row>
    <row r="1394" spans="1:3" x14ac:dyDescent="0.2">
      <c r="A1394" s="1">
        <v>44047</v>
      </c>
      <c r="B1394">
        <v>53.57</v>
      </c>
      <c r="C1394" s="2">
        <f t="shared" si="21"/>
        <v>2.0554991820959595E-3</v>
      </c>
    </row>
    <row r="1395" spans="1:3" x14ac:dyDescent="0.2">
      <c r="A1395" s="1">
        <v>44046</v>
      </c>
      <c r="B1395">
        <v>53.46</v>
      </c>
      <c r="C1395" s="2">
        <f t="shared" si="21"/>
        <v>4.1237171838619351E-3</v>
      </c>
    </row>
    <row r="1396" spans="1:3" x14ac:dyDescent="0.2">
      <c r="A1396" s="1">
        <v>44043</v>
      </c>
      <c r="B1396">
        <v>53.24</v>
      </c>
      <c r="C1396" s="2">
        <f t="shared" si="21"/>
        <v>3.0097840629041972E-3</v>
      </c>
    </row>
    <row r="1397" spans="1:3" x14ac:dyDescent="0.2">
      <c r="A1397" s="1">
        <v>44042</v>
      </c>
      <c r="B1397">
        <v>53.08</v>
      </c>
      <c r="C1397" s="2">
        <f t="shared" si="21"/>
        <v>-1.1240283199419656E-2</v>
      </c>
    </row>
    <row r="1398" spans="1:3" x14ac:dyDescent="0.2">
      <c r="A1398" s="1">
        <v>44041</v>
      </c>
      <c r="B1398">
        <v>53.68</v>
      </c>
      <c r="C1398" s="2">
        <f t="shared" si="21"/>
        <v>8.0426880738917895E-3</v>
      </c>
    </row>
    <row r="1399" spans="1:3" x14ac:dyDescent="0.2">
      <c r="A1399" s="1">
        <v>44040</v>
      </c>
      <c r="B1399">
        <v>53.25</v>
      </c>
      <c r="C1399" s="2">
        <f t="shared" si="21"/>
        <v>-1.8236456263434699E-2</v>
      </c>
    </row>
    <row r="1400" spans="1:3" x14ac:dyDescent="0.2">
      <c r="A1400" s="1">
        <v>44039</v>
      </c>
      <c r="B1400">
        <v>54.23</v>
      </c>
      <c r="C1400" s="2">
        <f t="shared" si="21"/>
        <v>1.6547742099101054E-2</v>
      </c>
    </row>
    <row r="1401" spans="1:3" x14ac:dyDescent="0.2">
      <c r="A1401" s="1">
        <v>44036</v>
      </c>
      <c r="B1401">
        <v>53.34</v>
      </c>
      <c r="C1401" s="2">
        <f t="shared" si="21"/>
        <v>-2.077996849174531E-2</v>
      </c>
    </row>
    <row r="1402" spans="1:3" x14ac:dyDescent="0.2">
      <c r="A1402" s="1">
        <v>44035</v>
      </c>
      <c r="B1402">
        <v>54.46</v>
      </c>
      <c r="C1402" s="2">
        <f t="shared" si="21"/>
        <v>4.142659640069319E-2</v>
      </c>
    </row>
    <row r="1403" spans="1:3" x14ac:dyDescent="0.2">
      <c r="A1403" s="1">
        <v>44034</v>
      </c>
      <c r="B1403">
        <v>52.25</v>
      </c>
      <c r="C1403" s="2">
        <f t="shared" si="21"/>
        <v>-7.652573551188835E-4</v>
      </c>
    </row>
    <row r="1404" spans="1:3" x14ac:dyDescent="0.2">
      <c r="A1404" s="1">
        <v>44033</v>
      </c>
      <c r="B1404">
        <v>52.29</v>
      </c>
      <c r="C1404" s="2">
        <f t="shared" si="21"/>
        <v>5.946118986695133E-3</v>
      </c>
    </row>
    <row r="1405" spans="1:3" x14ac:dyDescent="0.2">
      <c r="A1405" s="1">
        <v>44032</v>
      </c>
      <c r="B1405">
        <v>51.98</v>
      </c>
      <c r="C1405" s="2">
        <f t="shared" si="21"/>
        <v>-7.4748790780521787E-3</v>
      </c>
    </row>
    <row r="1406" spans="1:3" x14ac:dyDescent="0.2">
      <c r="A1406" s="1">
        <v>44029</v>
      </c>
      <c r="B1406">
        <v>52.37</v>
      </c>
      <c r="C1406" s="2">
        <f t="shared" si="21"/>
        <v>3.8197097485028928E-4</v>
      </c>
    </row>
    <row r="1407" spans="1:3" x14ac:dyDescent="0.2">
      <c r="A1407" s="1">
        <v>44028</v>
      </c>
      <c r="B1407">
        <v>52.35</v>
      </c>
      <c r="C1407" s="2">
        <f t="shared" si="21"/>
        <v>-3.0516903332219614E-3</v>
      </c>
    </row>
    <row r="1408" spans="1:3" x14ac:dyDescent="0.2">
      <c r="A1408" s="1">
        <v>44027</v>
      </c>
      <c r="B1408">
        <v>52.51</v>
      </c>
      <c r="C1408" s="2">
        <f t="shared" si="21"/>
        <v>2.0976425812024465E-2</v>
      </c>
    </row>
    <row r="1409" spans="1:3" x14ac:dyDescent="0.2">
      <c r="A1409" s="1">
        <v>44026</v>
      </c>
      <c r="B1409">
        <v>51.42</v>
      </c>
      <c r="C1409" s="2">
        <f t="shared" si="21"/>
        <v>5.5375393205729442E-2</v>
      </c>
    </row>
    <row r="1410" spans="1:3" x14ac:dyDescent="0.2">
      <c r="A1410" s="1">
        <v>44025</v>
      </c>
      <c r="B1410">
        <v>48.65</v>
      </c>
      <c r="C1410" s="2">
        <f t="shared" si="21"/>
        <v>4.7388571221015372E-3</v>
      </c>
    </row>
    <row r="1411" spans="1:3" x14ac:dyDescent="0.2">
      <c r="A1411" s="1">
        <v>44022</v>
      </c>
      <c r="B1411">
        <v>48.42</v>
      </c>
      <c r="C1411" s="2">
        <f t="shared" ref="C1411:C1474" si="22">+LN(B1411/B1412)</f>
        <v>9.9627225036742866E-3</v>
      </c>
    </row>
    <row r="1412" spans="1:3" x14ac:dyDescent="0.2">
      <c r="A1412" s="1">
        <v>44021</v>
      </c>
      <c r="B1412">
        <v>47.94</v>
      </c>
      <c r="C1412" s="2">
        <f t="shared" si="22"/>
        <v>6.4874141934691959E-3</v>
      </c>
    </row>
    <row r="1413" spans="1:3" x14ac:dyDescent="0.2">
      <c r="A1413" s="1">
        <v>44020</v>
      </c>
      <c r="B1413">
        <v>47.63</v>
      </c>
      <c r="C1413" s="2">
        <f t="shared" si="22"/>
        <v>-1.2589174973638257E-3</v>
      </c>
    </row>
    <row r="1414" spans="1:3" x14ac:dyDescent="0.2">
      <c r="A1414" s="1">
        <v>44019</v>
      </c>
      <c r="B1414">
        <v>47.69</v>
      </c>
      <c r="C1414" s="2">
        <f t="shared" si="22"/>
        <v>-1.2088517362268687E-2</v>
      </c>
    </row>
    <row r="1415" spans="1:3" x14ac:dyDescent="0.2">
      <c r="A1415" s="1">
        <v>44018</v>
      </c>
      <c r="B1415">
        <v>48.27</v>
      </c>
      <c r="C1415" s="2">
        <f t="shared" si="22"/>
        <v>-4.9597125847234995E-3</v>
      </c>
    </row>
    <row r="1416" spans="1:3" x14ac:dyDescent="0.2">
      <c r="A1416" s="1">
        <v>44014</v>
      </c>
      <c r="B1416">
        <v>48.51</v>
      </c>
      <c r="C1416" s="2">
        <f t="shared" si="22"/>
        <v>2.2725881619865725E-2</v>
      </c>
    </row>
    <row r="1417" spans="1:3" x14ac:dyDescent="0.2">
      <c r="A1417" s="1">
        <v>44013</v>
      </c>
      <c r="B1417">
        <v>47.42</v>
      </c>
      <c r="C1417" s="2">
        <f t="shared" si="22"/>
        <v>-1.1948575232894694E-2</v>
      </c>
    </row>
    <row r="1418" spans="1:3" x14ac:dyDescent="0.2">
      <c r="A1418" s="1">
        <v>44012</v>
      </c>
      <c r="B1418">
        <v>47.99</v>
      </c>
      <c r="C1418" s="2">
        <f t="shared" si="22"/>
        <v>1.0894723306927643E-2</v>
      </c>
    </row>
    <row r="1419" spans="1:3" x14ac:dyDescent="0.2">
      <c r="A1419" s="1">
        <v>44011</v>
      </c>
      <c r="B1419">
        <v>47.47</v>
      </c>
      <c r="C1419" s="2">
        <f t="shared" si="22"/>
        <v>1.3573909367776332E-2</v>
      </c>
    </row>
    <row r="1420" spans="1:3" x14ac:dyDescent="0.2">
      <c r="A1420" s="1">
        <v>44008</v>
      </c>
      <c r="B1420">
        <v>46.83</v>
      </c>
      <c r="C1420" s="2">
        <f t="shared" si="22"/>
        <v>-1.4936522567832536E-3</v>
      </c>
    </row>
    <row r="1421" spans="1:3" x14ac:dyDescent="0.2">
      <c r="A1421" s="1">
        <v>44007</v>
      </c>
      <c r="B1421">
        <v>46.9</v>
      </c>
      <c r="C1421" s="2">
        <f t="shared" si="22"/>
        <v>1.05027221991492E-2</v>
      </c>
    </row>
    <row r="1422" spans="1:3" x14ac:dyDescent="0.2">
      <c r="A1422" s="1">
        <v>44006</v>
      </c>
      <c r="B1422">
        <v>46.41</v>
      </c>
      <c r="C1422" s="2">
        <f t="shared" si="22"/>
        <v>-2.9929008777094271E-2</v>
      </c>
    </row>
    <row r="1423" spans="1:3" x14ac:dyDescent="0.2">
      <c r="A1423" s="1">
        <v>44005</v>
      </c>
      <c r="B1423">
        <v>47.82</v>
      </c>
      <c r="C1423" s="2">
        <f t="shared" si="22"/>
        <v>-3.9653605126702572E-3</v>
      </c>
    </row>
    <row r="1424" spans="1:3" x14ac:dyDescent="0.2">
      <c r="A1424" s="1">
        <v>44004</v>
      </c>
      <c r="B1424">
        <v>48.01</v>
      </c>
      <c r="C1424" s="2">
        <f t="shared" si="22"/>
        <v>-9.1230157939263742E-3</v>
      </c>
    </row>
    <row r="1425" spans="1:3" x14ac:dyDescent="0.2">
      <c r="A1425" s="1">
        <v>44001</v>
      </c>
      <c r="B1425">
        <v>48.45</v>
      </c>
      <c r="C1425" s="2">
        <f t="shared" si="22"/>
        <v>1.4458331548940061E-3</v>
      </c>
    </row>
    <row r="1426" spans="1:3" x14ac:dyDescent="0.2">
      <c r="A1426" s="1">
        <v>44000</v>
      </c>
      <c r="B1426">
        <v>48.38</v>
      </c>
      <c r="C1426" s="2">
        <f t="shared" si="22"/>
        <v>-1.3141872918085338E-2</v>
      </c>
    </row>
    <row r="1427" spans="1:3" x14ac:dyDescent="0.2">
      <c r="A1427" s="1">
        <v>43999</v>
      </c>
      <c r="B1427">
        <v>49.02</v>
      </c>
      <c r="C1427" s="2">
        <f t="shared" si="22"/>
        <v>1.6333200854411029E-3</v>
      </c>
    </row>
    <row r="1428" spans="1:3" x14ac:dyDescent="0.2">
      <c r="A1428" s="1">
        <v>43998</v>
      </c>
      <c r="B1428">
        <v>48.94</v>
      </c>
      <c r="C1428" s="2">
        <f t="shared" si="22"/>
        <v>3.8898605706692655E-3</v>
      </c>
    </row>
    <row r="1429" spans="1:3" x14ac:dyDescent="0.2">
      <c r="A1429" s="1">
        <v>43997</v>
      </c>
      <c r="B1429">
        <v>48.75</v>
      </c>
      <c r="C1429" s="2">
        <f t="shared" si="22"/>
        <v>2.0533888118422282E-3</v>
      </c>
    </row>
    <row r="1430" spans="1:3" x14ac:dyDescent="0.2">
      <c r="A1430" s="1">
        <v>43994</v>
      </c>
      <c r="B1430">
        <v>48.65</v>
      </c>
      <c r="C1430" s="2">
        <f t="shared" si="22"/>
        <v>-1.3475091604020798E-2</v>
      </c>
    </row>
    <row r="1431" spans="1:3" x14ac:dyDescent="0.2">
      <c r="A1431" s="1">
        <v>43993</v>
      </c>
      <c r="B1431">
        <v>49.31</v>
      </c>
      <c r="C1431" s="2">
        <f t="shared" si="22"/>
        <v>-6.7247280689105918E-2</v>
      </c>
    </row>
    <row r="1432" spans="1:3" x14ac:dyDescent="0.2">
      <c r="A1432" s="1">
        <v>43992</v>
      </c>
      <c r="B1432">
        <v>52.74</v>
      </c>
      <c r="C1432" s="2">
        <f t="shared" si="22"/>
        <v>-9.8113994606454334E-3</v>
      </c>
    </row>
    <row r="1433" spans="1:3" x14ac:dyDescent="0.2">
      <c r="A1433" s="1">
        <v>43991</v>
      </c>
      <c r="B1433">
        <v>53.26</v>
      </c>
      <c r="C1433" s="2">
        <f t="shared" si="22"/>
        <v>-9.7160704549325381E-3</v>
      </c>
    </row>
    <row r="1434" spans="1:3" x14ac:dyDescent="0.2">
      <c r="A1434" s="1">
        <v>43990</v>
      </c>
      <c r="B1434">
        <v>53.78</v>
      </c>
      <c r="C1434" s="2">
        <f t="shared" si="22"/>
        <v>2.237566323946566E-2</v>
      </c>
    </row>
    <row r="1435" spans="1:3" x14ac:dyDescent="0.2">
      <c r="A1435" s="1">
        <v>43987</v>
      </c>
      <c r="B1435">
        <v>52.59</v>
      </c>
      <c r="C1435" s="2">
        <f t="shared" si="22"/>
        <v>3.5220358641949792E-2</v>
      </c>
    </row>
    <row r="1436" spans="1:3" x14ac:dyDescent="0.2">
      <c r="A1436" s="1">
        <v>43986</v>
      </c>
      <c r="B1436">
        <v>50.77</v>
      </c>
      <c r="C1436" s="2">
        <f t="shared" si="22"/>
        <v>2.4525204898089605E-2</v>
      </c>
    </row>
    <row r="1437" spans="1:3" x14ac:dyDescent="0.2">
      <c r="A1437" s="1">
        <v>43985</v>
      </c>
      <c r="B1437">
        <v>49.54</v>
      </c>
      <c r="C1437" s="2">
        <f t="shared" si="22"/>
        <v>1.874545517323617E-2</v>
      </c>
    </row>
    <row r="1438" spans="1:3" x14ac:dyDescent="0.2">
      <c r="A1438" s="1">
        <v>43984</v>
      </c>
      <c r="B1438">
        <v>48.62</v>
      </c>
      <c r="C1438" s="2">
        <f t="shared" si="22"/>
        <v>4.1220173780648602E-3</v>
      </c>
    </row>
    <row r="1439" spans="1:3" x14ac:dyDescent="0.2">
      <c r="A1439" s="1">
        <v>43983</v>
      </c>
      <c r="B1439">
        <v>48.42</v>
      </c>
      <c r="C1439" s="2">
        <f t="shared" si="22"/>
        <v>4.3464830923815026E-3</v>
      </c>
    </row>
    <row r="1440" spans="1:3" x14ac:dyDescent="0.2">
      <c r="A1440" s="1">
        <v>43980</v>
      </c>
      <c r="B1440">
        <v>48.21</v>
      </c>
      <c r="C1440" s="2">
        <f t="shared" si="22"/>
        <v>-1.0317879400920429E-2</v>
      </c>
    </row>
    <row r="1441" spans="1:3" x14ac:dyDescent="0.2">
      <c r="A1441" s="1">
        <v>43979</v>
      </c>
      <c r="B1441">
        <v>48.71</v>
      </c>
      <c r="C1441" s="2">
        <f t="shared" si="22"/>
        <v>4.9392979611666502E-3</v>
      </c>
    </row>
    <row r="1442" spans="1:3" x14ac:dyDescent="0.2">
      <c r="A1442" s="1">
        <v>43978</v>
      </c>
      <c r="B1442">
        <v>48.47</v>
      </c>
      <c r="C1442" s="2">
        <f t="shared" si="22"/>
        <v>1.8532544982473049E-2</v>
      </c>
    </row>
    <row r="1443" spans="1:3" x14ac:dyDescent="0.2">
      <c r="A1443" s="1">
        <v>43977</v>
      </c>
      <c r="B1443">
        <v>47.58</v>
      </c>
      <c r="C1443" s="2">
        <f t="shared" si="22"/>
        <v>3.6601196265730968E-2</v>
      </c>
    </row>
    <row r="1444" spans="1:3" x14ac:dyDescent="0.2">
      <c r="A1444" s="1">
        <v>43973</v>
      </c>
      <c r="B1444">
        <v>45.87</v>
      </c>
      <c r="C1444" s="2">
        <f t="shared" si="22"/>
        <v>-1.2565156650766992E-2</v>
      </c>
    </row>
    <row r="1445" spans="1:3" x14ac:dyDescent="0.2">
      <c r="A1445" s="1">
        <v>43972</v>
      </c>
      <c r="B1445">
        <v>46.45</v>
      </c>
      <c r="C1445" s="2">
        <f t="shared" si="22"/>
        <v>-1.7208005967095737E-3</v>
      </c>
    </row>
    <row r="1446" spans="1:3" x14ac:dyDescent="0.2">
      <c r="A1446" s="1">
        <v>43971</v>
      </c>
      <c r="B1446">
        <v>46.53</v>
      </c>
      <c r="C1446" s="2">
        <f t="shared" si="22"/>
        <v>4.5234325918173581E-3</v>
      </c>
    </row>
    <row r="1447" spans="1:3" x14ac:dyDescent="0.2">
      <c r="A1447" s="1">
        <v>43970</v>
      </c>
      <c r="B1447">
        <v>46.32</v>
      </c>
      <c r="C1447" s="2">
        <f t="shared" si="22"/>
        <v>1.944895264605745E-3</v>
      </c>
    </row>
    <row r="1448" spans="1:3" x14ac:dyDescent="0.2">
      <c r="A1448" s="1">
        <v>43969</v>
      </c>
      <c r="B1448">
        <v>46.23</v>
      </c>
      <c r="C1448" s="2">
        <f t="shared" si="22"/>
        <v>4.4677930161982175E-2</v>
      </c>
    </row>
    <row r="1449" spans="1:3" x14ac:dyDescent="0.2">
      <c r="A1449" s="1">
        <v>43966</v>
      </c>
      <c r="B1449">
        <v>44.21</v>
      </c>
      <c r="C1449" s="2">
        <f t="shared" si="22"/>
        <v>5.2160227115368146E-3</v>
      </c>
    </row>
    <row r="1450" spans="1:3" x14ac:dyDescent="0.2">
      <c r="A1450" s="1">
        <v>43965</v>
      </c>
      <c r="B1450">
        <v>43.98</v>
      </c>
      <c r="C1450" s="2">
        <f t="shared" si="22"/>
        <v>8.2192243531321058E-3</v>
      </c>
    </row>
    <row r="1451" spans="1:3" x14ac:dyDescent="0.2">
      <c r="A1451" s="1">
        <v>43964</v>
      </c>
      <c r="B1451">
        <v>43.62</v>
      </c>
      <c r="C1451" s="2">
        <f t="shared" si="22"/>
        <v>-3.0035000144146382E-2</v>
      </c>
    </row>
    <row r="1452" spans="1:3" x14ac:dyDescent="0.2">
      <c r="A1452" s="1">
        <v>43963</v>
      </c>
      <c r="B1452">
        <v>44.95</v>
      </c>
      <c r="C1452" s="2">
        <f t="shared" si="22"/>
        <v>-3.5405796076656476E-2</v>
      </c>
    </row>
    <row r="1453" spans="1:3" x14ac:dyDescent="0.2">
      <c r="A1453" s="1">
        <v>43962</v>
      </c>
      <c r="B1453">
        <v>46.57</v>
      </c>
      <c r="C1453" s="2">
        <f t="shared" si="22"/>
        <v>5.1668575657288409E-3</v>
      </c>
    </row>
    <row r="1454" spans="1:3" x14ac:dyDescent="0.2">
      <c r="A1454" s="1">
        <v>43959</v>
      </c>
      <c r="B1454">
        <v>46.33</v>
      </c>
      <c r="C1454" s="2">
        <f t="shared" si="22"/>
        <v>1.8736931591637838E-2</v>
      </c>
    </row>
    <row r="1455" spans="1:3" x14ac:dyDescent="0.2">
      <c r="A1455" s="1">
        <v>43958</v>
      </c>
      <c r="B1455">
        <v>45.47</v>
      </c>
      <c r="C1455" s="2">
        <f t="shared" si="22"/>
        <v>4.6291276315279656E-3</v>
      </c>
    </row>
    <row r="1456" spans="1:3" x14ac:dyDescent="0.2">
      <c r="A1456" s="1">
        <v>43957</v>
      </c>
      <c r="B1456">
        <v>45.26</v>
      </c>
      <c r="C1456" s="2">
        <f t="shared" si="22"/>
        <v>1.5138312247668552E-2</v>
      </c>
    </row>
    <row r="1457" spans="1:3" x14ac:dyDescent="0.2">
      <c r="A1457" s="1">
        <v>43956</v>
      </c>
      <c r="B1457">
        <v>44.58</v>
      </c>
      <c r="C1457" s="2">
        <f t="shared" si="22"/>
        <v>4.4964104532748145E-3</v>
      </c>
    </row>
    <row r="1458" spans="1:3" x14ac:dyDescent="0.2">
      <c r="A1458" s="1">
        <v>43955</v>
      </c>
      <c r="B1458">
        <v>44.38</v>
      </c>
      <c r="C1458" s="2">
        <f t="shared" si="22"/>
        <v>-8.9726936661609219E-3</v>
      </c>
    </row>
    <row r="1459" spans="1:3" x14ac:dyDescent="0.2">
      <c r="A1459" s="1">
        <v>43952</v>
      </c>
      <c r="B1459">
        <v>44.78</v>
      </c>
      <c r="C1459" s="2">
        <f t="shared" si="22"/>
        <v>2.6833647585970278E-3</v>
      </c>
    </row>
    <row r="1460" spans="1:3" x14ac:dyDescent="0.2">
      <c r="A1460" s="1">
        <v>43951</v>
      </c>
      <c r="B1460">
        <v>44.66</v>
      </c>
      <c r="C1460" s="2">
        <f t="shared" si="22"/>
        <v>-4.4880028102004969E-2</v>
      </c>
    </row>
    <row r="1461" spans="1:3" x14ac:dyDescent="0.2">
      <c r="A1461" s="1">
        <v>43950</v>
      </c>
      <c r="B1461">
        <v>46.71</v>
      </c>
      <c r="C1461" s="2">
        <f t="shared" si="22"/>
        <v>1.7493157447517338E-2</v>
      </c>
    </row>
    <row r="1462" spans="1:3" x14ac:dyDescent="0.2">
      <c r="A1462" s="1">
        <v>43949</v>
      </c>
      <c r="B1462">
        <v>45.9</v>
      </c>
      <c r="C1462" s="2">
        <f t="shared" si="22"/>
        <v>1.5262185454667729E-3</v>
      </c>
    </row>
    <row r="1463" spans="1:3" x14ac:dyDescent="0.2">
      <c r="A1463" s="1">
        <v>43948</v>
      </c>
      <c r="B1463">
        <v>45.83</v>
      </c>
      <c r="C1463" s="2">
        <f t="shared" si="22"/>
        <v>2.6756709516646302E-2</v>
      </c>
    </row>
    <row r="1464" spans="1:3" x14ac:dyDescent="0.2">
      <c r="A1464" s="1">
        <v>43945</v>
      </c>
      <c r="B1464">
        <v>44.62</v>
      </c>
      <c r="C1464" s="2">
        <f t="shared" si="22"/>
        <v>2.2436625970421349E-3</v>
      </c>
    </row>
    <row r="1465" spans="1:3" x14ac:dyDescent="0.2">
      <c r="A1465" s="1">
        <v>43944</v>
      </c>
      <c r="B1465">
        <v>44.52</v>
      </c>
      <c r="C1465" s="2">
        <f t="shared" si="22"/>
        <v>-2.2652534228249383E-2</v>
      </c>
    </row>
    <row r="1466" spans="1:3" x14ac:dyDescent="0.2">
      <c r="A1466" s="1">
        <v>43943</v>
      </c>
      <c r="B1466">
        <v>45.54</v>
      </c>
      <c r="C1466" s="2">
        <f t="shared" si="22"/>
        <v>2.1754465016564955E-2</v>
      </c>
    </row>
    <row r="1467" spans="1:3" x14ac:dyDescent="0.2">
      <c r="A1467" s="1">
        <v>43942</v>
      </c>
      <c r="B1467">
        <v>44.56</v>
      </c>
      <c r="C1467" s="2">
        <f t="shared" si="22"/>
        <v>-3.9600422852522327E-2</v>
      </c>
    </row>
    <row r="1468" spans="1:3" x14ac:dyDescent="0.2">
      <c r="A1468" s="1">
        <v>43941</v>
      </c>
      <c r="B1468">
        <v>46.36</v>
      </c>
      <c r="C1468" s="2">
        <f t="shared" si="22"/>
        <v>-8.1633106391609811E-3</v>
      </c>
    </row>
    <row r="1469" spans="1:3" x14ac:dyDescent="0.2">
      <c r="A1469" s="1">
        <v>43938</v>
      </c>
      <c r="B1469">
        <v>46.74</v>
      </c>
      <c r="C1469" s="2">
        <f t="shared" si="22"/>
        <v>9.4583680185235611E-3</v>
      </c>
    </row>
    <row r="1470" spans="1:3" x14ac:dyDescent="0.2">
      <c r="A1470" s="1">
        <v>43937</v>
      </c>
      <c r="B1470">
        <v>46.3</v>
      </c>
      <c r="C1470" s="2">
        <f t="shared" si="22"/>
        <v>-4.5253821438172286E-3</v>
      </c>
    </row>
    <row r="1471" spans="1:3" x14ac:dyDescent="0.2">
      <c r="A1471" s="1">
        <v>43936</v>
      </c>
      <c r="B1471">
        <v>46.51</v>
      </c>
      <c r="C1471" s="2">
        <f t="shared" si="22"/>
        <v>-2.2955311897013549E-2</v>
      </c>
    </row>
    <row r="1472" spans="1:3" x14ac:dyDescent="0.2">
      <c r="A1472" s="1">
        <v>43935</v>
      </c>
      <c r="B1472">
        <v>47.59</v>
      </c>
      <c r="C1472" s="2">
        <f t="shared" si="22"/>
        <v>3.4198673581186639E-2</v>
      </c>
    </row>
    <row r="1473" spans="1:3" x14ac:dyDescent="0.2">
      <c r="A1473" s="1">
        <v>43934</v>
      </c>
      <c r="B1473">
        <v>45.99</v>
      </c>
      <c r="C1473" s="2">
        <f t="shared" si="22"/>
        <v>-4.2151833962140048E-2</v>
      </c>
    </row>
    <row r="1474" spans="1:3" x14ac:dyDescent="0.2">
      <c r="A1474" s="1">
        <v>43930</v>
      </c>
      <c r="B1474">
        <v>47.97</v>
      </c>
      <c r="C1474" s="2">
        <f t="shared" si="22"/>
        <v>-1.057552624708641E-2</v>
      </c>
    </row>
    <row r="1475" spans="1:3" x14ac:dyDescent="0.2">
      <c r="A1475" s="1">
        <v>43929</v>
      </c>
      <c r="B1475">
        <v>48.48</v>
      </c>
      <c r="C1475" s="2">
        <f t="shared" ref="C1475:C1538" si="23">+LN(B1475/B1476)</f>
        <v>5.164075790737703E-2</v>
      </c>
    </row>
    <row r="1476" spans="1:3" x14ac:dyDescent="0.2">
      <c r="A1476" s="1">
        <v>43928</v>
      </c>
      <c r="B1476">
        <v>46.04</v>
      </c>
      <c r="C1476" s="2">
        <f t="shared" si="23"/>
        <v>-1.2947958188555103E-2</v>
      </c>
    </row>
    <row r="1477" spans="1:3" x14ac:dyDescent="0.2">
      <c r="A1477" s="1">
        <v>43927</v>
      </c>
      <c r="B1477">
        <v>46.64</v>
      </c>
      <c r="C1477" s="2">
        <f t="shared" si="23"/>
        <v>2.320893676644584E-2</v>
      </c>
    </row>
    <row r="1478" spans="1:3" x14ac:dyDescent="0.2">
      <c r="A1478" s="1">
        <v>43924</v>
      </c>
      <c r="B1478">
        <v>45.57</v>
      </c>
      <c r="C1478" s="2">
        <f t="shared" si="23"/>
        <v>-1.955733782109571E-2</v>
      </c>
    </row>
    <row r="1479" spans="1:3" x14ac:dyDescent="0.2">
      <c r="A1479" s="1">
        <v>43923</v>
      </c>
      <c r="B1479">
        <v>46.47</v>
      </c>
      <c r="C1479" s="2">
        <f t="shared" si="23"/>
        <v>2.0874861068336442E-2</v>
      </c>
    </row>
    <row r="1480" spans="1:3" x14ac:dyDescent="0.2">
      <c r="A1480" s="1">
        <v>43922</v>
      </c>
      <c r="B1480">
        <v>45.51</v>
      </c>
      <c r="C1480" s="2">
        <f t="shared" si="23"/>
        <v>-6.8362774826864189E-2</v>
      </c>
    </row>
    <row r="1481" spans="1:3" x14ac:dyDescent="0.2">
      <c r="A1481" s="1">
        <v>43921</v>
      </c>
      <c r="B1481">
        <v>48.73</v>
      </c>
      <c r="C1481" s="2">
        <f t="shared" si="23"/>
        <v>1.4052721439113359E-2</v>
      </c>
    </row>
    <row r="1482" spans="1:3" x14ac:dyDescent="0.2">
      <c r="A1482" s="1">
        <v>43920</v>
      </c>
      <c r="B1482">
        <v>48.05</v>
      </c>
      <c r="C1482" s="2">
        <f t="shared" si="23"/>
        <v>5.4749613834388679E-2</v>
      </c>
    </row>
    <row r="1483" spans="1:3" x14ac:dyDescent="0.2">
      <c r="A1483" s="1">
        <v>43917</v>
      </c>
      <c r="B1483">
        <v>45.49</v>
      </c>
      <c r="C1483" s="2">
        <f t="shared" si="23"/>
        <v>-2.8176983296212186E-2</v>
      </c>
    </row>
    <row r="1484" spans="1:3" x14ac:dyDescent="0.2">
      <c r="A1484" s="1">
        <v>43916</v>
      </c>
      <c r="B1484">
        <v>46.79</v>
      </c>
      <c r="C1484" s="2">
        <f t="shared" si="23"/>
        <v>5.1979686411843577E-2</v>
      </c>
    </row>
    <row r="1485" spans="1:3" x14ac:dyDescent="0.2">
      <c r="A1485" s="1">
        <v>43915</v>
      </c>
      <c r="B1485">
        <v>44.42</v>
      </c>
      <c r="C1485" s="2">
        <f t="shared" si="23"/>
        <v>-2.665639838996052E-2</v>
      </c>
    </row>
    <row r="1486" spans="1:3" x14ac:dyDescent="0.2">
      <c r="A1486" s="1">
        <v>43914</v>
      </c>
      <c r="B1486">
        <v>45.62</v>
      </c>
      <c r="C1486" s="2">
        <f t="shared" si="23"/>
        <v>0.14505871626177255</v>
      </c>
    </row>
    <row r="1487" spans="1:3" x14ac:dyDescent="0.2">
      <c r="A1487" s="1">
        <v>43913</v>
      </c>
      <c r="B1487">
        <v>39.46</v>
      </c>
      <c r="C1487" s="2">
        <f t="shared" si="23"/>
        <v>-4.2665201005174125E-2</v>
      </c>
    </row>
    <row r="1488" spans="1:3" x14ac:dyDescent="0.2">
      <c r="A1488" s="1">
        <v>43910</v>
      </c>
      <c r="B1488">
        <v>41.18</v>
      </c>
      <c r="C1488" s="2">
        <f t="shared" si="23"/>
        <v>-5.618659646511643E-2</v>
      </c>
    </row>
    <row r="1489" spans="1:3" x14ac:dyDescent="0.2">
      <c r="A1489" s="1">
        <v>43909</v>
      </c>
      <c r="B1489">
        <v>43.56</v>
      </c>
      <c r="C1489" s="2">
        <f t="shared" si="23"/>
        <v>5.9592097202245599E-2</v>
      </c>
    </row>
    <row r="1490" spans="1:3" x14ac:dyDescent="0.2">
      <c r="A1490" s="1">
        <v>43908</v>
      </c>
      <c r="B1490">
        <v>41.04</v>
      </c>
      <c r="C1490" s="2">
        <f t="shared" si="23"/>
        <v>-9.3669635840042842E-2</v>
      </c>
    </row>
    <row r="1491" spans="1:3" x14ac:dyDescent="0.2">
      <c r="A1491" s="1">
        <v>43907</v>
      </c>
      <c r="B1491">
        <v>45.07</v>
      </c>
      <c r="C1491" s="2">
        <f t="shared" si="23"/>
        <v>5.8948082575836745E-2</v>
      </c>
    </row>
    <row r="1492" spans="1:3" x14ac:dyDescent="0.2">
      <c r="A1492" s="1">
        <v>43906</v>
      </c>
      <c r="B1492">
        <v>42.49</v>
      </c>
      <c r="C1492" s="2">
        <f t="shared" si="23"/>
        <v>-9.2760879480890818E-2</v>
      </c>
    </row>
    <row r="1493" spans="1:3" x14ac:dyDescent="0.2">
      <c r="A1493" s="1">
        <v>43903</v>
      </c>
      <c r="B1493">
        <v>46.62</v>
      </c>
      <c r="C1493" s="2">
        <f t="shared" si="23"/>
        <v>8.5024350446074315E-2</v>
      </c>
    </row>
    <row r="1494" spans="1:3" x14ac:dyDescent="0.2">
      <c r="A1494" s="1">
        <v>43902</v>
      </c>
      <c r="B1494">
        <v>42.82</v>
      </c>
      <c r="C1494" s="2">
        <f t="shared" si="23"/>
        <v>-0.11273633001000317</v>
      </c>
    </row>
    <row r="1495" spans="1:3" x14ac:dyDescent="0.2">
      <c r="A1495" s="1">
        <v>43901</v>
      </c>
      <c r="B1495">
        <v>47.93</v>
      </c>
      <c r="C1495" s="2">
        <f t="shared" si="23"/>
        <v>-7.3780059315977198E-2</v>
      </c>
    </row>
    <row r="1496" spans="1:3" x14ac:dyDescent="0.2">
      <c r="A1496" s="1">
        <v>43900</v>
      </c>
      <c r="B1496">
        <v>51.6</v>
      </c>
      <c r="C1496" s="2">
        <f t="shared" si="23"/>
        <v>6.5469186630524326E-2</v>
      </c>
    </row>
    <row r="1497" spans="1:3" x14ac:dyDescent="0.2">
      <c r="A1497" s="1">
        <v>43899</v>
      </c>
      <c r="B1497">
        <v>48.33</v>
      </c>
      <c r="C1497" s="2">
        <f t="shared" si="23"/>
        <v>-4.8859132064904026E-2</v>
      </c>
    </row>
    <row r="1498" spans="1:3" x14ac:dyDescent="0.2">
      <c r="A1498" s="1">
        <v>43896</v>
      </c>
      <c r="B1498">
        <v>50.75</v>
      </c>
      <c r="C1498" s="2">
        <f t="shared" si="23"/>
        <v>3.7508680832947783E-3</v>
      </c>
    </row>
    <row r="1499" spans="1:3" x14ac:dyDescent="0.2">
      <c r="A1499" s="1">
        <v>43895</v>
      </c>
      <c r="B1499">
        <v>50.56</v>
      </c>
      <c r="C1499" s="2">
        <f t="shared" si="23"/>
        <v>-2.519418483693437E-2</v>
      </c>
    </row>
    <row r="1500" spans="1:3" x14ac:dyDescent="0.2">
      <c r="A1500" s="1">
        <v>43894</v>
      </c>
      <c r="B1500">
        <v>51.85</v>
      </c>
      <c r="C1500" s="2">
        <f t="shared" si="23"/>
        <v>2.5391989209056057E-2</v>
      </c>
    </row>
    <row r="1501" spans="1:3" x14ac:dyDescent="0.2">
      <c r="A1501" s="1">
        <v>43893</v>
      </c>
      <c r="B1501">
        <v>50.55</v>
      </c>
      <c r="C1501" s="2">
        <f t="shared" si="23"/>
        <v>-2.2494836047903134E-2</v>
      </c>
    </row>
    <row r="1502" spans="1:3" x14ac:dyDescent="0.2">
      <c r="A1502" s="1">
        <v>43892</v>
      </c>
      <c r="B1502">
        <v>51.7</v>
      </c>
      <c r="C1502" s="2">
        <f t="shared" si="23"/>
        <v>4.7128103218240035E-2</v>
      </c>
    </row>
    <row r="1503" spans="1:3" x14ac:dyDescent="0.2">
      <c r="A1503" s="1">
        <v>43889</v>
      </c>
      <c r="B1503">
        <v>49.32</v>
      </c>
      <c r="C1503" s="2">
        <f t="shared" si="23"/>
        <v>-3.1729689618101055E-2</v>
      </c>
    </row>
    <row r="1504" spans="1:3" x14ac:dyDescent="0.2">
      <c r="A1504" s="1">
        <v>43888</v>
      </c>
      <c r="B1504">
        <v>50.91</v>
      </c>
      <c r="C1504" s="2">
        <f t="shared" si="23"/>
        <v>-5.3167396520233487E-2</v>
      </c>
    </row>
    <row r="1505" spans="1:3" x14ac:dyDescent="0.2">
      <c r="A1505" s="1">
        <v>43887</v>
      </c>
      <c r="B1505">
        <v>53.69</v>
      </c>
      <c r="C1505" s="2">
        <f t="shared" si="23"/>
        <v>2.9845200291880548E-3</v>
      </c>
    </row>
    <row r="1506" spans="1:3" x14ac:dyDescent="0.2">
      <c r="A1506" s="1">
        <v>43886</v>
      </c>
      <c r="B1506">
        <v>53.53</v>
      </c>
      <c r="C1506" s="2">
        <f t="shared" si="23"/>
        <v>-2.9995808519811068E-2</v>
      </c>
    </row>
    <row r="1507" spans="1:3" x14ac:dyDescent="0.2">
      <c r="A1507" s="1">
        <v>43885</v>
      </c>
      <c r="B1507">
        <v>55.16</v>
      </c>
      <c r="C1507" s="2">
        <f t="shared" si="23"/>
        <v>-2.1166709523125628E-2</v>
      </c>
    </row>
    <row r="1508" spans="1:3" x14ac:dyDescent="0.2">
      <c r="A1508" s="1">
        <v>43882</v>
      </c>
      <c r="B1508">
        <v>56.34</v>
      </c>
      <c r="C1508" s="2">
        <f t="shared" si="23"/>
        <v>-5.1341176774870462E-3</v>
      </c>
    </row>
    <row r="1509" spans="1:3" x14ac:dyDescent="0.2">
      <c r="A1509" s="1">
        <v>43881</v>
      </c>
      <c r="B1509">
        <v>56.63</v>
      </c>
      <c r="C1509" s="2">
        <f t="shared" si="23"/>
        <v>-4.0532260971400461E-3</v>
      </c>
    </row>
    <row r="1510" spans="1:3" x14ac:dyDescent="0.2">
      <c r="A1510" s="1">
        <v>43880</v>
      </c>
      <c r="B1510">
        <v>56.86</v>
      </c>
      <c r="C1510" s="2">
        <f t="shared" si="23"/>
        <v>8.47762053688721E-3</v>
      </c>
    </row>
    <row r="1511" spans="1:3" x14ac:dyDescent="0.2">
      <c r="A1511" s="1">
        <v>43879</v>
      </c>
      <c r="B1511">
        <v>56.38</v>
      </c>
      <c r="C1511" s="2">
        <f t="shared" si="23"/>
        <v>6.2272241087734442E-3</v>
      </c>
    </row>
    <row r="1512" spans="1:3" x14ac:dyDescent="0.2">
      <c r="A1512" s="1">
        <v>43875</v>
      </c>
      <c r="B1512">
        <v>56.03</v>
      </c>
      <c r="C1512" s="2">
        <f t="shared" si="23"/>
        <v>-5.6949789085922005E-3</v>
      </c>
    </row>
    <row r="1513" spans="1:3" x14ac:dyDescent="0.2">
      <c r="A1513" s="1">
        <v>43874</v>
      </c>
      <c r="B1513">
        <v>56.35</v>
      </c>
      <c r="C1513" s="2">
        <f t="shared" si="23"/>
        <v>1.2430082395970227E-3</v>
      </c>
    </row>
    <row r="1514" spans="1:3" x14ac:dyDescent="0.2">
      <c r="A1514" s="1">
        <v>43873</v>
      </c>
      <c r="B1514">
        <v>56.28</v>
      </c>
      <c r="C1514" s="2">
        <f t="shared" si="23"/>
        <v>1.9564257018468752E-3</v>
      </c>
    </row>
    <row r="1515" spans="1:3" x14ac:dyDescent="0.2">
      <c r="A1515" s="1">
        <v>43872</v>
      </c>
      <c r="B1515">
        <v>56.17</v>
      </c>
      <c r="C1515" s="2">
        <f t="shared" si="23"/>
        <v>1.3803212791103203E-2</v>
      </c>
    </row>
    <row r="1516" spans="1:3" x14ac:dyDescent="0.2">
      <c r="A1516" s="1">
        <v>43871</v>
      </c>
      <c r="B1516">
        <v>55.4</v>
      </c>
      <c r="C1516" s="2">
        <f t="shared" si="23"/>
        <v>1.1619593332990022E-2</v>
      </c>
    </row>
    <row r="1517" spans="1:3" x14ac:dyDescent="0.2">
      <c r="A1517" s="1">
        <v>43868</v>
      </c>
      <c r="B1517">
        <v>54.76</v>
      </c>
      <c r="C1517" s="2">
        <f t="shared" si="23"/>
        <v>-1.0174506376309326E-2</v>
      </c>
    </row>
    <row r="1518" spans="1:3" x14ac:dyDescent="0.2">
      <c r="A1518" s="1">
        <v>43867</v>
      </c>
      <c r="B1518">
        <v>55.32</v>
      </c>
      <c r="C1518" s="2">
        <f t="shared" si="23"/>
        <v>-3.9689750820959945E-3</v>
      </c>
    </row>
    <row r="1519" spans="1:3" x14ac:dyDescent="0.2">
      <c r="A1519" s="1">
        <v>43866</v>
      </c>
      <c r="B1519">
        <v>55.54</v>
      </c>
      <c r="C1519" s="2">
        <f t="shared" si="23"/>
        <v>4.692302419239066E-3</v>
      </c>
    </row>
    <row r="1520" spans="1:3" x14ac:dyDescent="0.2">
      <c r="A1520" s="1">
        <v>43865</v>
      </c>
      <c r="B1520">
        <v>55.28</v>
      </c>
      <c r="C1520" s="2">
        <f t="shared" si="23"/>
        <v>3.2542627136201326E-2</v>
      </c>
    </row>
    <row r="1521" spans="1:3" x14ac:dyDescent="0.2">
      <c r="A1521" s="1">
        <v>43864</v>
      </c>
      <c r="B1521">
        <v>53.51</v>
      </c>
      <c r="C1521" s="2">
        <f t="shared" si="23"/>
        <v>6.7504475352564066E-3</v>
      </c>
    </row>
    <row r="1522" spans="1:3" x14ac:dyDescent="0.2">
      <c r="A1522" s="1">
        <v>43861</v>
      </c>
      <c r="B1522">
        <v>53.15</v>
      </c>
      <c r="C1522" s="2">
        <f t="shared" si="23"/>
        <v>-2.8928403287777685E-2</v>
      </c>
    </row>
    <row r="1523" spans="1:3" x14ac:dyDescent="0.2">
      <c r="A1523" s="1">
        <v>43860</v>
      </c>
      <c r="B1523">
        <v>54.71</v>
      </c>
      <c r="C1523" s="2">
        <f t="shared" si="23"/>
        <v>-5.468478811632151E-3</v>
      </c>
    </row>
    <row r="1524" spans="1:3" x14ac:dyDescent="0.2">
      <c r="A1524" s="1">
        <v>43859</v>
      </c>
      <c r="B1524">
        <v>55.01</v>
      </c>
      <c r="C1524" s="2">
        <f t="shared" si="23"/>
        <v>-7.268762813222667E-4</v>
      </c>
    </row>
    <row r="1525" spans="1:3" x14ac:dyDescent="0.2">
      <c r="A1525" s="1">
        <v>43858</v>
      </c>
      <c r="B1525">
        <v>55.05</v>
      </c>
      <c r="C1525" s="2">
        <f t="shared" si="23"/>
        <v>6.8603690707569512E-2</v>
      </c>
    </row>
    <row r="1526" spans="1:3" x14ac:dyDescent="0.2">
      <c r="A1526" s="1">
        <v>43857</v>
      </c>
      <c r="B1526">
        <v>51.4</v>
      </c>
      <c r="C1526" s="2">
        <f t="shared" si="23"/>
        <v>-1.1220856752224751E-2</v>
      </c>
    </row>
    <row r="1527" spans="1:3" x14ac:dyDescent="0.2">
      <c r="A1527" s="1">
        <v>43854</v>
      </c>
      <c r="B1527">
        <v>51.98</v>
      </c>
      <c r="C1527" s="2">
        <f t="shared" si="23"/>
        <v>-1.489429863576971E-2</v>
      </c>
    </row>
    <row r="1528" spans="1:3" x14ac:dyDescent="0.2">
      <c r="A1528" s="1">
        <v>43853</v>
      </c>
      <c r="B1528">
        <v>52.76</v>
      </c>
      <c r="C1528" s="2">
        <f t="shared" si="23"/>
        <v>7.9924307471138517E-3</v>
      </c>
    </row>
    <row r="1529" spans="1:3" x14ac:dyDescent="0.2">
      <c r="A1529" s="1">
        <v>43852</v>
      </c>
      <c r="B1529">
        <v>52.34</v>
      </c>
      <c r="C1529" s="2">
        <f t="shared" si="23"/>
        <v>-4.0042002209601706E-3</v>
      </c>
    </row>
    <row r="1530" spans="1:3" x14ac:dyDescent="0.2">
      <c r="A1530" s="1">
        <v>43851</v>
      </c>
      <c r="B1530">
        <v>52.55</v>
      </c>
      <c r="C1530" s="2">
        <f t="shared" si="23"/>
        <v>-1.229329902463863E-2</v>
      </c>
    </row>
    <row r="1531" spans="1:3" x14ac:dyDescent="0.2">
      <c r="A1531" s="1">
        <v>43847</v>
      </c>
      <c r="B1531">
        <v>53.2</v>
      </c>
      <c r="C1531" s="2">
        <f t="shared" si="23"/>
        <v>-5.4363241955600284E-3</v>
      </c>
    </row>
    <row r="1532" spans="1:3" x14ac:dyDescent="0.2">
      <c r="A1532" s="1">
        <v>43846</v>
      </c>
      <c r="B1532">
        <v>53.49</v>
      </c>
      <c r="C1532" s="2">
        <f t="shared" si="23"/>
        <v>1.2226240889034236E-2</v>
      </c>
    </row>
    <row r="1533" spans="1:3" x14ac:dyDescent="0.2">
      <c r="A1533" s="1">
        <v>43845</v>
      </c>
      <c r="B1533">
        <v>52.84</v>
      </c>
      <c r="C1533" s="2">
        <f t="shared" si="23"/>
        <v>-3.2120953455900699E-3</v>
      </c>
    </row>
    <row r="1534" spans="1:3" x14ac:dyDescent="0.2">
      <c r="A1534" s="1">
        <v>43844</v>
      </c>
      <c r="B1534">
        <v>53.01</v>
      </c>
      <c r="C1534" s="2">
        <f t="shared" si="23"/>
        <v>-3.7657736085633161E-3</v>
      </c>
    </row>
    <row r="1535" spans="1:3" x14ac:dyDescent="0.2">
      <c r="A1535" s="1">
        <v>43843</v>
      </c>
      <c r="B1535">
        <v>53.21</v>
      </c>
      <c r="C1535" s="2">
        <f t="shared" si="23"/>
        <v>1.3052299173682469E-2</v>
      </c>
    </row>
    <row r="1536" spans="1:3" x14ac:dyDescent="0.2">
      <c r="A1536" s="1">
        <v>43840</v>
      </c>
      <c r="B1536">
        <v>52.52</v>
      </c>
      <c r="C1536" s="2">
        <f t="shared" si="23"/>
        <v>-9.8522964430115944E-3</v>
      </c>
    </row>
    <row r="1537" spans="1:3" x14ac:dyDescent="0.2">
      <c r="A1537" s="1">
        <v>43839</v>
      </c>
      <c r="B1537">
        <v>53.04</v>
      </c>
      <c r="C1537" s="2">
        <f t="shared" si="23"/>
        <v>1.0042718227839101E-2</v>
      </c>
    </row>
    <row r="1538" spans="1:3" x14ac:dyDescent="0.2">
      <c r="A1538" s="1">
        <v>43838</v>
      </c>
      <c r="B1538">
        <v>52.51</v>
      </c>
      <c r="C1538" s="2">
        <f t="shared" si="23"/>
        <v>4.1984794497287609E-3</v>
      </c>
    </row>
    <row r="1539" spans="1:3" x14ac:dyDescent="0.2">
      <c r="A1539" s="1">
        <v>43837</v>
      </c>
      <c r="B1539">
        <v>52.29</v>
      </c>
      <c r="C1539" s="2">
        <f t="shared" ref="C1539:C1602" si="24">+LN(B1539/B1540)</f>
        <v>0</v>
      </c>
    </row>
    <row r="1540" spans="1:3" x14ac:dyDescent="0.2">
      <c r="A1540" s="1">
        <v>43836</v>
      </c>
      <c r="B1540">
        <v>52.29</v>
      </c>
      <c r="C1540" s="2">
        <f t="shared" si="24"/>
        <v>7.6525735511893305E-4</v>
      </c>
    </row>
    <row r="1541" spans="1:3" x14ac:dyDescent="0.2">
      <c r="A1541" s="1">
        <v>43833</v>
      </c>
      <c r="B1541">
        <v>52.25</v>
      </c>
      <c r="C1541" s="2">
        <f t="shared" si="24"/>
        <v>-4.5827844192880395E-3</v>
      </c>
    </row>
    <row r="1542" spans="1:3" x14ac:dyDescent="0.2">
      <c r="A1542" s="1">
        <v>43832</v>
      </c>
      <c r="B1542">
        <v>52.49</v>
      </c>
      <c r="C1542" s="2">
        <f t="shared" si="24"/>
        <v>9.3789566827811068E-3</v>
      </c>
    </row>
    <row r="1543" spans="1:3" x14ac:dyDescent="0.2">
      <c r="A1543" s="1">
        <v>43830</v>
      </c>
      <c r="B1543">
        <v>52</v>
      </c>
      <c r="C1543" s="2">
        <f t="shared" si="24"/>
        <v>-4.4133238667799371E-3</v>
      </c>
    </row>
    <row r="1544" spans="1:3" x14ac:dyDescent="0.2">
      <c r="A1544" s="1">
        <v>43829</v>
      </c>
      <c r="B1544">
        <v>52.23</v>
      </c>
      <c r="C1544" s="2">
        <f t="shared" si="24"/>
        <v>9.5776273962490236E-4</v>
      </c>
    </row>
    <row r="1545" spans="1:3" x14ac:dyDescent="0.2">
      <c r="A1545" s="1">
        <v>43826</v>
      </c>
      <c r="B1545">
        <v>52.18</v>
      </c>
      <c r="C1545" s="2">
        <f t="shared" si="24"/>
        <v>1.9182818082686638E-3</v>
      </c>
    </row>
    <row r="1546" spans="1:3" x14ac:dyDescent="0.2">
      <c r="A1546" s="1">
        <v>43825</v>
      </c>
      <c r="B1546">
        <v>52.08</v>
      </c>
      <c r="C1546" s="2">
        <f t="shared" si="24"/>
        <v>5.1978170736166956E-3</v>
      </c>
    </row>
    <row r="1547" spans="1:3" x14ac:dyDescent="0.2">
      <c r="A1547" s="1">
        <v>43823</v>
      </c>
      <c r="B1547">
        <v>51.81</v>
      </c>
      <c r="C1547" s="2">
        <f t="shared" si="24"/>
        <v>-8.6480792657693904E-3</v>
      </c>
    </row>
    <row r="1548" spans="1:3" x14ac:dyDescent="0.2">
      <c r="A1548" s="1">
        <v>43822</v>
      </c>
      <c r="B1548">
        <v>52.26</v>
      </c>
      <c r="C1548" s="2">
        <f t="shared" si="24"/>
        <v>5.9495425472299857E-3</v>
      </c>
    </row>
    <row r="1549" spans="1:3" x14ac:dyDescent="0.2">
      <c r="A1549" s="1">
        <v>43819</v>
      </c>
      <c r="B1549">
        <v>51.95</v>
      </c>
      <c r="C1549" s="2">
        <f t="shared" si="24"/>
        <v>9.2826038805733889E-3</v>
      </c>
    </row>
    <row r="1550" spans="1:3" x14ac:dyDescent="0.2">
      <c r="A1550" s="1">
        <v>43818</v>
      </c>
      <c r="B1550">
        <v>51.47</v>
      </c>
      <c r="C1550" s="2">
        <f t="shared" si="24"/>
        <v>-3.1037852268946129E-3</v>
      </c>
    </row>
    <row r="1551" spans="1:3" x14ac:dyDescent="0.2">
      <c r="A1551" s="1">
        <v>43817</v>
      </c>
      <c r="B1551">
        <v>51.63</v>
      </c>
      <c r="C1551" s="2">
        <f t="shared" si="24"/>
        <v>3.8812391047329023E-3</v>
      </c>
    </row>
    <row r="1552" spans="1:3" x14ac:dyDescent="0.2">
      <c r="A1552" s="1">
        <v>43816</v>
      </c>
      <c r="B1552">
        <v>51.43</v>
      </c>
      <c r="C1552" s="2">
        <f t="shared" si="24"/>
        <v>2.7258583856478468E-3</v>
      </c>
    </row>
    <row r="1553" spans="1:3" x14ac:dyDescent="0.2">
      <c r="A1553" s="1">
        <v>43815</v>
      </c>
      <c r="B1553">
        <v>51.29</v>
      </c>
      <c r="C1553" s="2">
        <f t="shared" si="24"/>
        <v>4.1027702368386324E-3</v>
      </c>
    </row>
    <row r="1554" spans="1:3" x14ac:dyDescent="0.2">
      <c r="A1554" s="1">
        <v>43812</v>
      </c>
      <c r="B1554">
        <v>51.08</v>
      </c>
      <c r="C1554" s="2">
        <f t="shared" si="24"/>
        <v>3.923112132471698E-3</v>
      </c>
    </row>
    <row r="1555" spans="1:3" x14ac:dyDescent="0.2">
      <c r="A1555" s="1">
        <v>43811</v>
      </c>
      <c r="B1555">
        <v>50.88</v>
      </c>
      <c r="C1555" s="2">
        <f t="shared" si="24"/>
        <v>1.9248535550348989E-2</v>
      </c>
    </row>
    <row r="1556" spans="1:3" x14ac:dyDescent="0.2">
      <c r="A1556" s="1">
        <v>43810</v>
      </c>
      <c r="B1556">
        <v>49.91</v>
      </c>
      <c r="C1556" s="2">
        <f t="shared" si="24"/>
        <v>1.432775998325542E-2</v>
      </c>
    </row>
    <row r="1557" spans="1:3" x14ac:dyDescent="0.2">
      <c r="A1557" s="1">
        <v>43809</v>
      </c>
      <c r="B1557">
        <v>49.2</v>
      </c>
      <c r="C1557" s="2">
        <f t="shared" si="24"/>
        <v>5.7073126792908727E-3</v>
      </c>
    </row>
    <row r="1558" spans="1:3" x14ac:dyDescent="0.2">
      <c r="A1558" s="1">
        <v>43808</v>
      </c>
      <c r="B1558">
        <v>48.92</v>
      </c>
      <c r="C1558" s="2">
        <f t="shared" si="24"/>
        <v>-5.0973706048763473E-3</v>
      </c>
    </row>
    <row r="1559" spans="1:3" x14ac:dyDescent="0.2">
      <c r="A1559" s="1">
        <v>43805</v>
      </c>
      <c r="B1559">
        <v>49.17</v>
      </c>
      <c r="C1559" s="2">
        <f t="shared" si="24"/>
        <v>1.5783867701261951E-2</v>
      </c>
    </row>
    <row r="1560" spans="1:3" x14ac:dyDescent="0.2">
      <c r="A1560" s="1">
        <v>43804</v>
      </c>
      <c r="B1560">
        <v>48.4</v>
      </c>
      <c r="C1560" s="2">
        <f t="shared" si="24"/>
        <v>8.7155563110375631E-3</v>
      </c>
    </row>
    <row r="1561" spans="1:3" x14ac:dyDescent="0.2">
      <c r="A1561" s="1">
        <v>43803</v>
      </c>
      <c r="B1561">
        <v>47.98</v>
      </c>
      <c r="C1561" s="2">
        <f t="shared" si="24"/>
        <v>9.2127954795005376E-3</v>
      </c>
    </row>
    <row r="1562" spans="1:3" x14ac:dyDescent="0.2">
      <c r="A1562" s="1">
        <v>43802</v>
      </c>
      <c r="B1562">
        <v>47.54</v>
      </c>
      <c r="C1562" s="2">
        <f t="shared" si="24"/>
        <v>-7.5440424848216255E-3</v>
      </c>
    </row>
    <row r="1563" spans="1:3" x14ac:dyDescent="0.2">
      <c r="A1563" s="1">
        <v>43801</v>
      </c>
      <c r="B1563">
        <v>47.9</v>
      </c>
      <c r="C1563" s="2">
        <f t="shared" si="24"/>
        <v>-8.523074149445805E-3</v>
      </c>
    </row>
    <row r="1564" spans="1:3" x14ac:dyDescent="0.2">
      <c r="A1564" s="1">
        <v>43798</v>
      </c>
      <c r="B1564">
        <v>48.31</v>
      </c>
      <c r="C1564" s="2">
        <f t="shared" si="24"/>
        <v>-1.9270789051782589E-2</v>
      </c>
    </row>
    <row r="1565" spans="1:3" x14ac:dyDescent="0.2">
      <c r="A1565" s="1">
        <v>43796</v>
      </c>
      <c r="B1565">
        <v>49.25</v>
      </c>
      <c r="C1565" s="2">
        <f t="shared" si="24"/>
        <v>5.0890695074712281E-3</v>
      </c>
    </row>
    <row r="1566" spans="1:3" x14ac:dyDescent="0.2">
      <c r="A1566" s="1">
        <v>43795</v>
      </c>
      <c r="B1566">
        <v>49</v>
      </c>
      <c r="C1566" s="2">
        <f t="shared" si="24"/>
        <v>1.5010048438225081E-2</v>
      </c>
    </row>
    <row r="1567" spans="1:3" x14ac:dyDescent="0.2">
      <c r="A1567" s="1">
        <v>43794</v>
      </c>
      <c r="B1567">
        <v>48.27</v>
      </c>
      <c r="C1567" s="2">
        <f t="shared" si="24"/>
        <v>5.6092387645105945E-3</v>
      </c>
    </row>
    <row r="1568" spans="1:3" x14ac:dyDescent="0.2">
      <c r="A1568" s="1">
        <v>43791</v>
      </c>
      <c r="B1568">
        <v>48</v>
      </c>
      <c r="C1568" s="2">
        <f t="shared" si="24"/>
        <v>4.5938690102274747E-3</v>
      </c>
    </row>
    <row r="1569" spans="1:3" x14ac:dyDescent="0.2">
      <c r="A1569" s="1">
        <v>43790</v>
      </c>
      <c r="B1569">
        <v>47.78</v>
      </c>
      <c r="C1569" s="2">
        <f t="shared" si="24"/>
        <v>4.1946370228518283E-3</v>
      </c>
    </row>
    <row r="1570" spans="1:3" x14ac:dyDescent="0.2">
      <c r="A1570" s="1">
        <v>43789</v>
      </c>
      <c r="B1570">
        <v>47.58</v>
      </c>
      <c r="C1570" s="2">
        <f t="shared" si="24"/>
        <v>-3.7759642095350739E-3</v>
      </c>
    </row>
    <row r="1571" spans="1:3" x14ac:dyDescent="0.2">
      <c r="A1571" s="1">
        <v>43788</v>
      </c>
      <c r="B1571">
        <v>47.76</v>
      </c>
      <c r="C1571" s="2">
        <f t="shared" si="24"/>
        <v>3.1456458779192068E-3</v>
      </c>
    </row>
    <row r="1572" spans="1:3" x14ac:dyDescent="0.2">
      <c r="A1572" s="1">
        <v>43787</v>
      </c>
      <c r="B1572">
        <v>47.61</v>
      </c>
      <c r="C1572" s="2">
        <f t="shared" si="24"/>
        <v>-3.9828162909828759E-3</v>
      </c>
    </row>
    <row r="1573" spans="1:3" x14ac:dyDescent="0.2">
      <c r="A1573" s="1">
        <v>43784</v>
      </c>
      <c r="B1573">
        <v>47.8</v>
      </c>
      <c r="C1573" s="2">
        <f t="shared" si="24"/>
        <v>1.2631746905900564E-2</v>
      </c>
    </row>
    <row r="1574" spans="1:3" x14ac:dyDescent="0.2">
      <c r="A1574" s="1">
        <v>43783</v>
      </c>
      <c r="B1574">
        <v>47.2</v>
      </c>
      <c r="C1574" s="2">
        <f t="shared" si="24"/>
        <v>5.097717071668801E-3</v>
      </c>
    </row>
    <row r="1575" spans="1:3" x14ac:dyDescent="0.2">
      <c r="A1575" s="1">
        <v>43782</v>
      </c>
      <c r="B1575">
        <v>46.96</v>
      </c>
      <c r="C1575" s="2">
        <f t="shared" si="24"/>
        <v>-8.5142619021751282E-4</v>
      </c>
    </row>
    <row r="1576" spans="1:3" x14ac:dyDescent="0.2">
      <c r="A1576" s="1">
        <v>43781</v>
      </c>
      <c r="B1576">
        <v>47</v>
      </c>
      <c r="C1576" s="2">
        <f t="shared" si="24"/>
        <v>1.4904719037323187E-3</v>
      </c>
    </row>
    <row r="1577" spans="1:3" x14ac:dyDescent="0.2">
      <c r="A1577" s="1">
        <v>43780</v>
      </c>
      <c r="B1577">
        <v>46.93</v>
      </c>
      <c r="C1577" s="2">
        <f t="shared" si="24"/>
        <v>-2.9787256067246755E-3</v>
      </c>
    </row>
    <row r="1578" spans="1:3" x14ac:dyDescent="0.2">
      <c r="A1578" s="1">
        <v>43777</v>
      </c>
      <c r="B1578">
        <v>47.07</v>
      </c>
      <c r="C1578" s="2">
        <f t="shared" si="24"/>
        <v>6.6077188091833083E-3</v>
      </c>
    </row>
    <row r="1579" spans="1:3" x14ac:dyDescent="0.2">
      <c r="A1579" s="1">
        <v>43776</v>
      </c>
      <c r="B1579">
        <v>46.76</v>
      </c>
      <c r="C1579" s="2">
        <f t="shared" si="24"/>
        <v>4.5011328807916633E-3</v>
      </c>
    </row>
    <row r="1580" spans="1:3" x14ac:dyDescent="0.2">
      <c r="A1580" s="1">
        <v>43775</v>
      </c>
      <c r="B1580">
        <v>46.55</v>
      </c>
      <c r="C1580" s="2">
        <f t="shared" si="24"/>
        <v>-9.1949755076906475E-3</v>
      </c>
    </row>
    <row r="1581" spans="1:3" x14ac:dyDescent="0.2">
      <c r="A1581" s="1">
        <v>43774</v>
      </c>
      <c r="B1581">
        <v>46.98</v>
      </c>
      <c r="C1581" s="2">
        <f t="shared" si="24"/>
        <v>8.5507147745717098E-3</v>
      </c>
    </row>
    <row r="1582" spans="1:3" x14ac:dyDescent="0.2">
      <c r="A1582" s="1">
        <v>43773</v>
      </c>
      <c r="B1582">
        <v>46.58</v>
      </c>
      <c r="C1582" s="2">
        <f t="shared" si="24"/>
        <v>1.1226370063655792E-2</v>
      </c>
    </row>
    <row r="1583" spans="1:3" x14ac:dyDescent="0.2">
      <c r="A1583" s="1">
        <v>43770</v>
      </c>
      <c r="B1583">
        <v>46.06</v>
      </c>
      <c r="C1583" s="2">
        <f t="shared" si="24"/>
        <v>1.8847807554353523E-2</v>
      </c>
    </row>
    <row r="1584" spans="1:3" x14ac:dyDescent="0.2">
      <c r="A1584" s="1">
        <v>43769</v>
      </c>
      <c r="B1584">
        <v>45.2</v>
      </c>
      <c r="C1584" s="2">
        <f t="shared" si="24"/>
        <v>-1.4278111864288279E-2</v>
      </c>
    </row>
    <row r="1585" spans="1:3" x14ac:dyDescent="0.2">
      <c r="A1585" s="1">
        <v>43768</v>
      </c>
      <c r="B1585">
        <v>45.85</v>
      </c>
      <c r="C1585" s="2">
        <f t="shared" si="24"/>
        <v>-1.2139754550610433E-2</v>
      </c>
    </row>
    <row r="1586" spans="1:3" x14ac:dyDescent="0.2">
      <c r="A1586" s="1">
        <v>43767</v>
      </c>
      <c r="B1586">
        <v>46.41</v>
      </c>
      <c r="C1586" s="2">
        <f t="shared" si="24"/>
        <v>-2.3673743973793263E-3</v>
      </c>
    </row>
    <row r="1587" spans="1:3" x14ac:dyDescent="0.2">
      <c r="A1587" s="1">
        <v>43766</v>
      </c>
      <c r="B1587">
        <v>46.52</v>
      </c>
      <c r="C1587" s="2">
        <f t="shared" si="24"/>
        <v>1.603501312604318E-2</v>
      </c>
    </row>
    <row r="1588" spans="1:3" x14ac:dyDescent="0.2">
      <c r="A1588" s="1">
        <v>43763</v>
      </c>
      <c r="B1588">
        <v>45.78</v>
      </c>
      <c r="C1588" s="2">
        <f t="shared" si="24"/>
        <v>-6.5317018632151244E-3</v>
      </c>
    </row>
    <row r="1589" spans="1:3" x14ac:dyDescent="0.2">
      <c r="A1589" s="1">
        <v>43762</v>
      </c>
      <c r="B1589">
        <v>46.08</v>
      </c>
      <c r="C1589" s="2">
        <f t="shared" si="24"/>
        <v>-1.4435239347060274E-2</v>
      </c>
    </row>
    <row r="1590" spans="1:3" x14ac:dyDescent="0.2">
      <c r="A1590" s="1">
        <v>43761</v>
      </c>
      <c r="B1590">
        <v>46.75</v>
      </c>
      <c r="C1590" s="2">
        <f t="shared" si="24"/>
        <v>6.4191721472436967E-4</v>
      </c>
    </row>
    <row r="1591" spans="1:3" x14ac:dyDescent="0.2">
      <c r="A1591" s="1">
        <v>43760</v>
      </c>
      <c r="B1591">
        <v>46.72</v>
      </c>
      <c r="C1591" s="2">
        <f t="shared" si="24"/>
        <v>3.0010740637766054E-3</v>
      </c>
    </row>
    <row r="1592" spans="1:3" x14ac:dyDescent="0.2">
      <c r="A1592" s="1">
        <v>43759</v>
      </c>
      <c r="B1592">
        <v>46.58</v>
      </c>
      <c r="C1592" s="2">
        <f t="shared" si="24"/>
        <v>7.3260400920728812E-3</v>
      </c>
    </row>
    <row r="1593" spans="1:3" x14ac:dyDescent="0.2">
      <c r="A1593" s="1">
        <v>43756</v>
      </c>
      <c r="B1593">
        <v>46.24</v>
      </c>
      <c r="C1593" s="2">
        <f t="shared" si="24"/>
        <v>1.7316021642781155E-3</v>
      </c>
    </row>
    <row r="1594" spans="1:3" x14ac:dyDescent="0.2">
      <c r="A1594" s="1">
        <v>43755</v>
      </c>
      <c r="B1594">
        <v>46.16</v>
      </c>
      <c r="C1594" s="2">
        <f t="shared" si="24"/>
        <v>1.7703445638698335E-2</v>
      </c>
    </row>
    <row r="1595" spans="1:3" x14ac:dyDescent="0.2">
      <c r="A1595" s="1">
        <v>43754</v>
      </c>
      <c r="B1595">
        <v>45.35</v>
      </c>
      <c r="C1595" s="2">
        <f t="shared" si="24"/>
        <v>-3.0823450207670753E-3</v>
      </c>
    </row>
    <row r="1596" spans="1:3" x14ac:dyDescent="0.2">
      <c r="A1596" s="1">
        <v>43753</v>
      </c>
      <c r="B1596">
        <v>45.49</v>
      </c>
      <c r="C1596" s="2">
        <f t="shared" si="24"/>
        <v>1.1719315996477108E-2</v>
      </c>
    </row>
    <row r="1597" spans="1:3" x14ac:dyDescent="0.2">
      <c r="A1597" s="1">
        <v>43752</v>
      </c>
      <c r="B1597">
        <v>44.96</v>
      </c>
      <c r="C1597" s="2">
        <f t="shared" si="24"/>
        <v>-6.8713558624316001E-3</v>
      </c>
    </row>
    <row r="1598" spans="1:3" x14ac:dyDescent="0.2">
      <c r="A1598" s="1">
        <v>43749</v>
      </c>
      <c r="B1598">
        <v>45.27</v>
      </c>
      <c r="C1598" s="2">
        <f t="shared" si="24"/>
        <v>2.1434176236469159E-2</v>
      </c>
    </row>
    <row r="1599" spans="1:3" x14ac:dyDescent="0.2">
      <c r="A1599" s="1">
        <v>43748</v>
      </c>
      <c r="B1599">
        <v>44.31</v>
      </c>
      <c r="C1599" s="2">
        <f t="shared" si="24"/>
        <v>2.7118660687497215E-3</v>
      </c>
    </row>
    <row r="1600" spans="1:3" x14ac:dyDescent="0.2">
      <c r="A1600" s="1">
        <v>43747</v>
      </c>
      <c r="B1600">
        <v>44.19</v>
      </c>
      <c r="C1600" s="2">
        <f t="shared" si="24"/>
        <v>1.5048163578442414E-2</v>
      </c>
    </row>
    <row r="1601" spans="1:3" x14ac:dyDescent="0.2">
      <c r="A1601" s="1">
        <v>43746</v>
      </c>
      <c r="B1601">
        <v>43.53</v>
      </c>
      <c r="C1601" s="2">
        <f t="shared" si="24"/>
        <v>-2.562789084780558E-2</v>
      </c>
    </row>
    <row r="1602" spans="1:3" x14ac:dyDescent="0.2">
      <c r="A1602" s="1">
        <v>43745</v>
      </c>
      <c r="B1602">
        <v>44.66</v>
      </c>
      <c r="C1602" s="2">
        <f t="shared" si="24"/>
        <v>-7.8064408928295286E-3</v>
      </c>
    </row>
    <row r="1603" spans="1:3" x14ac:dyDescent="0.2">
      <c r="A1603" s="1">
        <v>43742</v>
      </c>
      <c r="B1603">
        <v>45.01</v>
      </c>
      <c r="C1603" s="2">
        <f t="shared" ref="C1603:C1666" si="25">+LN(B1603/B1604)</f>
        <v>1.1845037362514342E-2</v>
      </c>
    </row>
    <row r="1604" spans="1:3" x14ac:dyDescent="0.2">
      <c r="A1604" s="1">
        <v>43741</v>
      </c>
      <c r="B1604">
        <v>44.48</v>
      </c>
      <c r="C1604" s="2">
        <f t="shared" si="25"/>
        <v>6.9938243338916435E-3</v>
      </c>
    </row>
    <row r="1605" spans="1:3" x14ac:dyDescent="0.2">
      <c r="A1605" s="1">
        <v>43740</v>
      </c>
      <c r="B1605">
        <v>44.17</v>
      </c>
      <c r="C1605" s="2">
        <f t="shared" si="25"/>
        <v>-1.7282441148747961E-2</v>
      </c>
    </row>
    <row r="1606" spans="1:3" x14ac:dyDescent="0.2">
      <c r="A1606" s="1">
        <v>43739</v>
      </c>
      <c r="B1606">
        <v>44.94</v>
      </c>
      <c r="C1606" s="2">
        <f t="shared" si="25"/>
        <v>-2.418231709649887E-2</v>
      </c>
    </row>
    <row r="1607" spans="1:3" x14ac:dyDescent="0.2">
      <c r="A1607" s="1">
        <v>43738</v>
      </c>
      <c r="B1607">
        <v>46.04</v>
      </c>
      <c r="C1607" s="2">
        <f t="shared" si="25"/>
        <v>6.9747449270719511E-3</v>
      </c>
    </row>
    <row r="1608" spans="1:3" x14ac:dyDescent="0.2">
      <c r="A1608" s="1">
        <v>43735</v>
      </c>
      <c r="B1608">
        <v>45.72</v>
      </c>
      <c r="C1608" s="2">
        <f t="shared" si="25"/>
        <v>-6.559527949203843E-4</v>
      </c>
    </row>
    <row r="1609" spans="1:3" x14ac:dyDescent="0.2">
      <c r="A1609" s="1">
        <v>43734</v>
      </c>
      <c r="B1609">
        <v>45.75</v>
      </c>
      <c r="C1609" s="2">
        <f t="shared" si="25"/>
        <v>-5.884292885689534E-3</v>
      </c>
    </row>
    <row r="1610" spans="1:3" x14ac:dyDescent="0.2">
      <c r="A1610" s="1">
        <v>43733</v>
      </c>
      <c r="B1610">
        <v>46.02</v>
      </c>
      <c r="C1610" s="2">
        <f t="shared" si="25"/>
        <v>1.8421573567362595E-2</v>
      </c>
    </row>
    <row r="1611" spans="1:3" x14ac:dyDescent="0.2">
      <c r="A1611" s="1">
        <v>43732</v>
      </c>
      <c r="B1611">
        <v>45.18</v>
      </c>
      <c r="C1611" s="2">
        <f t="shared" si="25"/>
        <v>-1.6246240971453833E-2</v>
      </c>
    </row>
    <row r="1612" spans="1:3" x14ac:dyDescent="0.2">
      <c r="A1612" s="1">
        <v>43731</v>
      </c>
      <c r="B1612">
        <v>45.92</v>
      </c>
      <c r="C1612" s="2">
        <f t="shared" si="25"/>
        <v>3.9275634166759691E-3</v>
      </c>
    </row>
    <row r="1613" spans="1:3" x14ac:dyDescent="0.2">
      <c r="A1613" s="1">
        <v>43728</v>
      </c>
      <c r="B1613">
        <v>45.74</v>
      </c>
      <c r="C1613" s="2">
        <f t="shared" si="25"/>
        <v>-6.5373952590467663E-3</v>
      </c>
    </row>
    <row r="1614" spans="1:3" x14ac:dyDescent="0.2">
      <c r="A1614" s="1">
        <v>43727</v>
      </c>
      <c r="B1614">
        <v>46.04</v>
      </c>
      <c r="C1614" s="2">
        <f t="shared" si="25"/>
        <v>-6.2791155748751224E-3</v>
      </c>
    </row>
    <row r="1615" spans="1:3" x14ac:dyDescent="0.2">
      <c r="A1615" s="1">
        <v>43726</v>
      </c>
      <c r="B1615">
        <v>46.33</v>
      </c>
      <c r="C1615" s="2">
        <f t="shared" si="25"/>
        <v>0</v>
      </c>
    </row>
    <row r="1616" spans="1:3" x14ac:dyDescent="0.2">
      <c r="A1616" s="1">
        <v>43725</v>
      </c>
      <c r="B1616">
        <v>46.33</v>
      </c>
      <c r="C1616" s="2">
        <f t="shared" si="25"/>
        <v>6.9309352611797402E-3</v>
      </c>
    </row>
    <row r="1617" spans="1:3" x14ac:dyDescent="0.2">
      <c r="A1617" s="1">
        <v>43724</v>
      </c>
      <c r="B1617">
        <v>46.01</v>
      </c>
      <c r="C1617" s="2">
        <f t="shared" si="25"/>
        <v>-1.3814163125975592E-2</v>
      </c>
    </row>
    <row r="1618" spans="1:3" x14ac:dyDescent="0.2">
      <c r="A1618" s="1">
        <v>43721</v>
      </c>
      <c r="B1618">
        <v>46.65</v>
      </c>
      <c r="C1618" s="2">
        <f t="shared" si="25"/>
        <v>-5.3447481588808163E-3</v>
      </c>
    </row>
    <row r="1619" spans="1:3" x14ac:dyDescent="0.2">
      <c r="A1619" s="1">
        <v>43720</v>
      </c>
      <c r="B1619">
        <v>46.9</v>
      </c>
      <c r="C1619" s="2">
        <f t="shared" si="25"/>
        <v>5.344748158880943E-3</v>
      </c>
    </row>
    <row r="1620" spans="1:3" x14ac:dyDescent="0.2">
      <c r="A1620" s="1">
        <v>43719</v>
      </c>
      <c r="B1620">
        <v>46.65</v>
      </c>
      <c r="C1620" s="2">
        <f t="shared" si="25"/>
        <v>9.6931292056595328E-3</v>
      </c>
    </row>
    <row r="1621" spans="1:3" x14ac:dyDescent="0.2">
      <c r="A1621" s="1">
        <v>43718</v>
      </c>
      <c r="B1621">
        <v>46.2</v>
      </c>
      <c r="C1621" s="2">
        <f t="shared" si="25"/>
        <v>-4.3196611445162842E-3</v>
      </c>
    </row>
    <row r="1622" spans="1:3" x14ac:dyDescent="0.2">
      <c r="A1622" s="1">
        <v>43717</v>
      </c>
      <c r="B1622">
        <v>46.4</v>
      </c>
      <c r="C1622" s="2">
        <f t="shared" si="25"/>
        <v>0</v>
      </c>
    </row>
    <row r="1623" spans="1:3" x14ac:dyDescent="0.2">
      <c r="A1623" s="1">
        <v>43714</v>
      </c>
      <c r="B1623">
        <v>46.4</v>
      </c>
      <c r="C1623" s="2">
        <f t="shared" si="25"/>
        <v>-6.4634279962081254E-4</v>
      </c>
    </row>
    <row r="1624" spans="1:3" x14ac:dyDescent="0.2">
      <c r="A1624" s="1">
        <v>43713</v>
      </c>
      <c r="B1624">
        <v>46.43</v>
      </c>
      <c r="C1624" s="2">
        <f t="shared" si="25"/>
        <v>3.8643666667802917E-2</v>
      </c>
    </row>
    <row r="1625" spans="1:3" x14ac:dyDescent="0.2">
      <c r="A1625" s="1">
        <v>43712</v>
      </c>
      <c r="B1625">
        <v>44.67</v>
      </c>
      <c r="C1625" s="2">
        <f t="shared" si="25"/>
        <v>8.7690275235910893E-3</v>
      </c>
    </row>
    <row r="1626" spans="1:3" x14ac:dyDescent="0.2">
      <c r="A1626" s="1">
        <v>43711</v>
      </c>
      <c r="B1626">
        <v>44.28</v>
      </c>
      <c r="C1626" s="2">
        <f t="shared" si="25"/>
        <v>-2.8716497435355037E-2</v>
      </c>
    </row>
    <row r="1627" spans="1:3" x14ac:dyDescent="0.2">
      <c r="A1627" s="1">
        <v>43707</v>
      </c>
      <c r="B1627">
        <v>45.57</v>
      </c>
      <c r="C1627" s="2">
        <f t="shared" si="25"/>
        <v>1.317523247240681E-3</v>
      </c>
    </row>
    <row r="1628" spans="1:3" x14ac:dyDescent="0.2">
      <c r="A1628" s="1">
        <v>43706</v>
      </c>
      <c r="B1628">
        <v>45.51</v>
      </c>
      <c r="C1628" s="2">
        <f t="shared" si="25"/>
        <v>1.7064125966566989E-2</v>
      </c>
    </row>
    <row r="1629" spans="1:3" x14ac:dyDescent="0.2">
      <c r="A1629" s="1">
        <v>43705</v>
      </c>
      <c r="B1629">
        <v>44.74</v>
      </c>
      <c r="C1629" s="2">
        <f t="shared" si="25"/>
        <v>1.2822130453548531E-2</v>
      </c>
    </row>
    <row r="1630" spans="1:3" x14ac:dyDescent="0.2">
      <c r="A1630" s="1">
        <v>43704</v>
      </c>
      <c r="B1630">
        <v>44.17</v>
      </c>
      <c r="C1630" s="2">
        <f t="shared" si="25"/>
        <v>-9.0518222971674913E-4</v>
      </c>
    </row>
    <row r="1631" spans="1:3" x14ac:dyDescent="0.2">
      <c r="A1631" s="1">
        <v>43703</v>
      </c>
      <c r="B1631">
        <v>44.21</v>
      </c>
      <c r="C1631" s="2">
        <f t="shared" si="25"/>
        <v>1.8111845566959476E-3</v>
      </c>
    </row>
    <row r="1632" spans="1:3" x14ac:dyDescent="0.2">
      <c r="A1632" s="1">
        <v>43700</v>
      </c>
      <c r="B1632">
        <v>44.13</v>
      </c>
      <c r="C1632" s="2">
        <f t="shared" si="25"/>
        <v>-2.5504738166411366E-2</v>
      </c>
    </row>
    <row r="1633" spans="1:3" x14ac:dyDescent="0.2">
      <c r="A1633" s="1">
        <v>43699</v>
      </c>
      <c r="B1633">
        <v>45.27</v>
      </c>
      <c r="C1633" s="2">
        <f t="shared" si="25"/>
        <v>-6.6050438279239296E-3</v>
      </c>
    </row>
    <row r="1634" spans="1:3" x14ac:dyDescent="0.2">
      <c r="A1634" s="1">
        <v>43698</v>
      </c>
      <c r="B1634">
        <v>45.57</v>
      </c>
      <c r="C1634" s="2">
        <f t="shared" si="25"/>
        <v>5.2805403230333503E-3</v>
      </c>
    </row>
    <row r="1635" spans="1:3" x14ac:dyDescent="0.2">
      <c r="A1635" s="1">
        <v>43697</v>
      </c>
      <c r="B1635">
        <v>45.33</v>
      </c>
      <c r="C1635" s="2">
        <f t="shared" si="25"/>
        <v>-1.2713893308372708E-2</v>
      </c>
    </row>
    <row r="1636" spans="1:3" x14ac:dyDescent="0.2">
      <c r="A1636" s="1">
        <v>43696</v>
      </c>
      <c r="B1636">
        <v>45.91</v>
      </c>
      <c r="C1636" s="2">
        <f t="shared" si="25"/>
        <v>2.6172315921265477E-3</v>
      </c>
    </row>
    <row r="1637" spans="1:3" x14ac:dyDescent="0.2">
      <c r="A1637" s="1">
        <v>43693</v>
      </c>
      <c r="B1637">
        <v>45.79</v>
      </c>
      <c r="C1637" s="2">
        <f t="shared" si="25"/>
        <v>1.2968639830818446E-2</v>
      </c>
    </row>
    <row r="1638" spans="1:3" x14ac:dyDescent="0.2">
      <c r="A1638" s="1">
        <v>43692</v>
      </c>
      <c r="B1638">
        <v>45.2</v>
      </c>
      <c r="C1638" s="2">
        <f t="shared" si="25"/>
        <v>2.658397666610099E-3</v>
      </c>
    </row>
    <row r="1639" spans="1:3" x14ac:dyDescent="0.2">
      <c r="A1639" s="1">
        <v>43691</v>
      </c>
      <c r="B1639">
        <v>45.08</v>
      </c>
      <c r="C1639" s="2">
        <f t="shared" si="25"/>
        <v>-2.9076264081508901E-2</v>
      </c>
    </row>
    <row r="1640" spans="1:3" x14ac:dyDescent="0.2">
      <c r="A1640" s="1">
        <v>43690</v>
      </c>
      <c r="B1640">
        <v>46.41</v>
      </c>
      <c r="C1640" s="2">
        <f t="shared" si="25"/>
        <v>2.046218541616528E-2</v>
      </c>
    </row>
    <row r="1641" spans="1:3" x14ac:dyDescent="0.2">
      <c r="A1641" s="1">
        <v>43689</v>
      </c>
      <c r="B1641">
        <v>45.47</v>
      </c>
      <c r="C1641" s="2">
        <f t="shared" si="25"/>
        <v>-2.1969344706736501E-2</v>
      </c>
    </row>
    <row r="1642" spans="1:3" x14ac:dyDescent="0.2">
      <c r="A1642" s="1">
        <v>43686</v>
      </c>
      <c r="B1642">
        <v>46.48</v>
      </c>
      <c r="C1642" s="2">
        <f t="shared" si="25"/>
        <v>-1.5159893194640374E-2</v>
      </c>
    </row>
    <row r="1643" spans="1:3" x14ac:dyDescent="0.2">
      <c r="A1643" s="1">
        <v>43685</v>
      </c>
      <c r="B1643">
        <v>47.19</v>
      </c>
      <c r="C1643" s="2">
        <f t="shared" si="25"/>
        <v>2.4237111345756988E-2</v>
      </c>
    </row>
    <row r="1644" spans="1:3" x14ac:dyDescent="0.2">
      <c r="A1644" s="1">
        <v>43684</v>
      </c>
      <c r="B1644">
        <v>46.06</v>
      </c>
      <c r="C1644" s="2">
        <f t="shared" si="25"/>
        <v>8.6880978531922567E-4</v>
      </c>
    </row>
    <row r="1645" spans="1:3" x14ac:dyDescent="0.2">
      <c r="A1645" s="1">
        <v>43683</v>
      </c>
      <c r="B1645">
        <v>46.02</v>
      </c>
      <c r="C1645" s="2">
        <f t="shared" si="25"/>
        <v>1.2903404835908001E-2</v>
      </c>
    </row>
    <row r="1646" spans="1:3" x14ac:dyDescent="0.2">
      <c r="A1646" s="1">
        <v>43682</v>
      </c>
      <c r="B1646">
        <v>45.43</v>
      </c>
      <c r="C1646" s="2">
        <f t="shared" si="25"/>
        <v>-2.3709647879151811E-2</v>
      </c>
    </row>
    <row r="1647" spans="1:3" x14ac:dyDescent="0.2">
      <c r="A1647" s="1">
        <v>43679</v>
      </c>
      <c r="B1647">
        <v>46.52</v>
      </c>
      <c r="C1647" s="2">
        <f t="shared" si="25"/>
        <v>-1.9583427039006215E-2</v>
      </c>
    </row>
    <row r="1648" spans="1:3" x14ac:dyDescent="0.2">
      <c r="A1648" s="1">
        <v>43678</v>
      </c>
      <c r="B1648">
        <v>47.44</v>
      </c>
      <c r="C1648" s="2">
        <f t="shared" si="25"/>
        <v>-1.3400535537482114E-2</v>
      </c>
    </row>
    <row r="1649" spans="1:3" x14ac:dyDescent="0.2">
      <c r="A1649" s="1">
        <v>43677</v>
      </c>
      <c r="B1649">
        <v>48.08</v>
      </c>
      <c r="C1649" s="2">
        <f t="shared" si="25"/>
        <v>-5.8067355196398393E-3</v>
      </c>
    </row>
    <row r="1650" spans="1:3" x14ac:dyDescent="0.2">
      <c r="A1650" s="1">
        <v>43676</v>
      </c>
      <c r="B1650">
        <v>48.36</v>
      </c>
      <c r="C1650" s="2">
        <f t="shared" si="25"/>
        <v>4.9751346401139289E-3</v>
      </c>
    </row>
    <row r="1651" spans="1:3" x14ac:dyDescent="0.2">
      <c r="A1651" s="1">
        <v>43675</v>
      </c>
      <c r="B1651">
        <v>48.12</v>
      </c>
      <c r="C1651" s="2">
        <f t="shared" si="25"/>
        <v>-1.4646986967090757E-2</v>
      </c>
    </row>
    <row r="1652" spans="1:3" x14ac:dyDescent="0.2">
      <c r="A1652" s="1">
        <v>43672</v>
      </c>
      <c r="B1652">
        <v>48.83</v>
      </c>
      <c r="C1652" s="2">
        <f t="shared" si="25"/>
        <v>9.2583728916875579E-3</v>
      </c>
    </row>
    <row r="1653" spans="1:3" x14ac:dyDescent="0.2">
      <c r="A1653" s="1">
        <v>43671</v>
      </c>
      <c r="B1653">
        <v>48.38</v>
      </c>
      <c r="C1653" s="2">
        <f t="shared" si="25"/>
        <v>-5.6653026863580883E-2</v>
      </c>
    </row>
    <row r="1654" spans="1:3" x14ac:dyDescent="0.2">
      <c r="A1654" s="1">
        <v>43670</v>
      </c>
      <c r="B1654">
        <v>51.2</v>
      </c>
      <c r="C1654" s="2">
        <f t="shared" si="25"/>
        <v>1.9550348358032951E-3</v>
      </c>
    </row>
    <row r="1655" spans="1:3" x14ac:dyDescent="0.2">
      <c r="A1655" s="1">
        <v>43669</v>
      </c>
      <c r="B1655">
        <v>51.1</v>
      </c>
      <c r="C1655" s="2">
        <f t="shared" si="25"/>
        <v>1.9164865934246791E-2</v>
      </c>
    </row>
    <row r="1656" spans="1:3" x14ac:dyDescent="0.2">
      <c r="A1656" s="1">
        <v>43668</v>
      </c>
      <c r="B1656">
        <v>50.13</v>
      </c>
      <c r="C1656" s="2">
        <f t="shared" si="25"/>
        <v>-3.1866189084612966E-3</v>
      </c>
    </row>
    <row r="1657" spans="1:3" x14ac:dyDescent="0.2">
      <c r="A1657" s="1">
        <v>43665</v>
      </c>
      <c r="B1657">
        <v>50.29</v>
      </c>
      <c r="C1657" s="2">
        <f t="shared" si="25"/>
        <v>-1.1923689806979669E-3</v>
      </c>
    </row>
    <row r="1658" spans="1:3" x14ac:dyDescent="0.2">
      <c r="A1658" s="1">
        <v>43664</v>
      </c>
      <c r="B1658">
        <v>50.35</v>
      </c>
      <c r="C1658" s="2">
        <f t="shared" si="25"/>
        <v>6.1759335658609455E-3</v>
      </c>
    </row>
    <row r="1659" spans="1:3" x14ac:dyDescent="0.2">
      <c r="A1659" s="1">
        <v>43663</v>
      </c>
      <c r="B1659">
        <v>50.04</v>
      </c>
      <c r="C1659" s="2">
        <f t="shared" si="25"/>
        <v>-2.017872621462749E-2</v>
      </c>
    </row>
    <row r="1660" spans="1:3" x14ac:dyDescent="0.2">
      <c r="A1660" s="1">
        <v>43662</v>
      </c>
      <c r="B1660">
        <v>51.06</v>
      </c>
      <c r="C1660" s="2">
        <f t="shared" si="25"/>
        <v>1.1028075532023637E-2</v>
      </c>
    </row>
    <row r="1661" spans="1:3" x14ac:dyDescent="0.2">
      <c r="A1661" s="1">
        <v>43661</v>
      </c>
      <c r="B1661">
        <v>50.5</v>
      </c>
      <c r="C1661" s="2">
        <f t="shared" si="25"/>
        <v>-1.0832208329360314E-2</v>
      </c>
    </row>
    <row r="1662" spans="1:3" x14ac:dyDescent="0.2">
      <c r="A1662" s="1">
        <v>43658</v>
      </c>
      <c r="B1662">
        <v>51.05</v>
      </c>
      <c r="C1662" s="2">
        <f t="shared" si="25"/>
        <v>2.0782539182528412E-2</v>
      </c>
    </row>
    <row r="1663" spans="1:3" x14ac:dyDescent="0.2">
      <c r="A1663" s="1">
        <v>43657</v>
      </c>
      <c r="B1663">
        <v>50</v>
      </c>
      <c r="C1663" s="2">
        <f t="shared" si="25"/>
        <v>4.6106125576831775E-3</v>
      </c>
    </row>
    <row r="1664" spans="1:3" x14ac:dyDescent="0.2">
      <c r="A1664" s="1">
        <v>43656</v>
      </c>
      <c r="B1664">
        <v>49.77</v>
      </c>
      <c r="C1664" s="2">
        <f t="shared" si="25"/>
        <v>-9.399129289480385E-3</v>
      </c>
    </row>
    <row r="1665" spans="1:3" x14ac:dyDescent="0.2">
      <c r="A1665" s="1">
        <v>43655</v>
      </c>
      <c r="B1665">
        <v>50.24</v>
      </c>
      <c r="C1665" s="2">
        <f t="shared" si="25"/>
        <v>-1.5910902322418517E-3</v>
      </c>
    </row>
    <row r="1666" spans="1:3" x14ac:dyDescent="0.2">
      <c r="A1666" s="1">
        <v>43654</v>
      </c>
      <c r="B1666">
        <v>50.32</v>
      </c>
      <c r="C1666" s="2">
        <f t="shared" si="25"/>
        <v>-1.1067306639681673E-2</v>
      </c>
    </row>
    <row r="1667" spans="1:3" x14ac:dyDescent="0.2">
      <c r="A1667" s="1">
        <v>43651</v>
      </c>
      <c r="B1667">
        <v>50.88</v>
      </c>
      <c r="C1667" s="2">
        <f t="shared" ref="C1667:C1730" si="26">+LN(B1667/B1668)</f>
        <v>9.8318757305559099E-4</v>
      </c>
    </row>
    <row r="1668" spans="1:3" x14ac:dyDescent="0.2">
      <c r="A1668" s="1">
        <v>43649</v>
      </c>
      <c r="B1668">
        <v>50.83</v>
      </c>
      <c r="C1668" s="2">
        <f t="shared" si="26"/>
        <v>9.8415518227880838E-4</v>
      </c>
    </row>
    <row r="1669" spans="1:3" x14ac:dyDescent="0.2">
      <c r="A1669" s="1">
        <v>43648</v>
      </c>
      <c r="B1669">
        <v>50.78</v>
      </c>
      <c r="C1669" s="2">
        <f t="shared" si="26"/>
        <v>-1.3302230577065694E-2</v>
      </c>
    </row>
    <row r="1670" spans="1:3" x14ac:dyDescent="0.2">
      <c r="A1670" s="1">
        <v>43647</v>
      </c>
      <c r="B1670">
        <v>51.46</v>
      </c>
      <c r="C1670" s="2">
        <f t="shared" si="26"/>
        <v>2.518826591532192E-2</v>
      </c>
    </row>
    <row r="1671" spans="1:3" x14ac:dyDescent="0.2">
      <c r="A1671" s="1">
        <v>43644</v>
      </c>
      <c r="B1671">
        <v>50.18</v>
      </c>
      <c r="C1671" s="2">
        <f t="shared" si="26"/>
        <v>6.9993286449629684E-3</v>
      </c>
    </row>
    <row r="1672" spans="1:3" x14ac:dyDescent="0.2">
      <c r="A1672" s="1">
        <v>43643</v>
      </c>
      <c r="B1672">
        <v>49.83</v>
      </c>
      <c r="C1672" s="2">
        <f t="shared" si="26"/>
        <v>-4.605073710314999E-3</v>
      </c>
    </row>
    <row r="1673" spans="1:3" x14ac:dyDescent="0.2">
      <c r="A1673" s="1">
        <v>43642</v>
      </c>
      <c r="B1673">
        <v>50.06</v>
      </c>
      <c r="C1673" s="2">
        <f t="shared" si="26"/>
        <v>-1.5854473990345355E-2</v>
      </c>
    </row>
    <row r="1674" spans="1:3" x14ac:dyDescent="0.2">
      <c r="A1674" s="1">
        <v>43641</v>
      </c>
      <c r="B1674">
        <v>50.86</v>
      </c>
      <c r="C1674" s="2">
        <f t="shared" si="26"/>
        <v>0</v>
      </c>
    </row>
    <row r="1675" spans="1:3" x14ac:dyDescent="0.2">
      <c r="A1675" s="1">
        <v>43640</v>
      </c>
      <c r="B1675">
        <v>50.86</v>
      </c>
      <c r="C1675" s="2">
        <f t="shared" si="26"/>
        <v>1.1804054095374561E-3</v>
      </c>
    </row>
    <row r="1676" spans="1:3" x14ac:dyDescent="0.2">
      <c r="A1676" s="1">
        <v>43637</v>
      </c>
      <c r="B1676">
        <v>50.8</v>
      </c>
      <c r="C1676" s="2">
        <f t="shared" si="26"/>
        <v>-1.7700860163051225E-3</v>
      </c>
    </row>
    <row r="1677" spans="1:3" x14ac:dyDescent="0.2">
      <c r="A1677" s="1">
        <v>43636</v>
      </c>
      <c r="B1677">
        <v>50.89</v>
      </c>
      <c r="C1677" s="2">
        <f t="shared" si="26"/>
        <v>1.7843455175262344E-2</v>
      </c>
    </row>
    <row r="1678" spans="1:3" x14ac:dyDescent="0.2">
      <c r="A1678" s="1">
        <v>43635</v>
      </c>
      <c r="B1678">
        <v>49.99</v>
      </c>
      <c r="C1678" s="2">
        <f t="shared" si="26"/>
        <v>6.6232053454585568E-3</v>
      </c>
    </row>
    <row r="1679" spans="1:3" x14ac:dyDescent="0.2">
      <c r="A1679" s="1">
        <v>43634</v>
      </c>
      <c r="B1679">
        <v>49.66</v>
      </c>
      <c r="C1679" s="2">
        <f t="shared" si="26"/>
        <v>1.1340745279545615E-2</v>
      </c>
    </row>
    <row r="1680" spans="1:3" x14ac:dyDescent="0.2">
      <c r="A1680" s="1">
        <v>43633</v>
      </c>
      <c r="B1680">
        <v>49.1</v>
      </c>
      <c r="C1680" s="2">
        <f t="shared" si="26"/>
        <v>-7.3052272927952759E-3</v>
      </c>
    </row>
    <row r="1681" spans="1:3" x14ac:dyDescent="0.2">
      <c r="A1681" s="1">
        <v>43630</v>
      </c>
      <c r="B1681">
        <v>49.46</v>
      </c>
      <c r="C1681" s="2">
        <f t="shared" si="26"/>
        <v>-6.0471863376538246E-3</v>
      </c>
    </row>
    <row r="1682" spans="1:3" x14ac:dyDescent="0.2">
      <c r="A1682" s="1">
        <v>43629</v>
      </c>
      <c r="B1682">
        <v>49.76</v>
      </c>
      <c r="C1682" s="2">
        <f t="shared" si="26"/>
        <v>-2.6091334420220579E-3</v>
      </c>
    </row>
    <row r="1683" spans="1:3" x14ac:dyDescent="0.2">
      <c r="A1683" s="1">
        <v>43628</v>
      </c>
      <c r="B1683">
        <v>49.89</v>
      </c>
      <c r="C1683" s="2">
        <f t="shared" si="26"/>
        <v>-6.1944448247375963E-3</v>
      </c>
    </row>
    <row r="1684" spans="1:3" x14ac:dyDescent="0.2">
      <c r="A1684" s="1">
        <v>43627</v>
      </c>
      <c r="B1684">
        <v>50.2</v>
      </c>
      <c r="C1684" s="2">
        <f t="shared" si="26"/>
        <v>7.9713037301827854E-4</v>
      </c>
    </row>
    <row r="1685" spans="1:3" x14ac:dyDescent="0.2">
      <c r="A1685" s="1">
        <v>43626</v>
      </c>
      <c r="B1685">
        <v>50.16</v>
      </c>
      <c r="C1685" s="2">
        <f t="shared" si="26"/>
        <v>9.212963222082076E-3</v>
      </c>
    </row>
    <row r="1686" spans="1:3" x14ac:dyDescent="0.2">
      <c r="A1686" s="1">
        <v>43623</v>
      </c>
      <c r="B1686">
        <v>49.7</v>
      </c>
      <c r="C1686" s="2">
        <f t="shared" si="26"/>
        <v>8.6895565467112884E-3</v>
      </c>
    </row>
    <row r="1687" spans="1:3" x14ac:dyDescent="0.2">
      <c r="A1687" s="1">
        <v>43622</v>
      </c>
      <c r="B1687">
        <v>49.27</v>
      </c>
      <c r="C1687" s="2">
        <f t="shared" si="26"/>
        <v>3.8637567131611147E-3</v>
      </c>
    </row>
    <row r="1688" spans="1:3" x14ac:dyDescent="0.2">
      <c r="A1688" s="1">
        <v>43621</v>
      </c>
      <c r="B1688">
        <v>49.08</v>
      </c>
      <c r="C1688" s="2">
        <f t="shared" si="26"/>
        <v>7.3619964410690398E-3</v>
      </c>
    </row>
    <row r="1689" spans="1:3" x14ac:dyDescent="0.2">
      <c r="A1689" s="1">
        <v>43620</v>
      </c>
      <c r="B1689">
        <v>48.72</v>
      </c>
      <c r="C1689" s="2">
        <f t="shared" si="26"/>
        <v>2.1997151731045463E-2</v>
      </c>
    </row>
    <row r="1690" spans="1:3" x14ac:dyDescent="0.2">
      <c r="A1690" s="1">
        <v>43619</v>
      </c>
      <c r="B1690">
        <v>47.66</v>
      </c>
      <c r="C1690" s="2">
        <f t="shared" si="26"/>
        <v>9.2749400132292655E-3</v>
      </c>
    </row>
    <row r="1691" spans="1:3" x14ac:dyDescent="0.2">
      <c r="A1691" s="1">
        <v>43616</v>
      </c>
      <c r="B1691">
        <v>47.22</v>
      </c>
      <c r="C1691" s="2">
        <f t="shared" si="26"/>
        <v>-9.6944910997274394E-3</v>
      </c>
    </row>
    <row r="1692" spans="1:3" x14ac:dyDescent="0.2">
      <c r="A1692" s="1">
        <v>43615</v>
      </c>
      <c r="B1692">
        <v>47.68</v>
      </c>
      <c r="C1692" s="2">
        <f t="shared" si="26"/>
        <v>4.414090193867579E-3</v>
      </c>
    </row>
    <row r="1693" spans="1:3" x14ac:dyDescent="0.2">
      <c r="A1693" s="1">
        <v>43614</v>
      </c>
      <c r="B1693">
        <v>47.47</v>
      </c>
      <c r="C1693" s="2">
        <f t="shared" si="26"/>
        <v>8.24965017115061E-3</v>
      </c>
    </row>
    <row r="1694" spans="1:3" x14ac:dyDescent="0.2">
      <c r="A1694" s="1">
        <v>43613</v>
      </c>
      <c r="B1694">
        <v>47.08</v>
      </c>
      <c r="C1694" s="2">
        <f t="shared" si="26"/>
        <v>-1.8519047767237527E-2</v>
      </c>
    </row>
    <row r="1695" spans="1:3" x14ac:dyDescent="0.2">
      <c r="A1695" s="1">
        <v>43609</v>
      </c>
      <c r="B1695">
        <v>47.96</v>
      </c>
      <c r="C1695" s="2">
        <f t="shared" si="26"/>
        <v>4.388263232574261E-3</v>
      </c>
    </row>
    <row r="1696" spans="1:3" x14ac:dyDescent="0.2">
      <c r="A1696" s="1">
        <v>43608</v>
      </c>
      <c r="B1696">
        <v>47.75</v>
      </c>
      <c r="C1696" s="2">
        <f t="shared" si="26"/>
        <v>-7.7188241797387733E-3</v>
      </c>
    </row>
    <row r="1697" spans="1:3" x14ac:dyDescent="0.2">
      <c r="A1697" s="1">
        <v>43607</v>
      </c>
      <c r="B1697">
        <v>48.12</v>
      </c>
      <c r="C1697" s="2">
        <f t="shared" si="26"/>
        <v>-1.1570377012848335E-2</v>
      </c>
    </row>
    <row r="1698" spans="1:3" x14ac:dyDescent="0.2">
      <c r="A1698" s="1">
        <v>43606</v>
      </c>
      <c r="B1698">
        <v>48.68</v>
      </c>
      <c r="C1698" s="2">
        <f t="shared" si="26"/>
        <v>1.8451855529259695E-2</v>
      </c>
    </row>
    <row r="1699" spans="1:3" x14ac:dyDescent="0.2">
      <c r="A1699" s="1">
        <v>43605</v>
      </c>
      <c r="B1699">
        <v>47.79</v>
      </c>
      <c r="C1699" s="2">
        <f t="shared" si="26"/>
        <v>-9.786647606818839E-3</v>
      </c>
    </row>
    <row r="1700" spans="1:3" x14ac:dyDescent="0.2">
      <c r="A1700" s="1">
        <v>43602</v>
      </c>
      <c r="B1700">
        <v>48.26</v>
      </c>
      <c r="C1700" s="2">
        <f t="shared" si="26"/>
        <v>-2.1321020851758691E-2</v>
      </c>
    </row>
    <row r="1701" spans="1:3" x14ac:dyDescent="0.2">
      <c r="A1701" s="1">
        <v>43601</v>
      </c>
      <c r="B1701">
        <v>49.3</v>
      </c>
      <c r="C1701" s="2">
        <f t="shared" si="26"/>
        <v>8.146684567818108E-3</v>
      </c>
    </row>
    <row r="1702" spans="1:3" x14ac:dyDescent="0.2">
      <c r="A1702" s="1">
        <v>43600</v>
      </c>
      <c r="B1702">
        <v>48.9</v>
      </c>
      <c r="C1702" s="2">
        <f t="shared" si="26"/>
        <v>2.8670918677556659E-3</v>
      </c>
    </row>
    <row r="1703" spans="1:3" x14ac:dyDescent="0.2">
      <c r="A1703" s="1">
        <v>43599</v>
      </c>
      <c r="B1703">
        <v>48.76</v>
      </c>
      <c r="C1703" s="2">
        <f t="shared" si="26"/>
        <v>-2.2308773482341129E-2</v>
      </c>
    </row>
    <row r="1704" spans="1:3" x14ac:dyDescent="0.2">
      <c r="A1704" s="1">
        <v>43598</v>
      </c>
      <c r="B1704">
        <v>49.86</v>
      </c>
      <c r="C1704" s="2">
        <f t="shared" si="26"/>
        <v>-3.0613627972001421E-2</v>
      </c>
    </row>
    <row r="1705" spans="1:3" x14ac:dyDescent="0.2">
      <c r="A1705" s="1">
        <v>43595</v>
      </c>
      <c r="B1705">
        <v>51.41</v>
      </c>
      <c r="C1705" s="2">
        <f t="shared" si="26"/>
        <v>1.0559347232739651E-2</v>
      </c>
    </row>
    <row r="1706" spans="1:3" x14ac:dyDescent="0.2">
      <c r="A1706" s="1">
        <v>43594</v>
      </c>
      <c r="B1706">
        <v>50.87</v>
      </c>
      <c r="C1706" s="2">
        <f t="shared" si="26"/>
        <v>-5.4891335629618544E-3</v>
      </c>
    </row>
    <row r="1707" spans="1:3" x14ac:dyDescent="0.2">
      <c r="A1707" s="1">
        <v>43593</v>
      </c>
      <c r="B1707">
        <v>51.15</v>
      </c>
      <c r="C1707" s="2">
        <f t="shared" si="26"/>
        <v>7.8231961744721051E-4</v>
      </c>
    </row>
    <row r="1708" spans="1:3" x14ac:dyDescent="0.2">
      <c r="A1708" s="1">
        <v>43592</v>
      </c>
      <c r="B1708">
        <v>51.11</v>
      </c>
      <c r="C1708" s="2">
        <f t="shared" si="26"/>
        <v>-9.5414997073288467E-3</v>
      </c>
    </row>
    <row r="1709" spans="1:3" x14ac:dyDescent="0.2">
      <c r="A1709" s="1">
        <v>43591</v>
      </c>
      <c r="B1709">
        <v>51.6</v>
      </c>
      <c r="C1709" s="2">
        <f t="shared" si="26"/>
        <v>-1.3474698583360046E-2</v>
      </c>
    </row>
    <row r="1710" spans="1:3" x14ac:dyDescent="0.2">
      <c r="A1710" s="1">
        <v>43588</v>
      </c>
      <c r="B1710">
        <v>52.3</v>
      </c>
      <c r="C1710" s="2">
        <f t="shared" si="26"/>
        <v>1.5997257406214088E-2</v>
      </c>
    </row>
    <row r="1711" spans="1:3" x14ac:dyDescent="0.2">
      <c r="A1711" s="1">
        <v>43587</v>
      </c>
      <c r="B1711">
        <v>51.47</v>
      </c>
      <c r="C1711" s="2">
        <f t="shared" si="26"/>
        <v>6.8233035953837529E-3</v>
      </c>
    </row>
    <row r="1712" spans="1:3" x14ac:dyDescent="0.2">
      <c r="A1712" s="1">
        <v>43586</v>
      </c>
      <c r="B1712">
        <v>51.12</v>
      </c>
      <c r="C1712" s="2">
        <f t="shared" si="26"/>
        <v>-2.5398079492381974E-3</v>
      </c>
    </row>
    <row r="1713" spans="1:3" x14ac:dyDescent="0.2">
      <c r="A1713" s="1">
        <v>43585</v>
      </c>
      <c r="B1713">
        <v>51.25</v>
      </c>
      <c r="C1713" s="2">
        <f t="shared" si="26"/>
        <v>-1.1700469353559488E-3</v>
      </c>
    </row>
    <row r="1714" spans="1:3" x14ac:dyDescent="0.2">
      <c r="A1714" s="1">
        <v>43584</v>
      </c>
      <c r="B1714">
        <v>51.31</v>
      </c>
      <c r="C1714" s="2">
        <f t="shared" si="26"/>
        <v>-3.3077177740523816E-3</v>
      </c>
    </row>
    <row r="1715" spans="1:3" x14ac:dyDescent="0.2">
      <c r="A1715" s="1">
        <v>43581</v>
      </c>
      <c r="B1715">
        <v>51.48</v>
      </c>
      <c r="C1715" s="2">
        <f t="shared" si="26"/>
        <v>1.1920023893252359E-2</v>
      </c>
    </row>
    <row r="1716" spans="1:3" x14ac:dyDescent="0.2">
      <c r="A1716" s="1">
        <v>43580</v>
      </c>
      <c r="B1716">
        <v>50.87</v>
      </c>
      <c r="C1716" s="2">
        <f t="shared" si="26"/>
        <v>-4.1207216165041118E-2</v>
      </c>
    </row>
    <row r="1717" spans="1:3" x14ac:dyDescent="0.2">
      <c r="A1717" s="1">
        <v>43579</v>
      </c>
      <c r="B1717">
        <v>53.01</v>
      </c>
      <c r="C1717" s="2">
        <f t="shared" si="26"/>
        <v>-6.2059437541536391E-3</v>
      </c>
    </row>
    <row r="1718" spans="1:3" x14ac:dyDescent="0.2">
      <c r="A1718" s="1">
        <v>43578</v>
      </c>
      <c r="B1718">
        <v>53.34</v>
      </c>
      <c r="C1718" s="2">
        <f t="shared" si="26"/>
        <v>6.3946052017463534E-3</v>
      </c>
    </row>
    <row r="1719" spans="1:3" x14ac:dyDescent="0.2">
      <c r="A1719" s="1">
        <v>43577</v>
      </c>
      <c r="B1719">
        <v>53</v>
      </c>
      <c r="C1719" s="2">
        <f t="shared" si="26"/>
        <v>-4.3302336325441136E-3</v>
      </c>
    </row>
    <row r="1720" spans="1:3" x14ac:dyDescent="0.2">
      <c r="A1720" s="1">
        <v>43573</v>
      </c>
      <c r="B1720">
        <v>53.23</v>
      </c>
      <c r="C1720" s="2">
        <f t="shared" si="26"/>
        <v>1.2096159583413112E-2</v>
      </c>
    </row>
    <row r="1721" spans="1:3" x14ac:dyDescent="0.2">
      <c r="A1721" s="1">
        <v>43572</v>
      </c>
      <c r="B1721">
        <v>52.59</v>
      </c>
      <c r="C1721" s="2">
        <f t="shared" si="26"/>
        <v>-3.606343473925102E-3</v>
      </c>
    </row>
    <row r="1722" spans="1:3" x14ac:dyDescent="0.2">
      <c r="A1722" s="1">
        <v>43571</v>
      </c>
      <c r="B1722">
        <v>52.78</v>
      </c>
      <c r="C1722" s="2">
        <f t="shared" si="26"/>
        <v>9.4777753279973447E-4</v>
      </c>
    </row>
    <row r="1723" spans="1:3" x14ac:dyDescent="0.2">
      <c r="A1723" s="1">
        <v>43570</v>
      </c>
      <c r="B1723">
        <v>52.73</v>
      </c>
      <c r="C1723" s="2">
        <f t="shared" si="26"/>
        <v>2.6585659411255246E-3</v>
      </c>
    </row>
    <row r="1724" spans="1:3" x14ac:dyDescent="0.2">
      <c r="A1724" s="1">
        <v>43567</v>
      </c>
      <c r="B1724">
        <v>52.59</v>
      </c>
      <c r="C1724" s="2">
        <f t="shared" si="26"/>
        <v>5.7061342489788151E-4</v>
      </c>
    </row>
    <row r="1725" spans="1:3" x14ac:dyDescent="0.2">
      <c r="A1725" s="1">
        <v>43566</v>
      </c>
      <c r="B1725">
        <v>52.56</v>
      </c>
      <c r="C1725" s="2">
        <f t="shared" si="26"/>
        <v>1.2251301780520585E-2</v>
      </c>
    </row>
    <row r="1726" spans="1:3" x14ac:dyDescent="0.2">
      <c r="A1726" s="1">
        <v>43565</v>
      </c>
      <c r="B1726">
        <v>51.92</v>
      </c>
      <c r="C1726" s="2">
        <f t="shared" si="26"/>
        <v>7.1518619328656075E-3</v>
      </c>
    </row>
    <row r="1727" spans="1:3" x14ac:dyDescent="0.2">
      <c r="A1727" s="1">
        <v>43564</v>
      </c>
      <c r="B1727">
        <v>51.55</v>
      </c>
      <c r="C1727" s="2">
        <f t="shared" si="26"/>
        <v>-1.787993417286465E-2</v>
      </c>
    </row>
    <row r="1728" spans="1:3" x14ac:dyDescent="0.2">
      <c r="A1728" s="1">
        <v>43563</v>
      </c>
      <c r="B1728">
        <v>52.48</v>
      </c>
      <c r="C1728" s="2">
        <f t="shared" si="26"/>
        <v>1.2463012434218473E-2</v>
      </c>
    </row>
    <row r="1729" spans="1:3" x14ac:dyDescent="0.2">
      <c r="A1729" s="1">
        <v>43560</v>
      </c>
      <c r="B1729">
        <v>51.83</v>
      </c>
      <c r="C1729" s="2">
        <f t="shared" si="26"/>
        <v>-5.7864790890319083E-4</v>
      </c>
    </row>
    <row r="1730" spans="1:3" x14ac:dyDescent="0.2">
      <c r="A1730" s="1">
        <v>43559</v>
      </c>
      <c r="B1730">
        <v>51.86</v>
      </c>
      <c r="C1730" s="2">
        <f t="shared" si="26"/>
        <v>8.1317001811543142E-3</v>
      </c>
    </row>
    <row r="1731" spans="1:3" x14ac:dyDescent="0.2">
      <c r="A1731" s="1">
        <v>43558</v>
      </c>
      <c r="B1731">
        <v>51.44</v>
      </c>
      <c r="C1731" s="2">
        <f t="shared" ref="C1731:C1794" si="27">+LN(B1731/B1732)</f>
        <v>1.1929348470552853E-2</v>
      </c>
    </row>
    <row r="1732" spans="1:3" x14ac:dyDescent="0.2">
      <c r="A1732" s="1">
        <v>43557</v>
      </c>
      <c r="B1732">
        <v>50.83</v>
      </c>
      <c r="C1732" s="2">
        <f t="shared" si="27"/>
        <v>-7.8662737586249665E-4</v>
      </c>
    </row>
    <row r="1733" spans="1:3" x14ac:dyDescent="0.2">
      <c r="A1733" s="1">
        <v>43556</v>
      </c>
      <c r="B1733">
        <v>50.87</v>
      </c>
      <c r="C1733" s="2">
        <f t="shared" si="27"/>
        <v>2.6896730458332904E-2</v>
      </c>
    </row>
    <row r="1734" spans="1:3" x14ac:dyDescent="0.2">
      <c r="A1734" s="1">
        <v>43553</v>
      </c>
      <c r="B1734">
        <v>49.52</v>
      </c>
      <c r="C1734" s="2">
        <f t="shared" si="27"/>
        <v>1.116876266211469E-2</v>
      </c>
    </row>
    <row r="1735" spans="1:3" x14ac:dyDescent="0.2">
      <c r="A1735" s="1">
        <v>43552</v>
      </c>
      <c r="B1735">
        <v>48.97</v>
      </c>
      <c r="C1735" s="2">
        <f t="shared" si="27"/>
        <v>1.232807887933411E-2</v>
      </c>
    </row>
    <row r="1736" spans="1:3" x14ac:dyDescent="0.2">
      <c r="A1736" s="1">
        <v>43551</v>
      </c>
      <c r="B1736">
        <v>48.37</v>
      </c>
      <c r="C1736" s="2">
        <f t="shared" si="27"/>
        <v>-3.302376582233106E-3</v>
      </c>
    </row>
    <row r="1737" spans="1:3" x14ac:dyDescent="0.2">
      <c r="A1737" s="1">
        <v>43550</v>
      </c>
      <c r="B1737">
        <v>48.53</v>
      </c>
      <c r="C1737" s="2">
        <f t="shared" si="27"/>
        <v>1.4111045518161565E-2</v>
      </c>
    </row>
    <row r="1738" spans="1:3" x14ac:dyDescent="0.2">
      <c r="A1738" s="1">
        <v>43549</v>
      </c>
      <c r="B1738">
        <v>47.85</v>
      </c>
      <c r="C1738" s="2">
        <f t="shared" si="27"/>
        <v>6.4996559669154444E-3</v>
      </c>
    </row>
    <row r="1739" spans="1:3" x14ac:dyDescent="0.2">
      <c r="A1739" s="1">
        <v>43546</v>
      </c>
      <c r="B1739">
        <v>47.54</v>
      </c>
      <c r="C1739" s="2">
        <f t="shared" si="27"/>
        <v>-2.82059345487785E-2</v>
      </c>
    </row>
    <row r="1740" spans="1:3" x14ac:dyDescent="0.2">
      <c r="A1740" s="1">
        <v>43545</v>
      </c>
      <c r="B1740">
        <v>48.9</v>
      </c>
      <c r="C1740" s="2">
        <f t="shared" si="27"/>
        <v>1.4210928063295311E-2</v>
      </c>
    </row>
    <row r="1741" spans="1:3" x14ac:dyDescent="0.2">
      <c r="A1741" s="1">
        <v>43544</v>
      </c>
      <c r="B1741">
        <v>48.21</v>
      </c>
      <c r="C1741" s="2">
        <f t="shared" si="27"/>
        <v>-4.1399355340719568E-3</v>
      </c>
    </row>
    <row r="1742" spans="1:3" x14ac:dyDescent="0.2">
      <c r="A1742" s="1">
        <v>43543</v>
      </c>
      <c r="B1742">
        <v>48.41</v>
      </c>
      <c r="C1742" s="2">
        <f t="shared" si="27"/>
        <v>1.447028676265813E-3</v>
      </c>
    </row>
    <row r="1743" spans="1:3" x14ac:dyDescent="0.2">
      <c r="A1743" s="1">
        <v>43542</v>
      </c>
      <c r="B1743">
        <v>48.34</v>
      </c>
      <c r="C1743" s="2">
        <f t="shared" si="27"/>
        <v>1.6898284649418893E-2</v>
      </c>
    </row>
    <row r="1744" spans="1:3" x14ac:dyDescent="0.2">
      <c r="A1744" s="1">
        <v>43539</v>
      </c>
      <c r="B1744">
        <v>47.53</v>
      </c>
      <c r="C1744" s="2">
        <f t="shared" si="27"/>
        <v>-8.5891383803201517E-3</v>
      </c>
    </row>
    <row r="1745" spans="1:3" x14ac:dyDescent="0.2">
      <c r="A1745" s="1">
        <v>43538</v>
      </c>
      <c r="B1745">
        <v>47.94</v>
      </c>
      <c r="C1745" s="2">
        <f t="shared" si="27"/>
        <v>-6.2383234126918144E-3</v>
      </c>
    </row>
    <row r="1746" spans="1:3" x14ac:dyDescent="0.2">
      <c r="A1746" s="1">
        <v>43537</v>
      </c>
      <c r="B1746">
        <v>48.24</v>
      </c>
      <c r="C1746" s="2">
        <f t="shared" si="27"/>
        <v>2.282869103912098E-3</v>
      </c>
    </row>
    <row r="1747" spans="1:3" x14ac:dyDescent="0.2">
      <c r="A1747" s="1">
        <v>43536</v>
      </c>
      <c r="B1747">
        <v>48.13</v>
      </c>
      <c r="C1747" s="2">
        <f t="shared" si="27"/>
        <v>9.8132116444219868E-3</v>
      </c>
    </row>
    <row r="1748" spans="1:3" x14ac:dyDescent="0.2">
      <c r="A1748" s="1">
        <v>43535</v>
      </c>
      <c r="B1748">
        <v>47.66</v>
      </c>
      <c r="C1748" s="2">
        <f t="shared" si="27"/>
        <v>9.6985790790861896E-3</v>
      </c>
    </row>
    <row r="1749" spans="1:3" x14ac:dyDescent="0.2">
      <c r="A1749" s="1">
        <v>43532</v>
      </c>
      <c r="B1749">
        <v>47.2</v>
      </c>
      <c r="C1749" s="2">
        <f t="shared" si="27"/>
        <v>-3.1729270405774974E-3</v>
      </c>
    </row>
    <row r="1750" spans="1:3" x14ac:dyDescent="0.2">
      <c r="A1750" s="1">
        <v>43531</v>
      </c>
      <c r="B1750">
        <v>47.35</v>
      </c>
      <c r="C1750" s="2">
        <f t="shared" si="27"/>
        <v>-7.7837775976280993E-3</v>
      </c>
    </row>
    <row r="1751" spans="1:3" x14ac:dyDescent="0.2">
      <c r="A1751" s="1">
        <v>43530</v>
      </c>
      <c r="B1751">
        <v>47.72</v>
      </c>
      <c r="C1751" s="2">
        <f t="shared" si="27"/>
        <v>-1.256544667948127E-3</v>
      </c>
    </row>
    <row r="1752" spans="1:3" x14ac:dyDescent="0.2">
      <c r="A1752" s="1">
        <v>43529</v>
      </c>
      <c r="B1752">
        <v>47.78</v>
      </c>
      <c r="C1752" s="2">
        <f t="shared" si="27"/>
        <v>3.9844867646443138E-3</v>
      </c>
    </row>
    <row r="1753" spans="1:3" x14ac:dyDescent="0.2">
      <c r="A1753" s="1">
        <v>43528</v>
      </c>
      <c r="B1753">
        <v>47.59</v>
      </c>
      <c r="C1753" s="2">
        <f t="shared" si="27"/>
        <v>8.4406493947230786E-3</v>
      </c>
    </row>
    <row r="1754" spans="1:3" x14ac:dyDescent="0.2">
      <c r="A1754" s="1">
        <v>43525</v>
      </c>
      <c r="B1754">
        <v>47.19</v>
      </c>
      <c r="C1754" s="2">
        <f t="shared" si="27"/>
        <v>4.8858302184551011E-3</v>
      </c>
    </row>
    <row r="1755" spans="1:3" x14ac:dyDescent="0.2">
      <c r="A1755" s="1">
        <v>43524</v>
      </c>
      <c r="B1755">
        <v>46.96</v>
      </c>
      <c r="C1755" s="2">
        <f t="shared" si="27"/>
        <v>-5.0977170716687177E-3</v>
      </c>
    </row>
    <row r="1756" spans="1:3" x14ac:dyDescent="0.2">
      <c r="A1756" s="1">
        <v>43523</v>
      </c>
      <c r="B1756">
        <v>47.2</v>
      </c>
      <c r="C1756" s="2">
        <f t="shared" si="27"/>
        <v>2.3332283360464378E-3</v>
      </c>
    </row>
    <row r="1757" spans="1:3" x14ac:dyDescent="0.2">
      <c r="A1757" s="1">
        <v>43522</v>
      </c>
      <c r="B1757">
        <v>47.09</v>
      </c>
      <c r="C1757" s="2">
        <f t="shared" si="27"/>
        <v>-5.5061553766240414E-3</v>
      </c>
    </row>
    <row r="1758" spans="1:3" x14ac:dyDescent="0.2">
      <c r="A1758" s="1">
        <v>43521</v>
      </c>
      <c r="B1758">
        <v>47.35</v>
      </c>
      <c r="C1758" s="2">
        <f t="shared" si="27"/>
        <v>1.4794465342446029E-3</v>
      </c>
    </row>
    <row r="1759" spans="1:3" x14ac:dyDescent="0.2">
      <c r="A1759" s="1">
        <v>43518</v>
      </c>
      <c r="B1759">
        <v>47.28</v>
      </c>
      <c r="C1759" s="2">
        <f t="shared" si="27"/>
        <v>1.0417868219717829E-2</v>
      </c>
    </row>
    <row r="1760" spans="1:3" x14ac:dyDescent="0.2">
      <c r="A1760" s="1">
        <v>43517</v>
      </c>
      <c r="B1760">
        <v>46.79</v>
      </c>
      <c r="C1760" s="2">
        <f t="shared" si="27"/>
        <v>-1.4949282015247309E-3</v>
      </c>
    </row>
    <row r="1761" spans="1:3" x14ac:dyDescent="0.2">
      <c r="A1761" s="1">
        <v>43516</v>
      </c>
      <c r="B1761">
        <v>46.86</v>
      </c>
      <c r="C1761" s="2">
        <f t="shared" si="27"/>
        <v>1.0511734676280107E-2</v>
      </c>
    </row>
    <row r="1762" spans="1:3" x14ac:dyDescent="0.2">
      <c r="A1762" s="1">
        <v>43515</v>
      </c>
      <c r="B1762">
        <v>46.37</v>
      </c>
      <c r="C1762" s="2">
        <f t="shared" si="27"/>
        <v>-4.5185660528254731E-3</v>
      </c>
    </row>
    <row r="1763" spans="1:3" x14ac:dyDescent="0.2">
      <c r="A1763" s="1">
        <v>43511</v>
      </c>
      <c r="B1763">
        <v>46.58</v>
      </c>
      <c r="C1763" s="2">
        <f t="shared" si="27"/>
        <v>2.2141125877213501E-2</v>
      </c>
    </row>
    <row r="1764" spans="1:3" x14ac:dyDescent="0.2">
      <c r="A1764" s="1">
        <v>43510</v>
      </c>
      <c r="B1764">
        <v>45.56</v>
      </c>
      <c r="C1764" s="2">
        <f t="shared" si="27"/>
        <v>1.5376169970686552E-3</v>
      </c>
    </row>
    <row r="1765" spans="1:3" x14ac:dyDescent="0.2">
      <c r="A1765" s="1">
        <v>43509</v>
      </c>
      <c r="B1765">
        <v>45.49</v>
      </c>
      <c r="C1765" s="2">
        <f t="shared" si="27"/>
        <v>4.3975374499352724E-4</v>
      </c>
    </row>
    <row r="1766" spans="1:3" x14ac:dyDescent="0.2">
      <c r="A1766" s="1">
        <v>43508</v>
      </c>
      <c r="B1766">
        <v>45.47</v>
      </c>
      <c r="C1766" s="2">
        <f t="shared" si="27"/>
        <v>2.2462859300868717E-2</v>
      </c>
    </row>
    <row r="1767" spans="1:3" x14ac:dyDescent="0.2">
      <c r="A1767" s="1">
        <v>43507</v>
      </c>
      <c r="B1767">
        <v>44.46</v>
      </c>
      <c r="C1767" s="2">
        <f t="shared" si="27"/>
        <v>5.6389006978986404E-3</v>
      </c>
    </row>
    <row r="1768" spans="1:3" x14ac:dyDescent="0.2">
      <c r="A1768" s="1">
        <v>43504</v>
      </c>
      <c r="B1768">
        <v>44.21</v>
      </c>
      <c r="C1768" s="2">
        <f t="shared" si="27"/>
        <v>1.1831764874807504E-2</v>
      </c>
    </row>
    <row r="1769" spans="1:3" x14ac:dyDescent="0.2">
      <c r="A1769" s="1">
        <v>43503</v>
      </c>
      <c r="B1769">
        <v>43.69</v>
      </c>
      <c r="C1769" s="2">
        <f t="shared" si="27"/>
        <v>-6.6157421632706435E-3</v>
      </c>
    </row>
    <row r="1770" spans="1:3" x14ac:dyDescent="0.2">
      <c r="A1770" s="1">
        <v>43502</v>
      </c>
      <c r="B1770">
        <v>43.98</v>
      </c>
      <c r="C1770" s="2">
        <f t="shared" si="27"/>
        <v>3.4164706958972777E-3</v>
      </c>
    </row>
    <row r="1771" spans="1:3" x14ac:dyDescent="0.2">
      <c r="A1771" s="1">
        <v>43501</v>
      </c>
      <c r="B1771">
        <v>43.83</v>
      </c>
      <c r="C1771" s="2">
        <f t="shared" si="27"/>
        <v>7.5575763360794333E-3</v>
      </c>
    </row>
    <row r="1772" spans="1:3" x14ac:dyDescent="0.2">
      <c r="A1772" s="1">
        <v>43500</v>
      </c>
      <c r="B1772">
        <v>43.5</v>
      </c>
      <c r="C1772" s="2">
        <f t="shared" si="27"/>
        <v>9.0059493355951602E-3</v>
      </c>
    </row>
    <row r="1773" spans="1:3" x14ac:dyDescent="0.2">
      <c r="A1773" s="1">
        <v>43497</v>
      </c>
      <c r="B1773">
        <v>43.11</v>
      </c>
      <c r="C1773" s="2">
        <f t="shared" si="27"/>
        <v>-5.0902469927747518E-3</v>
      </c>
    </row>
    <row r="1774" spans="1:3" x14ac:dyDescent="0.2">
      <c r="A1774" s="1">
        <v>43496</v>
      </c>
      <c r="B1774">
        <v>43.33</v>
      </c>
      <c r="C1774" s="2">
        <f t="shared" si="27"/>
        <v>4.1628182223810714E-3</v>
      </c>
    </row>
    <row r="1775" spans="1:3" x14ac:dyDescent="0.2">
      <c r="A1775" s="1">
        <v>43495</v>
      </c>
      <c r="B1775">
        <v>43.15</v>
      </c>
      <c r="C1775" s="2">
        <f t="shared" si="27"/>
        <v>-7.8486090801101697E-3</v>
      </c>
    </row>
    <row r="1776" spans="1:3" x14ac:dyDescent="0.2">
      <c r="A1776" s="1">
        <v>43494</v>
      </c>
      <c r="B1776">
        <v>43.49</v>
      </c>
      <c r="C1776" s="2">
        <f t="shared" si="27"/>
        <v>3.5814243081450731E-2</v>
      </c>
    </row>
    <row r="1777" spans="1:3" x14ac:dyDescent="0.2">
      <c r="A1777" s="1">
        <v>43493</v>
      </c>
      <c r="B1777">
        <v>41.96</v>
      </c>
      <c r="C1777" s="2">
        <f t="shared" si="27"/>
        <v>-4.2806248479465769E-3</v>
      </c>
    </row>
    <row r="1778" spans="1:3" x14ac:dyDescent="0.2">
      <c r="A1778" s="1">
        <v>43490</v>
      </c>
      <c r="B1778">
        <v>42.14</v>
      </c>
      <c r="C1778" s="2">
        <f t="shared" si="27"/>
        <v>6.4278283449911528E-3</v>
      </c>
    </row>
    <row r="1779" spans="1:3" x14ac:dyDescent="0.2">
      <c r="A1779" s="1">
        <v>43489</v>
      </c>
      <c r="B1779">
        <v>41.87</v>
      </c>
      <c r="C1779" s="2">
        <f t="shared" si="27"/>
        <v>-4.7755492789165028E-4</v>
      </c>
    </row>
    <row r="1780" spans="1:3" x14ac:dyDescent="0.2">
      <c r="A1780" s="1">
        <v>43488</v>
      </c>
      <c r="B1780">
        <v>41.89</v>
      </c>
      <c r="C1780" s="2">
        <f t="shared" si="27"/>
        <v>-9.5035165254536737E-3</v>
      </c>
    </row>
    <row r="1781" spans="1:3" x14ac:dyDescent="0.2">
      <c r="A1781" s="1">
        <v>43487</v>
      </c>
      <c r="B1781">
        <v>42.29</v>
      </c>
      <c r="C1781" s="2">
        <f t="shared" si="27"/>
        <v>-1.8972345625305E-2</v>
      </c>
    </row>
    <row r="1782" spans="1:3" x14ac:dyDescent="0.2">
      <c r="A1782" s="1">
        <v>43483</v>
      </c>
      <c r="B1782">
        <v>43.1</v>
      </c>
      <c r="C1782" s="2">
        <f t="shared" si="27"/>
        <v>7.6860748708848679E-3</v>
      </c>
    </row>
    <row r="1783" spans="1:3" x14ac:dyDescent="0.2">
      <c r="A1783" s="1">
        <v>43482</v>
      </c>
      <c r="B1783">
        <v>42.77</v>
      </c>
      <c r="C1783" s="2">
        <f t="shared" si="27"/>
        <v>1.1759307660118651E-2</v>
      </c>
    </row>
    <row r="1784" spans="1:3" x14ac:dyDescent="0.2">
      <c r="A1784" s="1">
        <v>43481</v>
      </c>
      <c r="B1784">
        <v>42.27</v>
      </c>
      <c r="C1784" s="2">
        <f t="shared" si="27"/>
        <v>6.8843001862117677E-3</v>
      </c>
    </row>
    <row r="1785" spans="1:3" x14ac:dyDescent="0.2">
      <c r="A1785" s="1">
        <v>43480</v>
      </c>
      <c r="B1785">
        <v>41.98</v>
      </c>
      <c r="C1785" s="2">
        <f t="shared" si="27"/>
        <v>-8.3027401403454361E-3</v>
      </c>
    </row>
    <row r="1786" spans="1:3" x14ac:dyDescent="0.2">
      <c r="A1786" s="1">
        <v>43479</v>
      </c>
      <c r="B1786">
        <v>42.33</v>
      </c>
      <c r="C1786" s="2">
        <f t="shared" si="27"/>
        <v>-6.1234294022899597E-3</v>
      </c>
    </row>
    <row r="1787" spans="1:3" x14ac:dyDescent="0.2">
      <c r="A1787" s="1">
        <v>43476</v>
      </c>
      <c r="B1787">
        <v>42.59</v>
      </c>
      <c r="C1787" s="2">
        <f t="shared" si="27"/>
        <v>-1.0975008001094815E-2</v>
      </c>
    </row>
    <row r="1788" spans="1:3" x14ac:dyDescent="0.2">
      <c r="A1788" s="1">
        <v>43475</v>
      </c>
      <c r="B1788">
        <v>43.06</v>
      </c>
      <c r="C1788" s="2">
        <f t="shared" si="27"/>
        <v>7.9272972842775648E-3</v>
      </c>
    </row>
    <row r="1789" spans="1:3" x14ac:dyDescent="0.2">
      <c r="A1789" s="1">
        <v>43474</v>
      </c>
      <c r="B1789">
        <v>42.72</v>
      </c>
      <c r="C1789" s="2">
        <f t="shared" si="27"/>
        <v>9.1711401191070831E-3</v>
      </c>
    </row>
    <row r="1790" spans="1:3" x14ac:dyDescent="0.2">
      <c r="A1790" s="1">
        <v>43473</v>
      </c>
      <c r="B1790">
        <v>42.33</v>
      </c>
      <c r="C1790" s="2">
        <f t="shared" si="27"/>
        <v>1.7636300778012006E-2</v>
      </c>
    </row>
    <row r="1791" spans="1:3" x14ac:dyDescent="0.2">
      <c r="A1791" s="1">
        <v>43472</v>
      </c>
      <c r="B1791">
        <v>41.59</v>
      </c>
      <c r="C1791" s="2">
        <f t="shared" si="27"/>
        <v>4.8100049027437745E-4</v>
      </c>
    </row>
    <row r="1792" spans="1:3" x14ac:dyDescent="0.2">
      <c r="A1792" s="1">
        <v>43469</v>
      </c>
      <c r="B1792">
        <v>41.57</v>
      </c>
      <c r="C1792" s="2">
        <f t="shared" si="27"/>
        <v>3.1523685414184453E-2</v>
      </c>
    </row>
    <row r="1793" spans="1:3" x14ac:dyDescent="0.2">
      <c r="A1793" s="1">
        <v>43468</v>
      </c>
      <c r="B1793">
        <v>40.28</v>
      </c>
      <c r="C1793" s="2">
        <f t="shared" si="27"/>
        <v>-3.1283098380665099E-2</v>
      </c>
    </row>
    <row r="1794" spans="1:3" x14ac:dyDescent="0.2">
      <c r="A1794" s="1">
        <v>43467</v>
      </c>
      <c r="B1794">
        <v>41.56</v>
      </c>
      <c r="C1794" s="2">
        <f t="shared" si="27"/>
        <v>-6.9536307044576967E-3</v>
      </c>
    </row>
    <row r="1795" spans="1:3" x14ac:dyDescent="0.2">
      <c r="A1795" s="1">
        <v>43465</v>
      </c>
      <c r="B1795">
        <v>41.85</v>
      </c>
      <c r="C1795" s="2">
        <f t="shared" ref="C1795:C1858" si="28">+LN(B1795/B1796)</f>
        <v>1.7597175788574816E-2</v>
      </c>
    </row>
    <row r="1796" spans="1:3" x14ac:dyDescent="0.2">
      <c r="A1796" s="1">
        <v>43462</v>
      </c>
      <c r="B1796">
        <v>41.12</v>
      </c>
      <c r="C1796" s="2">
        <f t="shared" si="28"/>
        <v>-4.1257187510892754E-3</v>
      </c>
    </row>
    <row r="1797" spans="1:3" x14ac:dyDescent="0.2">
      <c r="A1797" s="1">
        <v>43461</v>
      </c>
      <c r="B1797">
        <v>41.29</v>
      </c>
      <c r="C1797" s="2">
        <f t="shared" si="28"/>
        <v>1.6113629898363367E-2</v>
      </c>
    </row>
    <row r="1798" spans="1:3" x14ac:dyDescent="0.2">
      <c r="A1798" s="1">
        <v>43460</v>
      </c>
      <c r="B1798">
        <v>40.630000000000003</v>
      </c>
      <c r="C1798" s="2">
        <f t="shared" si="28"/>
        <v>5.125443352885025E-2</v>
      </c>
    </row>
    <row r="1799" spans="1:3" x14ac:dyDescent="0.2">
      <c r="A1799" s="1">
        <v>43458</v>
      </c>
      <c r="B1799">
        <v>38.6</v>
      </c>
      <c r="C1799" s="2">
        <f t="shared" si="28"/>
        <v>-2.9609105317588022E-2</v>
      </c>
    </row>
    <row r="1800" spans="1:3" x14ac:dyDescent="0.2">
      <c r="A1800" s="1">
        <v>43455</v>
      </c>
      <c r="B1800">
        <v>39.76</v>
      </c>
      <c r="C1800" s="2">
        <f t="shared" si="28"/>
        <v>-7.7665428596799899E-3</v>
      </c>
    </row>
    <row r="1801" spans="1:3" x14ac:dyDescent="0.2">
      <c r="A1801" s="1">
        <v>43454</v>
      </c>
      <c r="B1801">
        <v>40.07</v>
      </c>
      <c r="C1801" s="2">
        <f t="shared" si="28"/>
        <v>-7.9543049272683235E-3</v>
      </c>
    </row>
    <row r="1802" spans="1:3" x14ac:dyDescent="0.2">
      <c r="A1802" s="1">
        <v>43453</v>
      </c>
      <c r="B1802">
        <v>40.39</v>
      </c>
      <c r="C1802" s="2">
        <f t="shared" si="28"/>
        <v>-1.1569359814154516E-2</v>
      </c>
    </row>
    <row r="1803" spans="1:3" x14ac:dyDescent="0.2">
      <c r="A1803" s="1">
        <v>43452</v>
      </c>
      <c r="B1803">
        <v>40.86</v>
      </c>
      <c r="C1803" s="2">
        <f t="shared" si="28"/>
        <v>8.6027321748768024E-3</v>
      </c>
    </row>
    <row r="1804" spans="1:3" x14ac:dyDescent="0.2">
      <c r="A1804" s="1">
        <v>43451</v>
      </c>
      <c r="B1804">
        <v>40.51</v>
      </c>
      <c r="C1804" s="2">
        <f t="shared" si="28"/>
        <v>-3.0150594082265374E-2</v>
      </c>
    </row>
    <row r="1805" spans="1:3" x14ac:dyDescent="0.2">
      <c r="A1805" s="1">
        <v>43448</v>
      </c>
      <c r="B1805">
        <v>41.75</v>
      </c>
      <c r="C1805" s="2">
        <f t="shared" si="28"/>
        <v>-2.0154801978460261E-2</v>
      </c>
    </row>
    <row r="1806" spans="1:3" x14ac:dyDescent="0.2">
      <c r="A1806" s="1">
        <v>43447</v>
      </c>
      <c r="B1806">
        <v>42.6</v>
      </c>
      <c r="C1806" s="2">
        <f t="shared" si="28"/>
        <v>-2.5788315780503547E-3</v>
      </c>
    </row>
    <row r="1807" spans="1:3" x14ac:dyDescent="0.2">
      <c r="A1807" s="1">
        <v>43446</v>
      </c>
      <c r="B1807">
        <v>42.71</v>
      </c>
      <c r="C1807" s="2">
        <f t="shared" si="28"/>
        <v>2.0580265096707705E-2</v>
      </c>
    </row>
    <row r="1808" spans="1:3" x14ac:dyDescent="0.2">
      <c r="A1808" s="1">
        <v>43445</v>
      </c>
      <c r="B1808">
        <v>41.84</v>
      </c>
      <c r="C1808" s="2">
        <f t="shared" si="28"/>
        <v>-1.9102202561192376E-3</v>
      </c>
    </row>
    <row r="1809" spans="1:3" x14ac:dyDescent="0.2">
      <c r="A1809" s="1">
        <v>43444</v>
      </c>
      <c r="B1809">
        <v>41.92</v>
      </c>
      <c r="C1809" s="2">
        <f t="shared" si="28"/>
        <v>-2.3826554040676526E-3</v>
      </c>
    </row>
    <row r="1810" spans="1:3" x14ac:dyDescent="0.2">
      <c r="A1810" s="1">
        <v>43441</v>
      </c>
      <c r="B1810">
        <v>42.02</v>
      </c>
      <c r="C1810" s="2">
        <f t="shared" si="28"/>
        <v>-7.5865702898647849E-3</v>
      </c>
    </row>
    <row r="1811" spans="1:3" x14ac:dyDescent="0.2">
      <c r="A1811" s="1">
        <v>43440</v>
      </c>
      <c r="B1811">
        <v>42.34</v>
      </c>
      <c r="C1811" s="2">
        <f t="shared" si="28"/>
        <v>-1.8950151822717781E-2</v>
      </c>
    </row>
    <row r="1812" spans="1:3" x14ac:dyDescent="0.2">
      <c r="A1812" s="1">
        <v>43438</v>
      </c>
      <c r="B1812">
        <v>43.15</v>
      </c>
      <c r="C1812" s="2">
        <f t="shared" si="28"/>
        <v>-3.4395828882574857E-2</v>
      </c>
    </row>
    <row r="1813" spans="1:3" x14ac:dyDescent="0.2">
      <c r="A1813" s="1">
        <v>43437</v>
      </c>
      <c r="B1813">
        <v>44.66</v>
      </c>
      <c r="C1813" s="2">
        <f t="shared" si="28"/>
        <v>1.3752894029823373E-2</v>
      </c>
    </row>
    <row r="1814" spans="1:3" x14ac:dyDescent="0.2">
      <c r="A1814" s="1">
        <v>43434</v>
      </c>
      <c r="B1814">
        <v>44.05</v>
      </c>
      <c r="C1814" s="2">
        <f t="shared" si="28"/>
        <v>2.3660228542604324E-2</v>
      </c>
    </row>
    <row r="1815" spans="1:3" x14ac:dyDescent="0.2">
      <c r="A1815" s="1">
        <v>43433</v>
      </c>
      <c r="B1815">
        <v>43.02</v>
      </c>
      <c r="C1815" s="2">
        <f t="shared" si="28"/>
        <v>-1.0865902769962963E-2</v>
      </c>
    </row>
    <row r="1816" spans="1:3" x14ac:dyDescent="0.2">
      <c r="A1816" s="1">
        <v>43432</v>
      </c>
      <c r="B1816">
        <v>43.49</v>
      </c>
      <c r="C1816" s="2">
        <f t="shared" si="28"/>
        <v>2.302695067917597E-2</v>
      </c>
    </row>
    <row r="1817" spans="1:3" x14ac:dyDescent="0.2">
      <c r="A1817" s="1">
        <v>43431</v>
      </c>
      <c r="B1817">
        <v>42.5</v>
      </c>
      <c r="C1817" s="2">
        <f t="shared" si="28"/>
        <v>-1.5873349156290122E-2</v>
      </c>
    </row>
    <row r="1818" spans="1:3" x14ac:dyDescent="0.2">
      <c r="A1818" s="1">
        <v>43430</v>
      </c>
      <c r="B1818">
        <v>43.18</v>
      </c>
      <c r="C1818" s="2">
        <f t="shared" si="28"/>
        <v>6.97190832411476E-3</v>
      </c>
    </row>
    <row r="1819" spans="1:3" x14ac:dyDescent="0.2">
      <c r="A1819" s="1">
        <v>43427</v>
      </c>
      <c r="B1819">
        <v>42.88</v>
      </c>
      <c r="C1819" s="2">
        <f t="shared" si="28"/>
        <v>-2.5620137456435583E-3</v>
      </c>
    </row>
    <row r="1820" spans="1:3" x14ac:dyDescent="0.2">
      <c r="A1820" s="1">
        <v>43425</v>
      </c>
      <c r="B1820">
        <v>42.99</v>
      </c>
      <c r="C1820" s="2">
        <f t="shared" si="28"/>
        <v>1.1934153574506931E-2</v>
      </c>
    </row>
    <row r="1821" spans="1:3" x14ac:dyDescent="0.2">
      <c r="A1821" s="1">
        <v>43424</v>
      </c>
      <c r="B1821">
        <v>42.48</v>
      </c>
      <c r="C1821" s="2">
        <f t="shared" si="28"/>
        <v>-1.7732615837324307E-2</v>
      </c>
    </row>
    <row r="1822" spans="1:3" x14ac:dyDescent="0.2">
      <c r="A1822" s="1">
        <v>43423</v>
      </c>
      <c r="B1822">
        <v>43.24</v>
      </c>
      <c r="C1822" s="2">
        <f t="shared" si="28"/>
        <v>-9.8953747264620764E-3</v>
      </c>
    </row>
    <row r="1823" spans="1:3" x14ac:dyDescent="0.2">
      <c r="A1823" s="1">
        <v>43420</v>
      </c>
      <c r="B1823">
        <v>43.67</v>
      </c>
      <c r="C1823" s="2">
        <f t="shared" si="28"/>
        <v>6.6628620987412455E-3</v>
      </c>
    </row>
    <row r="1824" spans="1:3" x14ac:dyDescent="0.2">
      <c r="A1824" s="1">
        <v>43419</v>
      </c>
      <c r="B1824">
        <v>43.38</v>
      </c>
      <c r="C1824" s="2">
        <f t="shared" si="28"/>
        <v>1.9318650379345239E-2</v>
      </c>
    </row>
    <row r="1825" spans="1:3" x14ac:dyDescent="0.2">
      <c r="A1825" s="1">
        <v>43418</v>
      </c>
      <c r="B1825">
        <v>42.55</v>
      </c>
      <c r="C1825" s="2">
        <f t="shared" si="28"/>
        <v>2.588541273600726E-3</v>
      </c>
    </row>
    <row r="1826" spans="1:3" x14ac:dyDescent="0.2">
      <c r="A1826" s="1">
        <v>43417</v>
      </c>
      <c r="B1826">
        <v>42.44</v>
      </c>
      <c r="C1826" s="2">
        <f t="shared" si="28"/>
        <v>-2.3534960263087426E-3</v>
      </c>
    </row>
    <row r="1827" spans="1:3" x14ac:dyDescent="0.2">
      <c r="A1827" s="1">
        <v>43416</v>
      </c>
      <c r="B1827">
        <v>42.54</v>
      </c>
      <c r="C1827" s="2">
        <f t="shared" si="28"/>
        <v>-1.4237607757345753E-2</v>
      </c>
    </row>
    <row r="1828" spans="1:3" x14ac:dyDescent="0.2">
      <c r="A1828" s="1">
        <v>43413</v>
      </c>
      <c r="B1828">
        <v>43.15</v>
      </c>
      <c r="C1828" s="2">
        <f t="shared" si="28"/>
        <v>-1.2894491345786303E-2</v>
      </c>
    </row>
    <row r="1829" spans="1:3" x14ac:dyDescent="0.2">
      <c r="A1829" s="1">
        <v>43412</v>
      </c>
      <c r="B1829">
        <v>43.71</v>
      </c>
      <c r="C1829" s="2">
        <f t="shared" si="28"/>
        <v>5.7359340469395944E-3</v>
      </c>
    </row>
    <row r="1830" spans="1:3" x14ac:dyDescent="0.2">
      <c r="A1830" s="1">
        <v>43411</v>
      </c>
      <c r="B1830">
        <v>43.46</v>
      </c>
      <c r="C1830" s="2">
        <f t="shared" si="28"/>
        <v>3.0843566452240588E-2</v>
      </c>
    </row>
    <row r="1831" spans="1:3" x14ac:dyDescent="0.2">
      <c r="A1831" s="1">
        <v>43410</v>
      </c>
      <c r="B1831">
        <v>42.14</v>
      </c>
      <c r="C1831" s="2">
        <f t="shared" si="28"/>
        <v>1.2656885381193117E-2</v>
      </c>
    </row>
    <row r="1832" spans="1:3" x14ac:dyDescent="0.2">
      <c r="A1832" s="1">
        <v>43409</v>
      </c>
      <c r="B1832">
        <v>41.61</v>
      </c>
      <c r="C1832" s="2">
        <f t="shared" si="28"/>
        <v>-3.1193786542048456E-3</v>
      </c>
    </row>
    <row r="1833" spans="1:3" x14ac:dyDescent="0.2">
      <c r="A1833" s="1">
        <v>43406</v>
      </c>
      <c r="B1833">
        <v>41.74</v>
      </c>
      <c r="C1833" s="2">
        <f t="shared" si="28"/>
        <v>4.0811483845087666E-3</v>
      </c>
    </row>
    <row r="1834" spans="1:3" x14ac:dyDescent="0.2">
      <c r="A1834" s="1">
        <v>43405</v>
      </c>
      <c r="B1834">
        <v>41.57</v>
      </c>
      <c r="C1834" s="2">
        <f t="shared" si="28"/>
        <v>2.2872043264910658E-2</v>
      </c>
    </row>
    <row r="1835" spans="1:3" x14ac:dyDescent="0.2">
      <c r="A1835" s="1">
        <v>43404</v>
      </c>
      <c r="B1835">
        <v>40.630000000000003</v>
      </c>
      <c r="C1835" s="2">
        <f t="shared" si="28"/>
        <v>8.6516421492739345E-3</v>
      </c>
    </row>
    <row r="1836" spans="1:3" x14ac:dyDescent="0.2">
      <c r="A1836" s="1">
        <v>43403</v>
      </c>
      <c r="B1836">
        <v>40.28</v>
      </c>
      <c r="C1836" s="2">
        <f t="shared" si="28"/>
        <v>1.6773456216536371E-2</v>
      </c>
    </row>
    <row r="1837" spans="1:3" x14ac:dyDescent="0.2">
      <c r="A1837" s="1">
        <v>43402</v>
      </c>
      <c r="B1837">
        <v>39.61</v>
      </c>
      <c r="C1837" s="2">
        <f t="shared" si="28"/>
        <v>-2.0737782518445387E-2</v>
      </c>
    </row>
    <row r="1838" spans="1:3" x14ac:dyDescent="0.2">
      <c r="A1838" s="1">
        <v>43399</v>
      </c>
      <c r="B1838">
        <v>40.44</v>
      </c>
      <c r="C1838" s="2">
        <f t="shared" si="28"/>
        <v>1.294194270900729E-2</v>
      </c>
    </row>
    <row r="1839" spans="1:3" x14ac:dyDescent="0.2">
      <c r="A1839" s="1">
        <v>43398</v>
      </c>
      <c r="B1839">
        <v>39.92</v>
      </c>
      <c r="C1839" s="2">
        <f t="shared" si="28"/>
        <v>6.5741649415846426E-2</v>
      </c>
    </row>
    <row r="1840" spans="1:3" x14ac:dyDescent="0.2">
      <c r="A1840" s="1">
        <v>43397</v>
      </c>
      <c r="B1840">
        <v>37.380000000000003</v>
      </c>
      <c r="C1840" s="2">
        <f t="shared" si="28"/>
        <v>-2.6661206985289478E-2</v>
      </c>
    </row>
    <row r="1841" spans="1:3" x14ac:dyDescent="0.2">
      <c r="A1841" s="1">
        <v>43396</v>
      </c>
      <c r="B1841">
        <v>38.39</v>
      </c>
      <c r="C1841" s="2">
        <f t="shared" si="28"/>
        <v>-1.3197241611694187E-2</v>
      </c>
    </row>
    <row r="1842" spans="1:3" x14ac:dyDescent="0.2">
      <c r="A1842" s="1">
        <v>43395</v>
      </c>
      <c r="B1842">
        <v>38.9</v>
      </c>
      <c r="C1842" s="2">
        <f t="shared" si="28"/>
        <v>-2.5673955052458097E-3</v>
      </c>
    </row>
    <row r="1843" spans="1:3" x14ac:dyDescent="0.2">
      <c r="A1843" s="1">
        <v>43392</v>
      </c>
      <c r="B1843">
        <v>39</v>
      </c>
      <c r="C1843" s="2">
        <f t="shared" si="28"/>
        <v>-2.1309786586751096E-2</v>
      </c>
    </row>
    <row r="1844" spans="1:3" x14ac:dyDescent="0.2">
      <c r="A1844" s="1">
        <v>43391</v>
      </c>
      <c r="B1844">
        <v>39.840000000000003</v>
      </c>
      <c r="C1844" s="2">
        <f t="shared" si="28"/>
        <v>-1.3710796858923962E-2</v>
      </c>
    </row>
    <row r="1845" spans="1:3" x14ac:dyDescent="0.2">
      <c r="A1845" s="1">
        <v>43390</v>
      </c>
      <c r="B1845">
        <v>40.39</v>
      </c>
      <c r="C1845" s="2">
        <f t="shared" si="28"/>
        <v>-2.7197445371719875E-3</v>
      </c>
    </row>
    <row r="1846" spans="1:3" x14ac:dyDescent="0.2">
      <c r="A1846" s="1">
        <v>43389</v>
      </c>
      <c r="B1846">
        <v>40.5</v>
      </c>
      <c r="C1846" s="2">
        <f t="shared" si="28"/>
        <v>1.818911489289407E-2</v>
      </c>
    </row>
    <row r="1847" spans="1:3" x14ac:dyDescent="0.2">
      <c r="A1847" s="1">
        <v>43388</v>
      </c>
      <c r="B1847">
        <v>39.770000000000003</v>
      </c>
      <c r="C1847" s="2">
        <f t="shared" si="28"/>
        <v>-3.2634646762183975E-3</v>
      </c>
    </row>
    <row r="1848" spans="1:3" x14ac:dyDescent="0.2">
      <c r="A1848" s="1">
        <v>43385</v>
      </c>
      <c r="B1848">
        <v>39.9</v>
      </c>
      <c r="C1848" s="2">
        <f t="shared" si="28"/>
        <v>1.5151805020602246E-2</v>
      </c>
    </row>
    <row r="1849" spans="1:3" x14ac:dyDescent="0.2">
      <c r="A1849" s="1">
        <v>43384</v>
      </c>
      <c r="B1849">
        <v>39.299999999999997</v>
      </c>
      <c r="C1849" s="2">
        <f t="shared" si="28"/>
        <v>-3.4266201043917775E-2</v>
      </c>
    </row>
    <row r="1850" spans="1:3" x14ac:dyDescent="0.2">
      <c r="A1850" s="1">
        <v>43383</v>
      </c>
      <c r="B1850">
        <v>40.67</v>
      </c>
      <c r="C1850" s="2">
        <f t="shared" si="28"/>
        <v>-4.9644529971868398E-2</v>
      </c>
    </row>
    <row r="1851" spans="1:3" x14ac:dyDescent="0.2">
      <c r="A1851" s="1">
        <v>43382</v>
      </c>
      <c r="B1851">
        <v>42.74</v>
      </c>
      <c r="C1851" s="2">
        <f t="shared" si="28"/>
        <v>-1.9692516359299691E-2</v>
      </c>
    </row>
    <row r="1852" spans="1:3" x14ac:dyDescent="0.2">
      <c r="A1852" s="1">
        <v>43381</v>
      </c>
      <c r="B1852">
        <v>43.59</v>
      </c>
      <c r="C1852" s="2">
        <f t="shared" si="28"/>
        <v>-1.5705341590134904E-2</v>
      </c>
    </row>
    <row r="1853" spans="1:3" x14ac:dyDescent="0.2">
      <c r="A1853" s="1">
        <v>43378</v>
      </c>
      <c r="B1853">
        <v>44.28</v>
      </c>
      <c r="C1853" s="2">
        <f t="shared" si="28"/>
        <v>-8.0972102326193618E-3</v>
      </c>
    </row>
    <row r="1854" spans="1:3" x14ac:dyDescent="0.2">
      <c r="A1854" s="1">
        <v>43377</v>
      </c>
      <c r="B1854">
        <v>44.64</v>
      </c>
      <c r="C1854" s="2">
        <f t="shared" si="28"/>
        <v>-1.7982502550432357E-2</v>
      </c>
    </row>
    <row r="1855" spans="1:3" x14ac:dyDescent="0.2">
      <c r="A1855" s="1">
        <v>43376</v>
      </c>
      <c r="B1855">
        <v>45.45</v>
      </c>
      <c r="C1855" s="2">
        <f t="shared" si="28"/>
        <v>-7.2344939009327067E-3</v>
      </c>
    </row>
    <row r="1856" spans="1:3" x14ac:dyDescent="0.2">
      <c r="A1856" s="1">
        <v>43375</v>
      </c>
      <c r="B1856">
        <v>45.78</v>
      </c>
      <c r="C1856" s="2">
        <f t="shared" si="28"/>
        <v>2.1845985886990654E-4</v>
      </c>
    </row>
    <row r="1857" spans="1:3" x14ac:dyDescent="0.2">
      <c r="A1857" s="1">
        <v>43374</v>
      </c>
      <c r="B1857">
        <v>45.77</v>
      </c>
      <c r="C1857" s="2">
        <f t="shared" si="28"/>
        <v>-1.2376664338679413E-2</v>
      </c>
    </row>
    <row r="1858" spans="1:3" x14ac:dyDescent="0.2">
      <c r="A1858" s="1">
        <v>43371</v>
      </c>
      <c r="B1858">
        <v>46.34</v>
      </c>
      <c r="C1858" s="2">
        <f t="shared" si="28"/>
        <v>-2.586208338032856E-3</v>
      </c>
    </row>
    <row r="1859" spans="1:3" x14ac:dyDescent="0.2">
      <c r="A1859" s="1">
        <v>43370</v>
      </c>
      <c r="B1859">
        <v>46.46</v>
      </c>
      <c r="C1859" s="2">
        <f t="shared" ref="C1859:C1922" si="29">+LN(B1859/B1860)</f>
        <v>2.1547088707121083E-3</v>
      </c>
    </row>
    <row r="1860" spans="1:3" x14ac:dyDescent="0.2">
      <c r="A1860" s="1">
        <v>43369</v>
      </c>
      <c r="B1860">
        <v>46.36</v>
      </c>
      <c r="C1860" s="2">
        <f t="shared" si="29"/>
        <v>-4.5195385227348806E-3</v>
      </c>
    </row>
    <row r="1861" spans="1:3" x14ac:dyDescent="0.2">
      <c r="A1861" s="1">
        <v>43368</v>
      </c>
      <c r="B1861">
        <v>46.57</v>
      </c>
      <c r="C1861" s="2">
        <f t="shared" si="29"/>
        <v>-7.9136334285915665E-3</v>
      </c>
    </row>
    <row r="1862" spans="1:3" x14ac:dyDescent="0.2">
      <c r="A1862" s="1">
        <v>43367</v>
      </c>
      <c r="B1862">
        <v>46.94</v>
      </c>
      <c r="C1862" s="2">
        <f t="shared" si="29"/>
        <v>-2.1301523139451422E-4</v>
      </c>
    </row>
    <row r="1863" spans="1:3" x14ac:dyDescent="0.2">
      <c r="A1863" s="1">
        <v>43364</v>
      </c>
      <c r="B1863">
        <v>46.95</v>
      </c>
      <c r="C1863" s="2">
        <f t="shared" si="29"/>
        <v>-1.0171734235218326E-2</v>
      </c>
    </row>
    <row r="1864" spans="1:3" x14ac:dyDescent="0.2">
      <c r="A1864" s="1">
        <v>43363</v>
      </c>
      <c r="B1864">
        <v>47.43</v>
      </c>
      <c r="C1864" s="2">
        <f t="shared" si="29"/>
        <v>-1.0536298519769195E-3</v>
      </c>
    </row>
    <row r="1865" spans="1:3" x14ac:dyDescent="0.2">
      <c r="A1865" s="1">
        <v>43362</v>
      </c>
      <c r="B1865">
        <v>47.48</v>
      </c>
      <c r="C1865" s="2">
        <f t="shared" si="29"/>
        <v>-1.1725427470315589E-2</v>
      </c>
    </row>
    <row r="1866" spans="1:3" x14ac:dyDescent="0.2">
      <c r="A1866" s="1">
        <v>43361</v>
      </c>
      <c r="B1866">
        <v>48.04</v>
      </c>
      <c r="C1866" s="2">
        <f t="shared" si="29"/>
        <v>2.0837682055444232E-3</v>
      </c>
    </row>
    <row r="1867" spans="1:3" x14ac:dyDescent="0.2">
      <c r="A1867" s="1">
        <v>43360</v>
      </c>
      <c r="B1867">
        <v>47.94</v>
      </c>
      <c r="C1867" s="2">
        <f t="shared" si="29"/>
        <v>-4.370909237896241E-3</v>
      </c>
    </row>
    <row r="1868" spans="1:3" x14ac:dyDescent="0.2">
      <c r="A1868" s="1">
        <v>43357</v>
      </c>
      <c r="B1868">
        <v>48.15</v>
      </c>
      <c r="C1868" s="2">
        <f t="shared" si="29"/>
        <v>1.1068297185417799E-2</v>
      </c>
    </row>
    <row r="1869" spans="1:3" x14ac:dyDescent="0.2">
      <c r="A1869" s="1">
        <v>43356</v>
      </c>
      <c r="B1869">
        <v>47.62</v>
      </c>
      <c r="C1869" s="2">
        <f t="shared" si="29"/>
        <v>3.9979011692264383E-3</v>
      </c>
    </row>
    <row r="1870" spans="1:3" x14ac:dyDescent="0.2">
      <c r="A1870" s="1">
        <v>43355</v>
      </c>
      <c r="B1870">
        <v>47.43</v>
      </c>
      <c r="C1870" s="2">
        <f t="shared" si="29"/>
        <v>1.0171734235218381E-2</v>
      </c>
    </row>
    <row r="1871" spans="1:3" x14ac:dyDescent="0.2">
      <c r="A1871" s="1">
        <v>43354</v>
      </c>
      <c r="B1871">
        <v>46.95</v>
      </c>
      <c r="C1871" s="2">
        <f t="shared" si="29"/>
        <v>4.2607584794575912E-4</v>
      </c>
    </row>
    <row r="1872" spans="1:3" x14ac:dyDescent="0.2">
      <c r="A1872" s="1">
        <v>43353</v>
      </c>
      <c r="B1872">
        <v>46.93</v>
      </c>
      <c r="C1872" s="2">
        <f t="shared" si="29"/>
        <v>2.1331066108760126E-3</v>
      </c>
    </row>
    <row r="1873" spans="1:3" x14ac:dyDescent="0.2">
      <c r="A1873" s="1">
        <v>43350</v>
      </c>
      <c r="B1873">
        <v>46.83</v>
      </c>
      <c r="C1873" s="2">
        <f t="shared" si="29"/>
        <v>-1.4205687845145133E-2</v>
      </c>
    </row>
    <row r="1874" spans="1:3" x14ac:dyDescent="0.2">
      <c r="A1874" s="1">
        <v>43349</v>
      </c>
      <c r="B1874">
        <v>47.5</v>
      </c>
      <c r="C1874" s="2">
        <f t="shared" si="29"/>
        <v>8.8814286485195439E-3</v>
      </c>
    </row>
    <row r="1875" spans="1:3" x14ac:dyDescent="0.2">
      <c r="A1875" s="1">
        <v>43348</v>
      </c>
      <c r="B1875">
        <v>47.08</v>
      </c>
      <c r="C1875" s="2">
        <f t="shared" si="29"/>
        <v>3.8306069398421848E-3</v>
      </c>
    </row>
    <row r="1876" spans="1:3" x14ac:dyDescent="0.2">
      <c r="A1876" s="1">
        <v>43347</v>
      </c>
      <c r="B1876">
        <v>46.9</v>
      </c>
      <c r="C1876" s="2">
        <f t="shared" si="29"/>
        <v>-2.3426695838054128E-3</v>
      </c>
    </row>
    <row r="1877" spans="1:3" x14ac:dyDescent="0.2">
      <c r="A1877" s="1">
        <v>43343</v>
      </c>
      <c r="B1877">
        <v>47.01</v>
      </c>
      <c r="C1877" s="2">
        <f t="shared" si="29"/>
        <v>0</v>
      </c>
    </row>
    <row r="1878" spans="1:3" x14ac:dyDescent="0.2">
      <c r="A1878" s="1">
        <v>43342</v>
      </c>
      <c r="B1878">
        <v>47.01</v>
      </c>
      <c r="C1878" s="2">
        <f t="shared" si="29"/>
        <v>-2.1249476759105826E-3</v>
      </c>
    </row>
    <row r="1879" spans="1:3" x14ac:dyDescent="0.2">
      <c r="A1879" s="1">
        <v>43341</v>
      </c>
      <c r="B1879">
        <v>47.11</v>
      </c>
      <c r="C1879" s="2">
        <f t="shared" si="29"/>
        <v>4.4676172597160517E-3</v>
      </c>
    </row>
    <row r="1880" spans="1:3" x14ac:dyDescent="0.2">
      <c r="A1880" s="1">
        <v>43340</v>
      </c>
      <c r="B1880">
        <v>46.9</v>
      </c>
      <c r="C1880" s="2">
        <f t="shared" si="29"/>
        <v>6.6317496235282552E-3</v>
      </c>
    </row>
    <row r="1881" spans="1:3" x14ac:dyDescent="0.2">
      <c r="A1881" s="1">
        <v>43339</v>
      </c>
      <c r="B1881">
        <v>46.59</v>
      </c>
      <c r="C1881" s="2">
        <f t="shared" si="29"/>
        <v>4.7332274253361244E-3</v>
      </c>
    </row>
    <row r="1882" spans="1:3" x14ac:dyDescent="0.2">
      <c r="A1882" s="1">
        <v>43336</v>
      </c>
      <c r="B1882">
        <v>46.37</v>
      </c>
      <c r="C1882" s="2">
        <f t="shared" si="29"/>
        <v>1.7267433601903062E-3</v>
      </c>
    </row>
    <row r="1883" spans="1:3" x14ac:dyDescent="0.2">
      <c r="A1883" s="1">
        <v>43335</v>
      </c>
      <c r="B1883">
        <v>46.29</v>
      </c>
      <c r="C1883" s="2">
        <f t="shared" si="29"/>
        <v>-1.223847803647043E-2</v>
      </c>
    </row>
    <row r="1884" spans="1:3" x14ac:dyDescent="0.2">
      <c r="A1884" s="1">
        <v>43334</v>
      </c>
      <c r="B1884">
        <v>46.86</v>
      </c>
      <c r="C1884" s="2">
        <f t="shared" si="29"/>
        <v>-1.705757343227847E-3</v>
      </c>
    </row>
    <row r="1885" spans="1:3" x14ac:dyDescent="0.2">
      <c r="A1885" s="1">
        <v>43333</v>
      </c>
      <c r="B1885">
        <v>46.94</v>
      </c>
      <c r="C1885" s="2">
        <f t="shared" si="29"/>
        <v>7.4842645941718975E-3</v>
      </c>
    </row>
    <row r="1886" spans="1:3" x14ac:dyDescent="0.2">
      <c r="A1886" s="1">
        <v>43332</v>
      </c>
      <c r="B1886">
        <v>46.59</v>
      </c>
      <c r="C1886" s="2">
        <f t="shared" si="29"/>
        <v>2.3638132850496651E-3</v>
      </c>
    </row>
    <row r="1887" spans="1:3" x14ac:dyDescent="0.2">
      <c r="A1887" s="1">
        <v>43329</v>
      </c>
      <c r="B1887">
        <v>46.48</v>
      </c>
      <c r="C1887" s="2">
        <f t="shared" si="29"/>
        <v>7.7754171427974446E-3</v>
      </c>
    </row>
    <row r="1888" spans="1:3" x14ac:dyDescent="0.2">
      <c r="A1888" s="1">
        <v>43328</v>
      </c>
      <c r="B1888">
        <v>46.12</v>
      </c>
      <c r="C1888" s="2">
        <f t="shared" si="29"/>
        <v>1.0900478544616296E-2</v>
      </c>
    </row>
    <row r="1889" spans="1:3" x14ac:dyDescent="0.2">
      <c r="A1889" s="1">
        <v>43327</v>
      </c>
      <c r="B1889">
        <v>45.62</v>
      </c>
      <c r="C1889" s="2">
        <f t="shared" si="29"/>
        <v>-8.947140972908189E-3</v>
      </c>
    </row>
    <row r="1890" spans="1:3" x14ac:dyDescent="0.2">
      <c r="A1890" s="1">
        <v>43326</v>
      </c>
      <c r="B1890">
        <v>46.03</v>
      </c>
      <c r="C1890" s="2">
        <f t="shared" si="29"/>
        <v>8.6937627731761944E-4</v>
      </c>
    </row>
    <row r="1891" spans="1:3" x14ac:dyDescent="0.2">
      <c r="A1891" s="1">
        <v>43325</v>
      </c>
      <c r="B1891">
        <v>45.99</v>
      </c>
      <c r="C1891" s="2">
        <f t="shared" si="29"/>
        <v>-1.4248945741520263E-2</v>
      </c>
    </row>
    <row r="1892" spans="1:3" x14ac:dyDescent="0.2">
      <c r="A1892" s="1">
        <v>43322</v>
      </c>
      <c r="B1892">
        <v>46.65</v>
      </c>
      <c r="C1892" s="2">
        <f t="shared" si="29"/>
        <v>-5.5579450470137418E-3</v>
      </c>
    </row>
    <row r="1893" spans="1:3" x14ac:dyDescent="0.2">
      <c r="A1893" s="1">
        <v>43321</v>
      </c>
      <c r="B1893">
        <v>46.91</v>
      </c>
      <c r="C1893" s="2">
        <f t="shared" si="29"/>
        <v>5.9867615201371323E-3</v>
      </c>
    </row>
    <row r="1894" spans="1:3" x14ac:dyDescent="0.2">
      <c r="A1894" s="1">
        <v>43320</v>
      </c>
      <c r="B1894">
        <v>46.63</v>
      </c>
      <c r="C1894" s="2">
        <f t="shared" si="29"/>
        <v>-9.3917445928214157E-3</v>
      </c>
    </row>
    <row r="1895" spans="1:3" x14ac:dyDescent="0.2">
      <c r="A1895" s="1">
        <v>43319</v>
      </c>
      <c r="B1895">
        <v>47.07</v>
      </c>
      <c r="C1895" s="2">
        <f t="shared" si="29"/>
        <v>3.8314223115558676E-3</v>
      </c>
    </row>
    <row r="1896" spans="1:3" x14ac:dyDescent="0.2">
      <c r="A1896" s="1">
        <v>43318</v>
      </c>
      <c r="B1896">
        <v>46.89</v>
      </c>
      <c r="C1896" s="2">
        <f t="shared" si="29"/>
        <v>4.488625683139659E-3</v>
      </c>
    </row>
    <row r="1897" spans="1:3" x14ac:dyDescent="0.2">
      <c r="A1897" s="1">
        <v>43315</v>
      </c>
      <c r="B1897">
        <v>46.68</v>
      </c>
      <c r="C1897" s="2">
        <f t="shared" si="29"/>
        <v>8.1738463261670034E-3</v>
      </c>
    </row>
    <row r="1898" spans="1:3" x14ac:dyDescent="0.2">
      <c r="A1898" s="1">
        <v>43314</v>
      </c>
      <c r="B1898">
        <v>46.3</v>
      </c>
      <c r="C1898" s="2">
        <f t="shared" si="29"/>
        <v>6.2831969248112463E-3</v>
      </c>
    </row>
    <row r="1899" spans="1:3" x14ac:dyDescent="0.2">
      <c r="A1899" s="1">
        <v>43313</v>
      </c>
      <c r="B1899">
        <v>46.01</v>
      </c>
      <c r="C1899" s="2">
        <f t="shared" si="29"/>
        <v>-2.8214885782304605E-3</v>
      </c>
    </row>
    <row r="1900" spans="1:3" x14ac:dyDescent="0.2">
      <c r="A1900" s="1">
        <v>43312</v>
      </c>
      <c r="B1900">
        <v>46.14</v>
      </c>
      <c r="C1900" s="2">
        <f t="shared" si="29"/>
        <v>1.6388436277233367E-2</v>
      </c>
    </row>
    <row r="1901" spans="1:3" x14ac:dyDescent="0.2">
      <c r="A1901" s="1">
        <v>43311</v>
      </c>
      <c r="B1901">
        <v>45.39</v>
      </c>
      <c r="C1901" s="2">
        <f t="shared" si="29"/>
        <v>-1.2262032333321843E-2</v>
      </c>
    </row>
    <row r="1902" spans="1:3" x14ac:dyDescent="0.2">
      <c r="A1902" s="1">
        <v>43308</v>
      </c>
      <c r="B1902">
        <v>45.95</v>
      </c>
      <c r="C1902" s="2">
        <f t="shared" si="29"/>
        <v>-2.4506815453767213E-2</v>
      </c>
    </row>
    <row r="1903" spans="1:3" x14ac:dyDescent="0.2">
      <c r="A1903" s="1">
        <v>43307</v>
      </c>
      <c r="B1903">
        <v>47.09</v>
      </c>
      <c r="C1903" s="2">
        <f t="shared" si="29"/>
        <v>-2.3713208497561724E-2</v>
      </c>
    </row>
    <row r="1904" spans="1:3" x14ac:dyDescent="0.2">
      <c r="A1904" s="1">
        <v>43306</v>
      </c>
      <c r="B1904">
        <v>48.22</v>
      </c>
      <c r="C1904" s="2">
        <f t="shared" si="29"/>
        <v>2.03212188132731E-2</v>
      </c>
    </row>
    <row r="1905" spans="1:3" x14ac:dyDescent="0.2">
      <c r="A1905" s="1">
        <v>43305</v>
      </c>
      <c r="B1905">
        <v>47.25</v>
      </c>
      <c r="C1905" s="2">
        <f t="shared" si="29"/>
        <v>7.2217815993850893E-3</v>
      </c>
    </row>
    <row r="1906" spans="1:3" x14ac:dyDescent="0.2">
      <c r="A1906" s="1">
        <v>43304</v>
      </c>
      <c r="B1906">
        <v>46.91</v>
      </c>
      <c r="C1906" s="2">
        <f t="shared" si="29"/>
        <v>-8.0679843154177512E-3</v>
      </c>
    </row>
    <row r="1907" spans="1:3" x14ac:dyDescent="0.2">
      <c r="A1907" s="1">
        <v>43301</v>
      </c>
      <c r="B1907">
        <v>47.29</v>
      </c>
      <c r="C1907" s="2">
        <f t="shared" si="29"/>
        <v>6.1512549457259057E-3</v>
      </c>
    </row>
    <row r="1908" spans="1:3" x14ac:dyDescent="0.2">
      <c r="A1908" s="1">
        <v>43300</v>
      </c>
      <c r="B1908">
        <v>47</v>
      </c>
      <c r="C1908" s="2">
        <f t="shared" si="29"/>
        <v>1.9167293696919559E-3</v>
      </c>
    </row>
    <row r="1909" spans="1:3" x14ac:dyDescent="0.2">
      <c r="A1909" s="1">
        <v>43299</v>
      </c>
      <c r="B1909">
        <v>46.91</v>
      </c>
      <c r="C1909" s="2">
        <f t="shared" si="29"/>
        <v>1.5900635821469073E-2</v>
      </c>
    </row>
    <row r="1910" spans="1:3" x14ac:dyDescent="0.2">
      <c r="A1910" s="1">
        <v>43298</v>
      </c>
      <c r="B1910">
        <v>46.17</v>
      </c>
      <c r="C1910" s="2">
        <f t="shared" si="29"/>
        <v>5.8651194523980576E-3</v>
      </c>
    </row>
    <row r="1911" spans="1:3" x14ac:dyDescent="0.2">
      <c r="A1911" s="1">
        <v>43297</v>
      </c>
      <c r="B1911">
        <v>45.9</v>
      </c>
      <c r="C1911" s="2">
        <f t="shared" si="29"/>
        <v>-6.7311078156755489E-3</v>
      </c>
    </row>
    <row r="1912" spans="1:3" x14ac:dyDescent="0.2">
      <c r="A1912" s="1">
        <v>43294</v>
      </c>
      <c r="B1912">
        <v>46.21</v>
      </c>
      <c r="C1912" s="2">
        <f t="shared" si="29"/>
        <v>7.1669326210050252E-3</v>
      </c>
    </row>
    <row r="1913" spans="1:3" x14ac:dyDescent="0.2">
      <c r="A1913" s="1">
        <v>43293</v>
      </c>
      <c r="B1913">
        <v>45.88</v>
      </c>
      <c r="C1913" s="2">
        <f t="shared" si="29"/>
        <v>6.7796869853787691E-3</v>
      </c>
    </row>
    <row r="1914" spans="1:3" x14ac:dyDescent="0.2">
      <c r="A1914" s="1">
        <v>43292</v>
      </c>
      <c r="B1914">
        <v>45.57</v>
      </c>
      <c r="C1914" s="2">
        <f t="shared" si="29"/>
        <v>-1.1129411111844545E-2</v>
      </c>
    </row>
    <row r="1915" spans="1:3" x14ac:dyDescent="0.2">
      <c r="A1915" s="1">
        <v>43291</v>
      </c>
      <c r="B1915">
        <v>46.08</v>
      </c>
      <c r="C1915" s="2">
        <f t="shared" si="29"/>
        <v>6.7501617220848851E-3</v>
      </c>
    </row>
    <row r="1916" spans="1:3" x14ac:dyDescent="0.2">
      <c r="A1916" s="1">
        <v>43290</v>
      </c>
      <c r="B1916">
        <v>45.77</v>
      </c>
      <c r="C1916" s="2">
        <f t="shared" si="29"/>
        <v>1.874572479530821E-2</v>
      </c>
    </row>
    <row r="1917" spans="1:3" x14ac:dyDescent="0.2">
      <c r="A1917" s="1">
        <v>43287</v>
      </c>
      <c r="B1917">
        <v>44.92</v>
      </c>
      <c r="C1917" s="2">
        <f t="shared" si="29"/>
        <v>-4.8856415191471511E-3</v>
      </c>
    </row>
    <row r="1918" spans="1:3" x14ac:dyDescent="0.2">
      <c r="A1918" s="1">
        <v>43286</v>
      </c>
      <c r="B1918">
        <v>45.14</v>
      </c>
      <c r="C1918" s="2">
        <f t="shared" si="29"/>
        <v>5.1082842897430206E-3</v>
      </c>
    </row>
    <row r="1919" spans="1:3" x14ac:dyDescent="0.2">
      <c r="A1919" s="1">
        <v>43284</v>
      </c>
      <c r="B1919">
        <v>44.91</v>
      </c>
      <c r="C1919" s="2">
        <f t="shared" si="29"/>
        <v>-4.8867267392633277E-3</v>
      </c>
    </row>
    <row r="1920" spans="1:3" x14ac:dyDescent="0.2">
      <c r="A1920" s="1">
        <v>43283</v>
      </c>
      <c r="B1920">
        <v>45.13</v>
      </c>
      <c r="C1920" s="2">
        <f t="shared" si="29"/>
        <v>-1.9922530109138313E-3</v>
      </c>
    </row>
    <row r="1921" spans="1:3" x14ac:dyDescent="0.2">
      <c r="A1921" s="1">
        <v>43280</v>
      </c>
      <c r="B1921">
        <v>45.22</v>
      </c>
      <c r="C1921" s="2">
        <f t="shared" si="29"/>
        <v>4.2105325363434578E-3</v>
      </c>
    </row>
    <row r="1922" spans="1:3" x14ac:dyDescent="0.2">
      <c r="A1922" s="1">
        <v>43279</v>
      </c>
      <c r="B1922">
        <v>45.03</v>
      </c>
      <c r="C1922" s="2">
        <f t="shared" si="29"/>
        <v>2.22321123141178E-3</v>
      </c>
    </row>
    <row r="1923" spans="1:3" x14ac:dyDescent="0.2">
      <c r="A1923" s="1">
        <v>43278</v>
      </c>
      <c r="B1923">
        <v>44.93</v>
      </c>
      <c r="C1923" s="2">
        <f t="shared" ref="C1923:C1986" si="30">+LN(B1923/B1924)</f>
        <v>-3.1111136204883022E-3</v>
      </c>
    </row>
    <row r="1924" spans="1:3" x14ac:dyDescent="0.2">
      <c r="A1924" s="1">
        <v>43277</v>
      </c>
      <c r="B1924">
        <v>45.07</v>
      </c>
      <c r="C1924" s="2">
        <f t="shared" si="30"/>
        <v>6.6585287112200654E-4</v>
      </c>
    </row>
    <row r="1925" spans="1:3" x14ac:dyDescent="0.2">
      <c r="A1925" s="1">
        <v>43276</v>
      </c>
      <c r="B1925">
        <v>45.04</v>
      </c>
      <c r="C1925" s="2">
        <f t="shared" si="30"/>
        <v>-6.1974523283706614E-3</v>
      </c>
    </row>
    <row r="1926" spans="1:3" x14ac:dyDescent="0.2">
      <c r="A1926" s="1">
        <v>43273</v>
      </c>
      <c r="B1926">
        <v>45.32</v>
      </c>
      <c r="C1926" s="2">
        <f t="shared" si="30"/>
        <v>1.987852670053792E-3</v>
      </c>
    </row>
    <row r="1927" spans="1:3" x14ac:dyDescent="0.2">
      <c r="A1927" s="1">
        <v>43272</v>
      </c>
      <c r="B1927">
        <v>45.23</v>
      </c>
      <c r="C1927" s="2">
        <f t="shared" si="30"/>
        <v>-1.2741824408899077E-2</v>
      </c>
    </row>
    <row r="1928" spans="1:3" x14ac:dyDescent="0.2">
      <c r="A1928" s="1">
        <v>43271</v>
      </c>
      <c r="B1928">
        <v>45.81</v>
      </c>
      <c r="C1928" s="2">
        <f t="shared" si="30"/>
        <v>-4.3649062238181806E-4</v>
      </c>
    </row>
    <row r="1929" spans="1:3" x14ac:dyDescent="0.2">
      <c r="A1929" s="1">
        <v>43270</v>
      </c>
      <c r="B1929">
        <v>45.83</v>
      </c>
      <c r="C1929" s="2">
        <f t="shared" si="30"/>
        <v>-1.0850800907524303E-2</v>
      </c>
    </row>
    <row r="1930" spans="1:3" x14ac:dyDescent="0.2">
      <c r="A1930" s="1">
        <v>43269</v>
      </c>
      <c r="B1930">
        <v>46.33</v>
      </c>
      <c r="C1930" s="2">
        <f t="shared" si="30"/>
        <v>-2.5867658312906227E-3</v>
      </c>
    </row>
    <row r="1931" spans="1:3" x14ac:dyDescent="0.2">
      <c r="A1931" s="1">
        <v>43266</v>
      </c>
      <c r="B1931">
        <v>46.45</v>
      </c>
      <c r="C1931" s="2">
        <f t="shared" si="30"/>
        <v>-1.9356926142980473E-3</v>
      </c>
    </row>
    <row r="1932" spans="1:3" x14ac:dyDescent="0.2">
      <c r="A1932" s="1">
        <v>43265</v>
      </c>
      <c r="B1932">
        <v>46.54</v>
      </c>
      <c r="C1932" s="2">
        <f t="shared" si="30"/>
        <v>8.5984528083492956E-4</v>
      </c>
    </row>
    <row r="1933" spans="1:3" x14ac:dyDescent="0.2">
      <c r="A1933" s="1">
        <v>43264</v>
      </c>
      <c r="B1933">
        <v>46.5</v>
      </c>
      <c r="C1933" s="2">
        <f t="shared" si="30"/>
        <v>-9.8438629265304167E-3</v>
      </c>
    </row>
    <row r="1934" spans="1:3" x14ac:dyDescent="0.2">
      <c r="A1934" s="1">
        <v>43263</v>
      </c>
      <c r="B1934">
        <v>46.96</v>
      </c>
      <c r="C1934" s="2">
        <f t="shared" si="30"/>
        <v>-1.2064915106077028E-2</v>
      </c>
    </row>
    <row r="1935" spans="1:3" x14ac:dyDescent="0.2">
      <c r="A1935" s="1">
        <v>43262</v>
      </c>
      <c r="B1935">
        <v>47.53</v>
      </c>
      <c r="C1935" s="2">
        <f t="shared" si="30"/>
        <v>-9.4231667856303821E-3</v>
      </c>
    </row>
    <row r="1936" spans="1:3" x14ac:dyDescent="0.2">
      <c r="A1936" s="1">
        <v>43259</v>
      </c>
      <c r="B1936">
        <v>47.98</v>
      </c>
      <c r="C1936" s="2">
        <f t="shared" si="30"/>
        <v>6.0625251014156129E-3</v>
      </c>
    </row>
    <row r="1937" spans="1:3" x14ac:dyDescent="0.2">
      <c r="A1937" s="1">
        <v>43258</v>
      </c>
      <c r="B1937">
        <v>47.69</v>
      </c>
      <c r="C1937" s="2">
        <f t="shared" si="30"/>
        <v>6.7326153744725059E-3</v>
      </c>
    </row>
    <row r="1938" spans="1:3" x14ac:dyDescent="0.2">
      <c r="A1938" s="1">
        <v>43257</v>
      </c>
      <c r="B1938">
        <v>47.37</v>
      </c>
      <c r="C1938" s="2">
        <f t="shared" si="30"/>
        <v>1.724731351247797E-2</v>
      </c>
    </row>
    <row r="1939" spans="1:3" x14ac:dyDescent="0.2">
      <c r="A1939" s="1">
        <v>43256</v>
      </c>
      <c r="B1939">
        <v>46.56</v>
      </c>
      <c r="C1939" s="2">
        <f t="shared" si="30"/>
        <v>6.2480005042740323E-3</v>
      </c>
    </row>
    <row r="1940" spans="1:3" x14ac:dyDescent="0.2">
      <c r="A1940" s="1">
        <v>43255</v>
      </c>
      <c r="B1940">
        <v>46.27</v>
      </c>
      <c r="C1940" s="2">
        <f t="shared" si="30"/>
        <v>9.7731258935589253E-3</v>
      </c>
    </row>
    <row r="1941" spans="1:3" x14ac:dyDescent="0.2">
      <c r="A1941" s="1">
        <v>43252</v>
      </c>
      <c r="B1941">
        <v>45.82</v>
      </c>
      <c r="C1941" s="2">
        <f t="shared" si="30"/>
        <v>9.208571978047168E-3</v>
      </c>
    </row>
    <row r="1942" spans="1:3" x14ac:dyDescent="0.2">
      <c r="A1942" s="1">
        <v>43251</v>
      </c>
      <c r="B1942">
        <v>45.4</v>
      </c>
      <c r="C1942" s="2">
        <f t="shared" si="30"/>
        <v>-2.3294838049584658E-2</v>
      </c>
    </row>
    <row r="1943" spans="1:3" x14ac:dyDescent="0.2">
      <c r="A1943" s="1">
        <v>43250</v>
      </c>
      <c r="B1943">
        <v>46.47</v>
      </c>
      <c r="C1943" s="2">
        <f t="shared" si="30"/>
        <v>1.8460726240645056E-2</v>
      </c>
    </row>
    <row r="1944" spans="1:3" x14ac:dyDescent="0.2">
      <c r="A1944" s="1">
        <v>43249</v>
      </c>
      <c r="B1944">
        <v>45.62</v>
      </c>
      <c r="C1944" s="2">
        <f t="shared" si="30"/>
        <v>-6.3367414048886685E-3</v>
      </c>
    </row>
    <row r="1945" spans="1:3" x14ac:dyDescent="0.2">
      <c r="A1945" s="1">
        <v>43245</v>
      </c>
      <c r="B1945">
        <v>45.91</v>
      </c>
      <c r="C1945" s="2">
        <f t="shared" si="30"/>
        <v>-1.0831994991953727E-2</v>
      </c>
    </row>
    <row r="1946" spans="1:3" x14ac:dyDescent="0.2">
      <c r="A1946" s="1">
        <v>43244</v>
      </c>
      <c r="B1946">
        <v>46.41</v>
      </c>
      <c r="C1946" s="2">
        <f t="shared" si="30"/>
        <v>-5.3723133401994937E-3</v>
      </c>
    </row>
    <row r="1947" spans="1:3" x14ac:dyDescent="0.2">
      <c r="A1947" s="1">
        <v>43243</v>
      </c>
      <c r="B1947">
        <v>46.66</v>
      </c>
      <c r="C1947" s="2">
        <f t="shared" si="30"/>
        <v>-4.285408250713476E-4</v>
      </c>
    </row>
    <row r="1948" spans="1:3" x14ac:dyDescent="0.2">
      <c r="A1948" s="1">
        <v>43242</v>
      </c>
      <c r="B1948">
        <v>46.68</v>
      </c>
      <c r="C1948" s="2">
        <f t="shared" si="30"/>
        <v>-1.3617231691830831E-2</v>
      </c>
    </row>
    <row r="1949" spans="1:3" x14ac:dyDescent="0.2">
      <c r="A1949" s="1">
        <v>43241</v>
      </c>
      <c r="B1949">
        <v>47.32</v>
      </c>
      <c r="C1949" s="2">
        <f t="shared" si="30"/>
        <v>2.2439236191277804E-2</v>
      </c>
    </row>
    <row r="1950" spans="1:3" x14ac:dyDescent="0.2">
      <c r="A1950" s="1">
        <v>43238</v>
      </c>
      <c r="B1950">
        <v>46.27</v>
      </c>
      <c r="C1950" s="2">
        <f t="shared" si="30"/>
        <v>3.8977961864912758E-3</v>
      </c>
    </row>
    <row r="1951" spans="1:3" x14ac:dyDescent="0.2">
      <c r="A1951" s="1">
        <v>43237</v>
      </c>
      <c r="B1951">
        <v>46.09</v>
      </c>
      <c r="C1951" s="2">
        <f t="shared" si="30"/>
        <v>5.438934325932703E-3</v>
      </c>
    </row>
    <row r="1952" spans="1:3" x14ac:dyDescent="0.2">
      <c r="A1952" s="1">
        <v>43236</v>
      </c>
      <c r="B1952">
        <v>45.84</v>
      </c>
      <c r="C1952" s="2">
        <f t="shared" si="30"/>
        <v>5.0300816828751467E-3</v>
      </c>
    </row>
    <row r="1953" spans="1:3" x14ac:dyDescent="0.2">
      <c r="A1953" s="1">
        <v>43235</v>
      </c>
      <c r="B1953">
        <v>45.61</v>
      </c>
      <c r="C1953" s="2">
        <f t="shared" si="30"/>
        <v>-1.0956503780403303E-3</v>
      </c>
    </row>
    <row r="1954" spans="1:3" x14ac:dyDescent="0.2">
      <c r="A1954" s="1">
        <v>43234</v>
      </c>
      <c r="B1954">
        <v>45.66</v>
      </c>
      <c r="C1954" s="2">
        <f t="shared" si="30"/>
        <v>-3.0614500184898228E-3</v>
      </c>
    </row>
    <row r="1955" spans="1:3" x14ac:dyDescent="0.2">
      <c r="A1955" s="1">
        <v>43231</v>
      </c>
      <c r="B1955">
        <v>45.8</v>
      </c>
      <c r="C1955" s="2">
        <f t="shared" si="30"/>
        <v>8.7374404859677122E-4</v>
      </c>
    </row>
    <row r="1956" spans="1:3" x14ac:dyDescent="0.2">
      <c r="A1956" s="1">
        <v>43230</v>
      </c>
      <c r="B1956">
        <v>45.76</v>
      </c>
      <c r="C1956" s="2">
        <f t="shared" si="30"/>
        <v>6.7975264480544285E-3</v>
      </c>
    </row>
    <row r="1957" spans="1:3" x14ac:dyDescent="0.2">
      <c r="A1957" s="1">
        <v>43229</v>
      </c>
      <c r="B1957">
        <v>45.45</v>
      </c>
      <c r="C1957" s="2">
        <f t="shared" si="30"/>
        <v>6.8440492340981684E-3</v>
      </c>
    </row>
    <row r="1958" spans="1:3" x14ac:dyDescent="0.2">
      <c r="A1958" s="1">
        <v>43228</v>
      </c>
      <c r="B1958">
        <v>45.14</v>
      </c>
      <c r="C1958" s="2">
        <f t="shared" si="30"/>
        <v>6.6481996908513699E-4</v>
      </c>
    </row>
    <row r="1959" spans="1:3" x14ac:dyDescent="0.2">
      <c r="A1959" s="1">
        <v>43227</v>
      </c>
      <c r="B1959">
        <v>45.11</v>
      </c>
      <c r="C1959" s="2">
        <f t="shared" si="30"/>
        <v>-1.5505596195526858E-3</v>
      </c>
    </row>
    <row r="1960" spans="1:3" x14ac:dyDescent="0.2">
      <c r="A1960" s="1">
        <v>43224</v>
      </c>
      <c r="B1960">
        <v>45.18</v>
      </c>
      <c r="C1960" s="2">
        <f t="shared" si="30"/>
        <v>1.3369183082134417E-2</v>
      </c>
    </row>
    <row r="1961" spans="1:3" x14ac:dyDescent="0.2">
      <c r="A1961" s="1">
        <v>43223</v>
      </c>
      <c r="B1961">
        <v>44.58</v>
      </c>
      <c r="C1961" s="2">
        <f t="shared" si="30"/>
        <v>1.1052328587876496E-2</v>
      </c>
    </row>
    <row r="1962" spans="1:3" x14ac:dyDescent="0.2">
      <c r="A1962" s="1">
        <v>43222</v>
      </c>
      <c r="B1962">
        <v>44.09</v>
      </c>
      <c r="C1962" s="2">
        <f t="shared" si="30"/>
        <v>-6.1051631123199487E-3</v>
      </c>
    </row>
    <row r="1963" spans="1:3" x14ac:dyDescent="0.2">
      <c r="A1963" s="1">
        <v>43221</v>
      </c>
      <c r="B1963">
        <v>44.36</v>
      </c>
      <c r="C1963" s="2">
        <f t="shared" si="30"/>
        <v>8.3758271215377302E-3</v>
      </c>
    </row>
    <row r="1964" spans="1:3" x14ac:dyDescent="0.2">
      <c r="A1964" s="1">
        <v>43220</v>
      </c>
      <c r="B1964">
        <v>43.99</v>
      </c>
      <c r="C1964" s="2">
        <f t="shared" si="30"/>
        <v>-1.5339800003398954E-2</v>
      </c>
    </row>
    <row r="1965" spans="1:3" x14ac:dyDescent="0.2">
      <c r="A1965" s="1">
        <v>43217</v>
      </c>
      <c r="B1965">
        <v>44.67</v>
      </c>
      <c r="C1965" s="2">
        <f t="shared" si="30"/>
        <v>-2.890438397100813E-2</v>
      </c>
    </row>
    <row r="1966" spans="1:3" x14ac:dyDescent="0.2">
      <c r="A1966" s="1">
        <v>43216</v>
      </c>
      <c r="B1966">
        <v>45.98</v>
      </c>
      <c r="C1966" s="2">
        <f t="shared" si="30"/>
        <v>3.8125184712131797E-2</v>
      </c>
    </row>
    <row r="1967" spans="1:3" x14ac:dyDescent="0.2">
      <c r="A1967" s="1">
        <v>43215</v>
      </c>
      <c r="B1967">
        <v>44.26</v>
      </c>
      <c r="C1967" s="2">
        <f t="shared" si="30"/>
        <v>-1.2126804798035891E-2</v>
      </c>
    </row>
    <row r="1968" spans="1:3" x14ac:dyDescent="0.2">
      <c r="A1968" s="1">
        <v>43214</v>
      </c>
      <c r="B1968">
        <v>44.8</v>
      </c>
      <c r="C1968" s="2">
        <f t="shared" si="30"/>
        <v>-3.8318864302136657E-2</v>
      </c>
    </row>
    <row r="1969" spans="1:3" x14ac:dyDescent="0.2">
      <c r="A1969" s="1">
        <v>43213</v>
      </c>
      <c r="B1969">
        <v>46.55</v>
      </c>
      <c r="C1969" s="2">
        <f t="shared" si="30"/>
        <v>-7.7038686172905928E-3</v>
      </c>
    </row>
    <row r="1970" spans="1:3" x14ac:dyDescent="0.2">
      <c r="A1970" s="1">
        <v>43210</v>
      </c>
      <c r="B1970">
        <v>46.91</v>
      </c>
      <c r="C1970" s="2">
        <f t="shared" si="30"/>
        <v>-1.0653031794744458E-3</v>
      </c>
    </row>
    <row r="1971" spans="1:3" x14ac:dyDescent="0.2">
      <c r="A1971" s="1">
        <v>43209</v>
      </c>
      <c r="B1971">
        <v>46.96</v>
      </c>
      <c r="C1971" s="2">
        <f t="shared" si="30"/>
        <v>-4.8858302184550343E-3</v>
      </c>
    </row>
    <row r="1972" spans="1:3" x14ac:dyDescent="0.2">
      <c r="A1972" s="1">
        <v>43208</v>
      </c>
      <c r="B1972">
        <v>47.19</v>
      </c>
      <c r="C1972" s="2">
        <f t="shared" si="30"/>
        <v>7.2309970538649475E-3</v>
      </c>
    </row>
    <row r="1973" spans="1:3" x14ac:dyDescent="0.2">
      <c r="A1973" s="1">
        <v>43207</v>
      </c>
      <c r="B1973">
        <v>46.85</v>
      </c>
      <c r="C1973" s="2">
        <f t="shared" si="30"/>
        <v>1.310578432030913E-2</v>
      </c>
    </row>
    <row r="1974" spans="1:3" x14ac:dyDescent="0.2">
      <c r="A1974" s="1">
        <v>43206</v>
      </c>
      <c r="B1974">
        <v>46.24</v>
      </c>
      <c r="C1974" s="2">
        <f t="shared" si="30"/>
        <v>9.9979098397015003E-3</v>
      </c>
    </row>
    <row r="1975" spans="1:3" x14ac:dyDescent="0.2">
      <c r="A1975" s="1">
        <v>43203</v>
      </c>
      <c r="B1975">
        <v>45.78</v>
      </c>
      <c r="C1975" s="2">
        <f t="shared" si="30"/>
        <v>-6.0975798681185567E-3</v>
      </c>
    </row>
    <row r="1976" spans="1:3" x14ac:dyDescent="0.2">
      <c r="A1976" s="1">
        <v>43202</v>
      </c>
      <c r="B1976">
        <v>46.06</v>
      </c>
      <c r="C1976" s="2">
        <f t="shared" si="30"/>
        <v>9.3794994532279841E-3</v>
      </c>
    </row>
    <row r="1977" spans="1:3" x14ac:dyDescent="0.2">
      <c r="A1977" s="1">
        <v>43201</v>
      </c>
      <c r="B1977">
        <v>45.63</v>
      </c>
      <c r="C1977" s="2">
        <f t="shared" si="30"/>
        <v>-4.8098037631627046E-3</v>
      </c>
    </row>
    <row r="1978" spans="1:3" x14ac:dyDescent="0.2">
      <c r="A1978" s="1">
        <v>43200</v>
      </c>
      <c r="B1978">
        <v>45.85</v>
      </c>
      <c r="C1978" s="2">
        <f t="shared" si="30"/>
        <v>1.6271247282169294E-2</v>
      </c>
    </row>
    <row r="1979" spans="1:3" x14ac:dyDescent="0.2">
      <c r="A1979" s="1">
        <v>43199</v>
      </c>
      <c r="B1979">
        <v>45.11</v>
      </c>
      <c r="C1979" s="2">
        <f t="shared" si="30"/>
        <v>4.434589873116107E-4</v>
      </c>
    </row>
    <row r="1980" spans="1:3" x14ac:dyDescent="0.2">
      <c r="A1980" s="1">
        <v>43196</v>
      </c>
      <c r="B1980">
        <v>45.09</v>
      </c>
      <c r="C1980" s="2">
        <f t="shared" si="30"/>
        <v>-2.4535732449182113E-2</v>
      </c>
    </row>
    <row r="1981" spans="1:3" x14ac:dyDescent="0.2">
      <c r="A1981" s="1">
        <v>43195</v>
      </c>
      <c r="B1981">
        <v>46.21</v>
      </c>
      <c r="C1981" s="2">
        <f t="shared" si="30"/>
        <v>6.5132666210443863E-3</v>
      </c>
    </row>
    <row r="1982" spans="1:3" x14ac:dyDescent="0.2">
      <c r="A1982" s="1">
        <v>43194</v>
      </c>
      <c r="B1982">
        <v>45.91</v>
      </c>
      <c r="C1982" s="2">
        <f t="shared" si="30"/>
        <v>1.4922374771378895E-2</v>
      </c>
    </row>
    <row r="1983" spans="1:3" x14ac:dyDescent="0.2">
      <c r="A1983" s="1">
        <v>43193</v>
      </c>
      <c r="B1983">
        <v>45.23</v>
      </c>
      <c r="C1983" s="2">
        <f t="shared" si="30"/>
        <v>1.0669138768887441E-2</v>
      </c>
    </row>
    <row r="1984" spans="1:3" x14ac:dyDescent="0.2">
      <c r="A1984" s="1">
        <v>43192</v>
      </c>
      <c r="B1984">
        <v>44.75</v>
      </c>
      <c r="C1984" s="2">
        <f t="shared" si="30"/>
        <v>-2.1444394205745478E-2</v>
      </c>
    </row>
    <row r="1985" spans="1:3" x14ac:dyDescent="0.2">
      <c r="A1985" s="1">
        <v>43188</v>
      </c>
      <c r="B1985">
        <v>45.72</v>
      </c>
      <c r="C1985" s="2">
        <f t="shared" si="30"/>
        <v>2.5026220287224493E-2</v>
      </c>
    </row>
    <row r="1986" spans="1:3" x14ac:dyDescent="0.2">
      <c r="A1986" s="1">
        <v>43187</v>
      </c>
      <c r="B1986">
        <v>44.59</v>
      </c>
      <c r="C1986" s="2">
        <f t="shared" si="30"/>
        <v>-2.2424038663306804E-4</v>
      </c>
    </row>
    <row r="1987" spans="1:3" x14ac:dyDescent="0.2">
      <c r="A1987" s="1">
        <v>43186</v>
      </c>
      <c r="B1987">
        <v>44.6</v>
      </c>
      <c r="C1987" s="2">
        <f t="shared" ref="C1987:C2050" si="31">+LN(B1987/B1988)</f>
        <v>-2.3488782075630998E-2</v>
      </c>
    </row>
    <row r="1988" spans="1:3" x14ac:dyDescent="0.2">
      <c r="A1988" s="1">
        <v>43185</v>
      </c>
      <c r="B1988">
        <v>45.66</v>
      </c>
      <c r="C1988" s="2">
        <f t="shared" si="31"/>
        <v>2.640783657904433E-2</v>
      </c>
    </row>
    <row r="1989" spans="1:3" x14ac:dyDescent="0.2">
      <c r="A1989" s="1">
        <v>43182</v>
      </c>
      <c r="B1989">
        <v>44.47</v>
      </c>
      <c r="C1989" s="2">
        <f t="shared" si="31"/>
        <v>-1.5618345143907766E-2</v>
      </c>
    </row>
    <row r="1990" spans="1:3" x14ac:dyDescent="0.2">
      <c r="A1990" s="1">
        <v>43181</v>
      </c>
      <c r="B1990">
        <v>45.17</v>
      </c>
      <c r="C1990" s="2">
        <f t="shared" si="31"/>
        <v>-3.3525124847503848E-2</v>
      </c>
    </row>
    <row r="1991" spans="1:3" x14ac:dyDescent="0.2">
      <c r="A1991" s="1">
        <v>43180</v>
      </c>
      <c r="B1991">
        <v>46.71</v>
      </c>
      <c r="C1991" s="2">
        <f t="shared" si="31"/>
        <v>-5.1249311402553508E-3</v>
      </c>
    </row>
    <row r="1992" spans="1:3" x14ac:dyDescent="0.2">
      <c r="A1992" s="1">
        <v>43179</v>
      </c>
      <c r="B1992">
        <v>46.95</v>
      </c>
      <c r="C1992" s="2">
        <f t="shared" si="31"/>
        <v>6.8390948340424753E-3</v>
      </c>
    </row>
    <row r="1993" spans="1:3" x14ac:dyDescent="0.2">
      <c r="A1993" s="1">
        <v>43178</v>
      </c>
      <c r="B1993">
        <v>46.63</v>
      </c>
      <c r="C1993" s="2">
        <f t="shared" si="31"/>
        <v>8.5818499152418742E-4</v>
      </c>
    </row>
    <row r="1994" spans="1:3" x14ac:dyDescent="0.2">
      <c r="A1994" s="1">
        <v>43175</v>
      </c>
      <c r="B1994">
        <v>46.59</v>
      </c>
      <c r="C1994" s="2">
        <f t="shared" si="31"/>
        <v>4.5175940013198581E-3</v>
      </c>
    </row>
    <row r="1995" spans="1:3" x14ac:dyDescent="0.2">
      <c r="A1995" s="1">
        <v>43174</v>
      </c>
      <c r="B1995">
        <v>46.38</v>
      </c>
      <c r="C1995" s="2">
        <f t="shared" si="31"/>
        <v>-4.3112740482386237E-4</v>
      </c>
    </row>
    <row r="1996" spans="1:3" x14ac:dyDescent="0.2">
      <c r="A1996" s="1">
        <v>43173</v>
      </c>
      <c r="B1996">
        <v>46.4</v>
      </c>
      <c r="C1996" s="2">
        <f t="shared" si="31"/>
        <v>1.5097598036525679E-3</v>
      </c>
    </row>
    <row r="1997" spans="1:3" x14ac:dyDescent="0.2">
      <c r="A1997" s="1">
        <v>43172</v>
      </c>
      <c r="B1997">
        <v>46.33</v>
      </c>
      <c r="C1997" s="2">
        <f t="shared" si="31"/>
        <v>-4.5224584455887265E-3</v>
      </c>
    </row>
    <row r="1998" spans="1:3" x14ac:dyDescent="0.2">
      <c r="A1998" s="1">
        <v>43171</v>
      </c>
      <c r="B1998">
        <v>46.54</v>
      </c>
      <c r="C1998" s="2">
        <f t="shared" si="31"/>
        <v>-5.7846974378335915E-3</v>
      </c>
    </row>
    <row r="1999" spans="1:3" x14ac:dyDescent="0.2">
      <c r="A1999" s="1">
        <v>43168</v>
      </c>
      <c r="B1999">
        <v>46.81</v>
      </c>
      <c r="C1999" s="2">
        <f t="shared" si="31"/>
        <v>2.2468000646428416E-2</v>
      </c>
    </row>
    <row r="2000" spans="1:3" x14ac:dyDescent="0.2">
      <c r="A2000" s="1">
        <v>43167</v>
      </c>
      <c r="B2000">
        <v>45.77</v>
      </c>
      <c r="C2000" s="2">
        <f t="shared" si="31"/>
        <v>3.0634597262395062E-3</v>
      </c>
    </row>
    <row r="2001" spans="1:3" x14ac:dyDescent="0.2">
      <c r="A2001" s="1">
        <v>43166</v>
      </c>
      <c r="B2001">
        <v>45.63</v>
      </c>
      <c r="C2001" s="2">
        <f t="shared" si="31"/>
        <v>1.0796623549921535E-2</v>
      </c>
    </row>
    <row r="2002" spans="1:3" x14ac:dyDescent="0.2">
      <c r="A2002" s="1">
        <v>43165</v>
      </c>
      <c r="B2002">
        <v>45.14</v>
      </c>
      <c r="C2002" s="2">
        <f t="shared" si="31"/>
        <v>1.2932175770361105E-2</v>
      </c>
    </row>
    <row r="2003" spans="1:3" x14ac:dyDescent="0.2">
      <c r="A2003" s="1">
        <v>43164</v>
      </c>
      <c r="B2003">
        <v>44.56</v>
      </c>
      <c r="C2003" s="2">
        <f t="shared" si="31"/>
        <v>1.0830430774369591E-2</v>
      </c>
    </row>
    <row r="2004" spans="1:3" x14ac:dyDescent="0.2">
      <c r="A2004" s="1">
        <v>43161</v>
      </c>
      <c r="B2004">
        <v>44.08</v>
      </c>
      <c r="C2004" s="2">
        <f t="shared" si="31"/>
        <v>6.6006840313520927E-3</v>
      </c>
    </row>
    <row r="2005" spans="1:3" x14ac:dyDescent="0.2">
      <c r="A2005" s="1">
        <v>43160</v>
      </c>
      <c r="B2005">
        <v>43.79</v>
      </c>
      <c r="C2005" s="2">
        <f t="shared" si="31"/>
        <v>-1.270722794228156E-2</v>
      </c>
    </row>
    <row r="2006" spans="1:3" x14ac:dyDescent="0.2">
      <c r="A2006" s="1">
        <v>43159</v>
      </c>
      <c r="B2006">
        <v>44.35</v>
      </c>
      <c r="C2006" s="2">
        <f t="shared" si="31"/>
        <v>-1.2325085992620005E-2</v>
      </c>
    </row>
    <row r="2007" spans="1:3" x14ac:dyDescent="0.2">
      <c r="A2007" s="1">
        <v>43158</v>
      </c>
      <c r="B2007">
        <v>44.9</v>
      </c>
      <c r="C2007" s="2">
        <f t="shared" si="31"/>
        <v>-9.751850331174412E-3</v>
      </c>
    </row>
    <row r="2008" spans="1:3" x14ac:dyDescent="0.2">
      <c r="A2008" s="1">
        <v>43157</v>
      </c>
      <c r="B2008">
        <v>45.34</v>
      </c>
      <c r="C2008" s="2">
        <f t="shared" si="31"/>
        <v>7.5271553090631603E-3</v>
      </c>
    </row>
    <row r="2009" spans="1:3" x14ac:dyDescent="0.2">
      <c r="A2009" s="1">
        <v>43154</v>
      </c>
      <c r="B2009">
        <v>45</v>
      </c>
      <c r="C2009" s="2">
        <f t="shared" si="31"/>
        <v>2.8930697824279378E-3</v>
      </c>
    </row>
    <row r="2010" spans="1:3" x14ac:dyDescent="0.2">
      <c r="A2010" s="1">
        <v>43153</v>
      </c>
      <c r="B2010">
        <v>44.87</v>
      </c>
      <c r="C2010" s="2">
        <f t="shared" si="31"/>
        <v>1.3236312147455746E-2</v>
      </c>
    </row>
    <row r="2011" spans="1:3" x14ac:dyDescent="0.2">
      <c r="A2011" s="1">
        <v>43152</v>
      </c>
      <c r="B2011">
        <v>44.28</v>
      </c>
      <c r="C2011" s="2">
        <f t="shared" si="31"/>
        <v>7.2529783050155772E-3</v>
      </c>
    </row>
    <row r="2012" spans="1:3" x14ac:dyDescent="0.2">
      <c r="A2012" s="1">
        <v>43151</v>
      </c>
      <c r="B2012">
        <v>43.96</v>
      </c>
      <c r="C2012" s="2">
        <f t="shared" si="31"/>
        <v>-1.8181823190585162E-3</v>
      </c>
    </row>
    <row r="2013" spans="1:3" x14ac:dyDescent="0.2">
      <c r="A2013" s="1">
        <v>43147</v>
      </c>
      <c r="B2013">
        <v>44.04</v>
      </c>
      <c r="C2013" s="2">
        <f t="shared" si="31"/>
        <v>3.1839917733535667E-3</v>
      </c>
    </row>
    <row r="2014" spans="1:3" x14ac:dyDescent="0.2">
      <c r="A2014" s="1">
        <v>43146</v>
      </c>
      <c r="B2014">
        <v>43.9</v>
      </c>
      <c r="C2014" s="2">
        <f t="shared" si="31"/>
        <v>1.3530764854590382E-2</v>
      </c>
    </row>
    <row r="2015" spans="1:3" x14ac:dyDescent="0.2">
      <c r="A2015" s="1">
        <v>43145</v>
      </c>
      <c r="B2015">
        <v>43.31</v>
      </c>
      <c r="C2015" s="2">
        <f t="shared" si="31"/>
        <v>2.5015915828529321E-2</v>
      </c>
    </row>
    <row r="2016" spans="1:3" x14ac:dyDescent="0.2">
      <c r="A2016" s="1">
        <v>43144</v>
      </c>
      <c r="B2016">
        <v>42.24</v>
      </c>
      <c r="C2016" s="2">
        <f t="shared" si="31"/>
        <v>6.1743250055191915E-3</v>
      </c>
    </row>
    <row r="2017" spans="1:3" x14ac:dyDescent="0.2">
      <c r="A2017" s="1">
        <v>43143</v>
      </c>
      <c r="B2017">
        <v>41.98</v>
      </c>
      <c r="C2017" s="2">
        <f t="shared" si="31"/>
        <v>7.171916947375484E-3</v>
      </c>
    </row>
    <row r="2018" spans="1:3" x14ac:dyDescent="0.2">
      <c r="A2018" s="1">
        <v>43140</v>
      </c>
      <c r="B2018">
        <v>41.68</v>
      </c>
      <c r="C2018" s="2">
        <f t="shared" si="31"/>
        <v>6.740516613842765E-3</v>
      </c>
    </row>
    <row r="2019" spans="1:3" x14ac:dyDescent="0.2">
      <c r="A2019" s="1">
        <v>43139</v>
      </c>
      <c r="B2019">
        <v>41.4</v>
      </c>
      <c r="C2019" s="2">
        <f t="shared" si="31"/>
        <v>-4.6717624567459683E-2</v>
      </c>
    </row>
    <row r="2020" spans="1:3" x14ac:dyDescent="0.2">
      <c r="A2020" s="1">
        <v>43138</v>
      </c>
      <c r="B2020">
        <v>43.38</v>
      </c>
      <c r="C2020" s="2">
        <f t="shared" si="31"/>
        <v>-4.5998241177454477E-3</v>
      </c>
    </row>
    <row r="2021" spans="1:3" x14ac:dyDescent="0.2">
      <c r="A2021" s="1">
        <v>43137</v>
      </c>
      <c r="B2021">
        <v>43.58</v>
      </c>
      <c r="C2021" s="2">
        <f t="shared" si="31"/>
        <v>1.0147688555463358E-2</v>
      </c>
    </row>
    <row r="2022" spans="1:3" x14ac:dyDescent="0.2">
      <c r="A2022" s="1">
        <v>43136</v>
      </c>
      <c r="B2022">
        <v>43.14</v>
      </c>
      <c r="C2022" s="2">
        <f t="shared" si="31"/>
        <v>-4.8414792933917178E-2</v>
      </c>
    </row>
    <row r="2023" spans="1:3" x14ac:dyDescent="0.2">
      <c r="A2023" s="1">
        <v>43133</v>
      </c>
      <c r="B2023">
        <v>45.28</v>
      </c>
      <c r="C2023" s="2">
        <f t="shared" si="31"/>
        <v>-2.4649519358156863E-2</v>
      </c>
    </row>
    <row r="2024" spans="1:3" x14ac:dyDescent="0.2">
      <c r="A2024" s="1">
        <v>43132</v>
      </c>
      <c r="B2024">
        <v>46.41</v>
      </c>
      <c r="C2024" s="2">
        <f t="shared" si="31"/>
        <v>-8.3682496705165792E-3</v>
      </c>
    </row>
    <row r="2025" spans="1:3" x14ac:dyDescent="0.2">
      <c r="A2025" s="1">
        <v>43131</v>
      </c>
      <c r="B2025">
        <v>46.8</v>
      </c>
      <c r="C2025" s="2">
        <f t="shared" si="31"/>
        <v>1.2686978041425996E-2</v>
      </c>
    </row>
    <row r="2026" spans="1:3" x14ac:dyDescent="0.2">
      <c r="A2026" s="1">
        <v>43130</v>
      </c>
      <c r="B2026">
        <v>46.21</v>
      </c>
      <c r="C2026" s="2">
        <f t="shared" si="31"/>
        <v>-4.4649328744384473E-2</v>
      </c>
    </row>
    <row r="2027" spans="1:3" x14ac:dyDescent="0.2">
      <c r="A2027" s="1">
        <v>43129</v>
      </c>
      <c r="B2027">
        <v>48.32</v>
      </c>
      <c r="C2027" s="2">
        <f t="shared" si="31"/>
        <v>-1.5402296475252477E-2</v>
      </c>
    </row>
    <row r="2028" spans="1:3" x14ac:dyDescent="0.2">
      <c r="A2028" s="1">
        <v>43126</v>
      </c>
      <c r="B2028">
        <v>49.07</v>
      </c>
      <c r="C2028" s="2">
        <f t="shared" si="31"/>
        <v>5.5175372427105768E-3</v>
      </c>
    </row>
    <row r="2029" spans="1:3" x14ac:dyDescent="0.2">
      <c r="A2029" s="1">
        <v>43125</v>
      </c>
      <c r="B2029">
        <v>48.8</v>
      </c>
      <c r="C2029" s="2">
        <f t="shared" si="31"/>
        <v>-4.2940460623546216E-3</v>
      </c>
    </row>
    <row r="2030" spans="1:3" x14ac:dyDescent="0.2">
      <c r="A2030" s="1">
        <v>43124</v>
      </c>
      <c r="B2030">
        <v>49.01</v>
      </c>
      <c r="C2030" s="2">
        <f t="shared" si="31"/>
        <v>-8.1582708991597092E-4</v>
      </c>
    </row>
    <row r="2031" spans="1:3" x14ac:dyDescent="0.2">
      <c r="A2031" s="1">
        <v>43123</v>
      </c>
      <c r="B2031">
        <v>49.05</v>
      </c>
      <c r="C2031" s="2">
        <f t="shared" si="31"/>
        <v>2.3307232204178033E-2</v>
      </c>
    </row>
    <row r="2032" spans="1:3" x14ac:dyDescent="0.2">
      <c r="A2032" s="1">
        <v>43122</v>
      </c>
      <c r="B2032">
        <v>47.92</v>
      </c>
      <c r="C2032" s="2">
        <f t="shared" si="31"/>
        <v>0</v>
      </c>
    </row>
    <row r="2033" spans="1:3" x14ac:dyDescent="0.2">
      <c r="A2033" s="1">
        <v>43119</v>
      </c>
      <c r="B2033">
        <v>47.92</v>
      </c>
      <c r="C2033" s="2">
        <f t="shared" si="31"/>
        <v>1.8109570507977412E-2</v>
      </c>
    </row>
    <row r="2034" spans="1:3" x14ac:dyDescent="0.2">
      <c r="A2034" s="1">
        <v>43118</v>
      </c>
      <c r="B2034">
        <v>47.06</v>
      </c>
      <c r="C2034" s="2">
        <f t="shared" si="31"/>
        <v>-2.3347139969538333E-3</v>
      </c>
    </row>
    <row r="2035" spans="1:3" x14ac:dyDescent="0.2">
      <c r="A2035" s="1">
        <v>43117</v>
      </c>
      <c r="B2035">
        <v>47.17</v>
      </c>
      <c r="C2035" s="2">
        <f t="shared" si="31"/>
        <v>1.2157556164570106E-2</v>
      </c>
    </row>
    <row r="2036" spans="1:3" x14ac:dyDescent="0.2">
      <c r="A2036" s="1">
        <v>43116</v>
      </c>
      <c r="B2036">
        <v>46.6</v>
      </c>
      <c r="C2036" s="2">
        <f t="shared" si="31"/>
        <v>-6.8434826536745664E-3</v>
      </c>
    </row>
    <row r="2037" spans="1:3" x14ac:dyDescent="0.2">
      <c r="A2037" s="1">
        <v>43112</v>
      </c>
      <c r="B2037">
        <v>46.92</v>
      </c>
      <c r="C2037" s="2">
        <f t="shared" si="31"/>
        <v>-2.1290193266487235E-3</v>
      </c>
    </row>
    <row r="2038" spans="1:3" x14ac:dyDescent="0.2">
      <c r="A2038" s="1">
        <v>43111</v>
      </c>
      <c r="B2038">
        <v>47.02</v>
      </c>
      <c r="C2038" s="2">
        <f t="shared" si="31"/>
        <v>1.1766100015036489E-2</v>
      </c>
    </row>
    <row r="2039" spans="1:3" x14ac:dyDescent="0.2">
      <c r="A2039" s="1">
        <v>43110</v>
      </c>
      <c r="B2039">
        <v>46.47</v>
      </c>
      <c r="C2039" s="2">
        <f t="shared" si="31"/>
        <v>-7.0762598267140736E-3</v>
      </c>
    </row>
    <row r="2040" spans="1:3" x14ac:dyDescent="0.2">
      <c r="A2040" s="1">
        <v>43109</v>
      </c>
      <c r="B2040">
        <v>46.8</v>
      </c>
      <c r="C2040" s="2">
        <f t="shared" si="31"/>
        <v>-5.1151006667704887E-3</v>
      </c>
    </row>
    <row r="2041" spans="1:3" x14ac:dyDescent="0.2">
      <c r="A2041" s="1">
        <v>43108</v>
      </c>
      <c r="B2041">
        <v>47.04</v>
      </c>
      <c r="C2041" s="2">
        <f t="shared" si="31"/>
        <v>1.7802078708196414E-2</v>
      </c>
    </row>
    <row r="2042" spans="1:3" x14ac:dyDescent="0.2">
      <c r="A2042" s="1">
        <v>43105</v>
      </c>
      <c r="B2042">
        <v>46.21</v>
      </c>
      <c r="C2042" s="2">
        <f t="shared" si="31"/>
        <v>-2.5934745463818804E-3</v>
      </c>
    </row>
    <row r="2043" spans="1:3" x14ac:dyDescent="0.2">
      <c r="A2043" s="1">
        <v>43104</v>
      </c>
      <c r="B2043">
        <v>46.33</v>
      </c>
      <c r="C2043" s="2">
        <f t="shared" si="31"/>
        <v>9.1067411674263521E-3</v>
      </c>
    </row>
    <row r="2044" spans="1:3" x14ac:dyDescent="0.2">
      <c r="A2044" s="1">
        <v>43103</v>
      </c>
      <c r="B2044">
        <v>45.91</v>
      </c>
      <c r="C2044" s="2">
        <f t="shared" si="31"/>
        <v>1.6914186871741031E-2</v>
      </c>
    </row>
    <row r="2045" spans="1:3" x14ac:dyDescent="0.2">
      <c r="A2045" s="1">
        <v>43102</v>
      </c>
      <c r="B2045">
        <v>45.14</v>
      </c>
      <c r="C2045" s="2">
        <f t="shared" si="31"/>
        <v>-1.7706954604340933E-3</v>
      </c>
    </row>
    <row r="2046" spans="1:3" x14ac:dyDescent="0.2">
      <c r="A2046" s="1">
        <v>43098</v>
      </c>
      <c r="B2046">
        <v>45.22</v>
      </c>
      <c r="C2046" s="2">
        <f t="shared" si="31"/>
        <v>-9.0259280894874998E-3</v>
      </c>
    </row>
    <row r="2047" spans="1:3" x14ac:dyDescent="0.2">
      <c r="A2047" s="1">
        <v>43097</v>
      </c>
      <c r="B2047">
        <v>45.63</v>
      </c>
      <c r="C2047" s="2">
        <f t="shared" si="31"/>
        <v>1.020530528055757E-2</v>
      </c>
    </row>
    <row r="2048" spans="1:3" x14ac:dyDescent="0.2">
      <c r="A2048" s="1">
        <v>43096</v>
      </c>
      <c r="B2048">
        <v>45.166699999999999</v>
      </c>
      <c r="C2048" s="2">
        <f t="shared" si="31"/>
        <v>7.7056212859726286E-3</v>
      </c>
    </row>
    <row r="2049" spans="1:3" x14ac:dyDescent="0.2">
      <c r="A2049" s="1">
        <v>43095</v>
      </c>
      <c r="B2049">
        <v>44.82</v>
      </c>
      <c r="C2049" s="2">
        <f t="shared" si="31"/>
        <v>-9.6562020720677869E-4</v>
      </c>
    </row>
    <row r="2050" spans="1:3" x14ac:dyDescent="0.2">
      <c r="A2050" s="1">
        <v>43091</v>
      </c>
      <c r="B2050">
        <v>44.863300000000002</v>
      </c>
      <c r="C2050" s="2">
        <f t="shared" si="31"/>
        <v>-2.2265128884166097E-3</v>
      </c>
    </row>
    <row r="2051" spans="1:3" x14ac:dyDescent="0.2">
      <c r="A2051" s="1">
        <v>43090</v>
      </c>
      <c r="B2051">
        <v>44.963299999999997</v>
      </c>
      <c r="C2051" s="2">
        <f t="shared" ref="C2051:C2114" si="32">+LN(B2051/B2052)</f>
        <v>1.1330919708685182E-2</v>
      </c>
    </row>
    <row r="2052" spans="1:3" x14ac:dyDescent="0.2">
      <c r="A2052" s="1">
        <v>43089</v>
      </c>
      <c r="B2052">
        <v>44.456699999999998</v>
      </c>
      <c r="C2052" s="2">
        <f t="shared" si="32"/>
        <v>-8.0651560576868869E-3</v>
      </c>
    </row>
    <row r="2053" spans="1:3" x14ac:dyDescent="0.2">
      <c r="A2053" s="1">
        <v>43088</v>
      </c>
      <c r="B2053">
        <v>44.816699999999997</v>
      </c>
      <c r="C2053" s="2">
        <f t="shared" si="32"/>
        <v>7.541187875079099E-3</v>
      </c>
    </row>
    <row r="2054" spans="1:3" x14ac:dyDescent="0.2">
      <c r="A2054" s="1">
        <v>43087</v>
      </c>
      <c r="B2054">
        <v>44.48</v>
      </c>
      <c r="C2054" s="2">
        <f t="shared" si="32"/>
        <v>-1.0660154372788952E-2</v>
      </c>
    </row>
    <row r="2055" spans="1:3" x14ac:dyDescent="0.2">
      <c r="A2055" s="1">
        <v>43084</v>
      </c>
      <c r="B2055">
        <v>44.956699999999998</v>
      </c>
      <c r="C2055" s="2">
        <f t="shared" si="32"/>
        <v>3.0947746367642647E-2</v>
      </c>
    </row>
    <row r="2056" spans="1:3" x14ac:dyDescent="0.2">
      <c r="A2056" s="1">
        <v>43083</v>
      </c>
      <c r="B2056">
        <v>43.5867</v>
      </c>
      <c r="C2056" s="2">
        <f t="shared" si="32"/>
        <v>-7.7702777102947405E-3</v>
      </c>
    </row>
    <row r="2057" spans="1:3" x14ac:dyDescent="0.2">
      <c r="A2057" s="1">
        <v>43082</v>
      </c>
      <c r="B2057">
        <v>43.926699999999997</v>
      </c>
      <c r="C2057" s="2">
        <f t="shared" si="32"/>
        <v>1.892277535381191E-2</v>
      </c>
    </row>
    <row r="2058" spans="1:3" x14ac:dyDescent="0.2">
      <c r="A2058" s="1">
        <v>43081</v>
      </c>
      <c r="B2058">
        <v>43.103299999999997</v>
      </c>
      <c r="C2058" s="2">
        <f t="shared" si="32"/>
        <v>-1.1991850977969011E-2</v>
      </c>
    </row>
    <row r="2059" spans="1:3" x14ac:dyDescent="0.2">
      <c r="A2059" s="1">
        <v>43080</v>
      </c>
      <c r="B2059">
        <v>43.6233</v>
      </c>
      <c r="C2059" s="2">
        <f t="shared" si="32"/>
        <v>6.054054150534084E-3</v>
      </c>
    </row>
    <row r="2060" spans="1:3" x14ac:dyDescent="0.2">
      <c r="A2060" s="1">
        <v>43077</v>
      </c>
      <c r="B2060">
        <v>43.36</v>
      </c>
      <c r="C2060" s="2">
        <f t="shared" si="32"/>
        <v>1.0122555092505148E-2</v>
      </c>
    </row>
    <row r="2061" spans="1:3" x14ac:dyDescent="0.2">
      <c r="A2061" s="1">
        <v>43076</v>
      </c>
      <c r="B2061">
        <v>42.923299999999998</v>
      </c>
      <c r="C2061" s="2">
        <f t="shared" si="32"/>
        <v>1.1655474846420204E-3</v>
      </c>
    </row>
    <row r="2062" spans="1:3" x14ac:dyDescent="0.2">
      <c r="A2062" s="1">
        <v>43075</v>
      </c>
      <c r="B2062">
        <v>42.8733</v>
      </c>
      <c r="C2062" s="2">
        <f t="shared" si="32"/>
        <v>8.4322864032785674E-3</v>
      </c>
    </row>
    <row r="2063" spans="1:3" x14ac:dyDescent="0.2">
      <c r="A2063" s="1">
        <v>43074</v>
      </c>
      <c r="B2063">
        <v>42.513300000000001</v>
      </c>
      <c r="C2063" s="2">
        <f t="shared" si="32"/>
        <v>-9.0548577830061837E-3</v>
      </c>
    </row>
    <row r="2064" spans="1:3" x14ac:dyDescent="0.2">
      <c r="A2064" s="1">
        <v>43073</v>
      </c>
      <c r="B2064">
        <v>42.9</v>
      </c>
      <c r="C2064" s="2">
        <f t="shared" si="32"/>
        <v>-5.8870660756213762E-3</v>
      </c>
    </row>
    <row r="2065" spans="1:3" x14ac:dyDescent="0.2">
      <c r="A2065" s="1">
        <v>43070</v>
      </c>
      <c r="B2065">
        <v>43.153300000000002</v>
      </c>
      <c r="C2065" s="2">
        <f t="shared" si="32"/>
        <v>-1.63190875478928E-2</v>
      </c>
    </row>
    <row r="2066" spans="1:3" x14ac:dyDescent="0.2">
      <c r="A2066" s="1">
        <v>43069</v>
      </c>
      <c r="B2066">
        <v>43.863300000000002</v>
      </c>
      <c r="C2066" s="2">
        <f t="shared" si="32"/>
        <v>2.1118167606425237E-2</v>
      </c>
    </row>
    <row r="2067" spans="1:3" x14ac:dyDescent="0.2">
      <c r="A2067" s="1">
        <v>43068</v>
      </c>
      <c r="B2067">
        <v>42.9467</v>
      </c>
      <c r="C2067" s="2">
        <f t="shared" si="32"/>
        <v>-2.3017724036849527E-2</v>
      </c>
    </row>
    <row r="2068" spans="1:3" x14ac:dyDescent="0.2">
      <c r="A2068" s="1">
        <v>43067</v>
      </c>
      <c r="B2068">
        <v>43.9467</v>
      </c>
      <c r="C2068" s="2">
        <f t="shared" si="32"/>
        <v>1.3594711091212843E-2</v>
      </c>
    </row>
    <row r="2069" spans="1:3" x14ac:dyDescent="0.2">
      <c r="A2069" s="1">
        <v>43066</v>
      </c>
      <c r="B2069">
        <v>43.353299999999997</v>
      </c>
      <c r="C2069" s="2">
        <f t="shared" si="32"/>
        <v>-4.9102721760179002E-3</v>
      </c>
    </row>
    <row r="2070" spans="1:3" x14ac:dyDescent="0.2">
      <c r="A2070" s="1">
        <v>43063</v>
      </c>
      <c r="B2070">
        <v>43.566699999999997</v>
      </c>
      <c r="C2070" s="2">
        <f t="shared" si="32"/>
        <v>-1.298314209209937E-3</v>
      </c>
    </row>
    <row r="2071" spans="1:3" x14ac:dyDescent="0.2">
      <c r="A2071" s="1">
        <v>43061</v>
      </c>
      <c r="B2071">
        <v>43.6233</v>
      </c>
      <c r="C2071" s="2">
        <f t="shared" si="32"/>
        <v>-9.3547545756874351E-3</v>
      </c>
    </row>
    <row r="2072" spans="1:3" x14ac:dyDescent="0.2">
      <c r="A2072" s="1">
        <v>43060</v>
      </c>
      <c r="B2072">
        <v>44.033299999999997</v>
      </c>
      <c r="C2072" s="2">
        <f t="shared" si="32"/>
        <v>4.7029451580424455E-3</v>
      </c>
    </row>
    <row r="2073" spans="1:3" x14ac:dyDescent="0.2">
      <c r="A2073" s="1">
        <v>43059</v>
      </c>
      <c r="B2073">
        <v>43.826700000000002</v>
      </c>
      <c r="C2073" s="2">
        <f t="shared" si="32"/>
        <v>1.0781973475534808E-2</v>
      </c>
    </row>
    <row r="2074" spans="1:3" x14ac:dyDescent="0.2">
      <c r="A2074" s="1">
        <v>43056</v>
      </c>
      <c r="B2074">
        <v>43.356699999999996</v>
      </c>
      <c r="C2074" s="2">
        <f t="shared" si="32"/>
        <v>3.0815455200504356E-3</v>
      </c>
    </row>
    <row r="2075" spans="1:3" x14ac:dyDescent="0.2">
      <c r="A2075" s="1">
        <v>43055</v>
      </c>
      <c r="B2075">
        <v>43.223300000000002</v>
      </c>
      <c r="C2075" s="2">
        <f t="shared" si="32"/>
        <v>1.0542779465167212E-2</v>
      </c>
    </row>
    <row r="2076" spans="1:3" x14ac:dyDescent="0.2">
      <c r="A2076" s="1">
        <v>43054</v>
      </c>
      <c r="B2076">
        <v>42.77</v>
      </c>
      <c r="C2076" s="2">
        <f t="shared" si="32"/>
        <v>-8.073470821062783E-3</v>
      </c>
    </row>
    <row r="2077" spans="1:3" x14ac:dyDescent="0.2">
      <c r="A2077" s="1">
        <v>43053</v>
      </c>
      <c r="B2077">
        <v>43.116700000000002</v>
      </c>
      <c r="C2077" s="2">
        <f t="shared" si="32"/>
        <v>4.1066006092452569E-3</v>
      </c>
    </row>
    <row r="2078" spans="1:3" x14ac:dyDescent="0.2">
      <c r="A2078" s="1">
        <v>43052</v>
      </c>
      <c r="B2078">
        <v>42.94</v>
      </c>
      <c r="C2078" s="2">
        <f t="shared" si="32"/>
        <v>-1.0425207359624378E-2</v>
      </c>
    </row>
    <row r="2079" spans="1:3" x14ac:dyDescent="0.2">
      <c r="A2079" s="1">
        <v>43049</v>
      </c>
      <c r="B2079">
        <v>43.39</v>
      </c>
      <c r="C2079" s="2">
        <f t="shared" si="32"/>
        <v>4.6104196298457834E-4</v>
      </c>
    </row>
    <row r="2080" spans="1:3" x14ac:dyDescent="0.2">
      <c r="A2080" s="1">
        <v>43048</v>
      </c>
      <c r="B2080">
        <v>43.37</v>
      </c>
      <c r="C2080" s="2">
        <f t="shared" si="32"/>
        <v>-1.7446641700228964E-2</v>
      </c>
    </row>
    <row r="2081" spans="1:3" x14ac:dyDescent="0.2">
      <c r="A2081" s="1">
        <v>43047</v>
      </c>
      <c r="B2081">
        <v>44.133299999999998</v>
      </c>
      <c r="C2081" s="2">
        <f t="shared" si="32"/>
        <v>4.0868929108475215E-3</v>
      </c>
    </row>
    <row r="2082" spans="1:3" x14ac:dyDescent="0.2">
      <c r="A2082" s="1">
        <v>43046</v>
      </c>
      <c r="B2082">
        <v>43.953299999999999</v>
      </c>
      <c r="C2082" s="2">
        <f t="shared" si="32"/>
        <v>-2.272557809020137E-3</v>
      </c>
    </row>
    <row r="2083" spans="1:3" x14ac:dyDescent="0.2">
      <c r="A2083" s="1">
        <v>43045</v>
      </c>
      <c r="B2083">
        <v>44.0533</v>
      </c>
      <c r="C2083" s="2">
        <f t="shared" si="32"/>
        <v>3.7688727883972031E-4</v>
      </c>
    </row>
    <row r="2084" spans="1:3" x14ac:dyDescent="0.2">
      <c r="A2084" s="1">
        <v>43042</v>
      </c>
      <c r="B2084">
        <v>44.036700000000003</v>
      </c>
      <c r="C2084" s="2">
        <f t="shared" si="32"/>
        <v>7.9796692145779041E-3</v>
      </c>
    </row>
    <row r="2085" spans="1:3" x14ac:dyDescent="0.2">
      <c r="A2085" s="1">
        <v>43041</v>
      </c>
      <c r="B2085">
        <v>43.686700000000002</v>
      </c>
      <c r="C2085" s="2">
        <f t="shared" si="32"/>
        <v>4.3586348042581437E-3</v>
      </c>
    </row>
    <row r="2086" spans="1:3" x14ac:dyDescent="0.2">
      <c r="A2086" s="1">
        <v>43040</v>
      </c>
      <c r="B2086">
        <v>43.496699999999997</v>
      </c>
      <c r="C2086" s="2">
        <f t="shared" si="32"/>
        <v>-9.9123848396876438E-3</v>
      </c>
    </row>
    <row r="2087" spans="1:3" x14ac:dyDescent="0.2">
      <c r="A2087" s="1">
        <v>43039</v>
      </c>
      <c r="B2087">
        <v>43.93</v>
      </c>
      <c r="C2087" s="2">
        <f t="shared" si="32"/>
        <v>7.9234085294137488E-3</v>
      </c>
    </row>
    <row r="2088" spans="1:3" x14ac:dyDescent="0.2">
      <c r="A2088" s="1">
        <v>43038</v>
      </c>
      <c r="B2088">
        <v>43.583300000000001</v>
      </c>
      <c r="C2088" s="2">
        <f t="shared" si="32"/>
        <v>-1.6084868476832277E-2</v>
      </c>
    </row>
    <row r="2089" spans="1:3" x14ac:dyDescent="0.2">
      <c r="A2089" s="1">
        <v>43035</v>
      </c>
      <c r="B2089">
        <v>44.29</v>
      </c>
      <c r="C2089" s="2">
        <f t="shared" si="32"/>
        <v>-4.730271237087723E-3</v>
      </c>
    </row>
    <row r="2090" spans="1:3" x14ac:dyDescent="0.2">
      <c r="A2090" s="1">
        <v>43034</v>
      </c>
      <c r="B2090">
        <v>44.5</v>
      </c>
      <c r="C2090" s="2">
        <f t="shared" si="32"/>
        <v>4.2696409314605381E-2</v>
      </c>
    </row>
    <row r="2091" spans="1:3" x14ac:dyDescent="0.2">
      <c r="A2091" s="1">
        <v>43033</v>
      </c>
      <c r="B2091">
        <v>42.64</v>
      </c>
      <c r="C2091" s="2">
        <f t="shared" si="32"/>
        <v>-9.9572968163111203E-3</v>
      </c>
    </row>
    <row r="2092" spans="1:3" x14ac:dyDescent="0.2">
      <c r="A2092" s="1">
        <v>43032</v>
      </c>
      <c r="B2092">
        <v>43.066699999999997</v>
      </c>
      <c r="C2092" s="2">
        <f t="shared" si="32"/>
        <v>1.5365893187401017E-2</v>
      </c>
    </row>
    <row r="2093" spans="1:3" x14ac:dyDescent="0.2">
      <c r="A2093" s="1">
        <v>43031</v>
      </c>
      <c r="B2093">
        <v>42.41</v>
      </c>
      <c r="C2093" s="2">
        <f t="shared" si="32"/>
        <v>-5.720461432186027E-3</v>
      </c>
    </row>
    <row r="2094" spans="1:3" x14ac:dyDescent="0.2">
      <c r="A2094" s="1">
        <v>43028</v>
      </c>
      <c r="B2094">
        <v>42.653300000000002</v>
      </c>
      <c r="C2094" s="2">
        <f t="shared" si="32"/>
        <v>1.5751743451459934E-2</v>
      </c>
    </row>
    <row r="2095" spans="1:3" x14ac:dyDescent="0.2">
      <c r="A2095" s="1">
        <v>43027</v>
      </c>
      <c r="B2095">
        <v>41.986699999999999</v>
      </c>
      <c r="C2095" s="2">
        <f t="shared" si="32"/>
        <v>-6.646640511012724E-3</v>
      </c>
    </row>
    <row r="2096" spans="1:3" x14ac:dyDescent="0.2">
      <c r="A2096" s="1">
        <v>43026</v>
      </c>
      <c r="B2096">
        <v>42.2667</v>
      </c>
      <c r="C2096" s="2">
        <f t="shared" si="32"/>
        <v>1.2539640329183354E-2</v>
      </c>
    </row>
    <row r="2097" spans="1:3" x14ac:dyDescent="0.2">
      <c r="A2097" s="1">
        <v>43025</v>
      </c>
      <c r="B2097">
        <v>41.74</v>
      </c>
      <c r="C2097" s="2">
        <f t="shared" si="32"/>
        <v>-1.5138781240954658E-2</v>
      </c>
    </row>
    <row r="2098" spans="1:3" x14ac:dyDescent="0.2">
      <c r="A2098" s="1">
        <v>43024</v>
      </c>
      <c r="B2098">
        <v>42.3767</v>
      </c>
      <c r="C2098" s="2">
        <f t="shared" si="32"/>
        <v>1.3463137521535759E-2</v>
      </c>
    </row>
    <row r="2099" spans="1:3" x14ac:dyDescent="0.2">
      <c r="A2099" s="1">
        <v>43021</v>
      </c>
      <c r="B2099">
        <v>41.81</v>
      </c>
      <c r="C2099" s="2">
        <f t="shared" si="32"/>
        <v>2.8742534757682219E-3</v>
      </c>
    </row>
    <row r="2100" spans="1:3" x14ac:dyDescent="0.2">
      <c r="A2100" s="1">
        <v>43020</v>
      </c>
      <c r="B2100">
        <v>41.69</v>
      </c>
      <c r="C2100" s="2">
        <f t="shared" si="32"/>
        <v>6.0943303170029103E-3</v>
      </c>
    </row>
    <row r="2101" spans="1:3" x14ac:dyDescent="0.2">
      <c r="A2101" s="1">
        <v>43019</v>
      </c>
      <c r="B2101">
        <v>41.436700000000002</v>
      </c>
      <c r="C2101" s="2">
        <f t="shared" si="32"/>
        <v>3.0623601670293349E-3</v>
      </c>
    </row>
    <row r="2102" spans="1:3" x14ac:dyDescent="0.2">
      <c r="A2102" s="1">
        <v>43018</v>
      </c>
      <c r="B2102">
        <v>41.31</v>
      </c>
      <c r="C2102" s="2">
        <f t="shared" si="32"/>
        <v>-2.4204284276455328E-4</v>
      </c>
    </row>
    <row r="2103" spans="1:3" x14ac:dyDescent="0.2">
      <c r="A2103" s="1">
        <v>43017</v>
      </c>
      <c r="B2103">
        <v>41.32</v>
      </c>
      <c r="C2103" s="2">
        <f t="shared" si="32"/>
        <v>-7.7145994953303236E-3</v>
      </c>
    </row>
    <row r="2104" spans="1:3" x14ac:dyDescent="0.2">
      <c r="A2104" s="1">
        <v>43014</v>
      </c>
      <c r="B2104">
        <v>41.64</v>
      </c>
      <c r="C2104" s="2">
        <f t="shared" si="32"/>
        <v>2.4838699566116186E-3</v>
      </c>
    </row>
    <row r="2105" spans="1:3" x14ac:dyDescent="0.2">
      <c r="A2105" s="1">
        <v>43013</v>
      </c>
      <c r="B2105">
        <v>41.536700000000003</v>
      </c>
      <c r="C2105" s="2">
        <f t="shared" si="32"/>
        <v>-2.0034471753318504E-3</v>
      </c>
    </row>
    <row r="2106" spans="1:3" x14ac:dyDescent="0.2">
      <c r="A2106" s="1">
        <v>43012</v>
      </c>
      <c r="B2106">
        <v>41.62</v>
      </c>
      <c r="C2106" s="2">
        <f t="shared" si="32"/>
        <v>4.0929393841843114E-3</v>
      </c>
    </row>
    <row r="2107" spans="1:3" x14ac:dyDescent="0.2">
      <c r="A2107" s="1">
        <v>43011</v>
      </c>
      <c r="B2107">
        <v>41.45</v>
      </c>
      <c r="C2107" s="2">
        <f t="shared" si="32"/>
        <v>-3.6916094627764437E-3</v>
      </c>
    </row>
    <row r="2108" spans="1:3" x14ac:dyDescent="0.2">
      <c r="A2108" s="1">
        <v>43010</v>
      </c>
      <c r="B2108">
        <v>41.603299999999997</v>
      </c>
      <c r="C2108" s="2">
        <f t="shared" si="32"/>
        <v>9.0133443252719443E-3</v>
      </c>
    </row>
    <row r="2109" spans="1:3" x14ac:dyDescent="0.2">
      <c r="A2109" s="1">
        <v>43007</v>
      </c>
      <c r="B2109">
        <v>41.23</v>
      </c>
      <c r="C2109" s="2">
        <f t="shared" si="32"/>
        <v>2.0224172221659483E-3</v>
      </c>
    </row>
    <row r="2110" spans="1:3" x14ac:dyDescent="0.2">
      <c r="A2110" s="1">
        <v>43006</v>
      </c>
      <c r="B2110">
        <v>41.146700000000003</v>
      </c>
      <c r="C2110" s="2">
        <f t="shared" si="32"/>
        <v>2.6769412238592184E-3</v>
      </c>
    </row>
    <row r="2111" spans="1:3" x14ac:dyDescent="0.2">
      <c r="A2111" s="1">
        <v>43005</v>
      </c>
      <c r="B2111">
        <v>41.036700000000003</v>
      </c>
      <c r="C2111" s="2">
        <f t="shared" si="32"/>
        <v>1.2424347632566215E-2</v>
      </c>
    </row>
    <row r="2112" spans="1:3" x14ac:dyDescent="0.2">
      <c r="A2112" s="1">
        <v>43004</v>
      </c>
      <c r="B2112">
        <v>40.53</v>
      </c>
      <c r="C2112" s="2">
        <f t="shared" si="32"/>
        <v>-6.3136072345846049E-3</v>
      </c>
    </row>
    <row r="2113" spans="1:3" x14ac:dyDescent="0.2">
      <c r="A2113" s="1">
        <v>43003</v>
      </c>
      <c r="B2113">
        <v>40.786700000000003</v>
      </c>
      <c r="C2113" s="2">
        <f t="shared" si="32"/>
        <v>-3.2603353531413345E-4</v>
      </c>
    </row>
    <row r="2114" spans="1:3" x14ac:dyDescent="0.2">
      <c r="A2114" s="1">
        <v>43000</v>
      </c>
      <c r="B2114">
        <v>40.799999999999997</v>
      </c>
      <c r="C2114" s="2">
        <f t="shared" si="32"/>
        <v>1.8816711941465783E-3</v>
      </c>
    </row>
    <row r="2115" spans="1:3" x14ac:dyDescent="0.2">
      <c r="A2115" s="1">
        <v>42999</v>
      </c>
      <c r="B2115">
        <v>40.723300000000002</v>
      </c>
      <c r="C2115" s="2">
        <f t="shared" ref="C2115:C2178" si="33">+LN(B2115/B2116)</f>
        <v>-3.7598083506663322E-3</v>
      </c>
    </row>
    <row r="2116" spans="1:3" x14ac:dyDescent="0.2">
      <c r="A2116" s="1">
        <v>42998</v>
      </c>
      <c r="B2116">
        <v>40.8767</v>
      </c>
      <c r="C2116" s="2">
        <f t="shared" si="33"/>
        <v>6.2996624143971842E-3</v>
      </c>
    </row>
    <row r="2117" spans="1:3" x14ac:dyDescent="0.2">
      <c r="A2117" s="1">
        <v>42997</v>
      </c>
      <c r="B2117">
        <v>40.619999999999997</v>
      </c>
      <c r="C2117" s="2">
        <f t="shared" si="33"/>
        <v>1.0062769473512777E-2</v>
      </c>
    </row>
    <row r="2118" spans="1:3" x14ac:dyDescent="0.2">
      <c r="A2118" s="1">
        <v>42996</v>
      </c>
      <c r="B2118">
        <v>40.213299999999997</v>
      </c>
      <c r="C2118" s="2">
        <f t="shared" si="33"/>
        <v>6.068613955493656E-3</v>
      </c>
    </row>
    <row r="2119" spans="1:3" x14ac:dyDescent="0.2">
      <c r="A2119" s="1">
        <v>42993</v>
      </c>
      <c r="B2119">
        <v>39.97</v>
      </c>
      <c r="C2119" s="2">
        <f t="shared" si="33"/>
        <v>1.1912048609973306E-2</v>
      </c>
    </row>
    <row r="2120" spans="1:3" x14ac:dyDescent="0.2">
      <c r="A2120" s="1">
        <v>42992</v>
      </c>
      <c r="B2120">
        <v>39.496699999999997</v>
      </c>
      <c r="C2120" s="2">
        <f t="shared" si="33"/>
        <v>1.0606296938676858E-2</v>
      </c>
    </row>
    <row r="2121" spans="1:3" x14ac:dyDescent="0.2">
      <c r="A2121" s="1">
        <v>42991</v>
      </c>
      <c r="B2121">
        <v>39.08</v>
      </c>
      <c r="C2121" s="2">
        <f t="shared" si="33"/>
        <v>8.4445735348465329E-5</v>
      </c>
    </row>
    <row r="2122" spans="1:3" x14ac:dyDescent="0.2">
      <c r="A2122" s="1">
        <v>42990</v>
      </c>
      <c r="B2122">
        <v>39.076700000000002</v>
      </c>
      <c r="C2122" s="2">
        <f t="shared" si="33"/>
        <v>5.476020869003651E-3</v>
      </c>
    </row>
    <row r="2123" spans="1:3" x14ac:dyDescent="0.2">
      <c r="A2123" s="1">
        <v>42989</v>
      </c>
      <c r="B2123">
        <v>38.863300000000002</v>
      </c>
      <c r="C2123" s="2">
        <f t="shared" si="33"/>
        <v>8.2680759253097799E-3</v>
      </c>
    </row>
    <row r="2124" spans="1:3" x14ac:dyDescent="0.2">
      <c r="A2124" s="1">
        <v>42986</v>
      </c>
      <c r="B2124">
        <v>38.543300000000002</v>
      </c>
      <c r="C2124" s="2">
        <f t="shared" si="33"/>
        <v>2.1635444842862165E-3</v>
      </c>
    </row>
    <row r="2125" spans="1:3" x14ac:dyDescent="0.2">
      <c r="A2125" s="1">
        <v>42985</v>
      </c>
      <c r="B2125">
        <v>38.46</v>
      </c>
      <c r="C2125" s="2">
        <f t="shared" si="33"/>
        <v>9.5803265103060475E-3</v>
      </c>
    </row>
    <row r="2126" spans="1:3" x14ac:dyDescent="0.2">
      <c r="A2126" s="1">
        <v>42984</v>
      </c>
      <c r="B2126">
        <v>38.093299999999999</v>
      </c>
      <c r="C2126" s="2">
        <f t="shared" si="33"/>
        <v>-1.6629512029001433E-3</v>
      </c>
    </row>
    <row r="2127" spans="1:3" x14ac:dyDescent="0.2">
      <c r="A2127" s="1">
        <v>42983</v>
      </c>
      <c r="B2127">
        <v>38.156700000000001</v>
      </c>
      <c r="C2127" s="2">
        <f t="shared" si="33"/>
        <v>-1.912063443290694E-2</v>
      </c>
    </row>
    <row r="2128" spans="1:3" x14ac:dyDescent="0.2">
      <c r="A2128" s="1">
        <v>42979</v>
      </c>
      <c r="B2128">
        <v>38.893300000000004</v>
      </c>
      <c r="C2128" s="2">
        <f t="shared" si="33"/>
        <v>1.0078047379941172E-2</v>
      </c>
    </row>
    <row r="2129" spans="1:3" x14ac:dyDescent="0.2">
      <c r="A2129" s="1">
        <v>42978</v>
      </c>
      <c r="B2129">
        <v>38.503300000000003</v>
      </c>
      <c r="C2129" s="2">
        <f t="shared" si="33"/>
        <v>1.6143824888716796E-2</v>
      </c>
    </row>
    <row r="2130" spans="1:3" x14ac:dyDescent="0.2">
      <c r="A2130" s="1">
        <v>42977</v>
      </c>
      <c r="B2130">
        <v>37.886699999999998</v>
      </c>
      <c r="C2130" s="2">
        <f t="shared" si="33"/>
        <v>4.6748157472109161E-3</v>
      </c>
    </row>
    <row r="2131" spans="1:3" x14ac:dyDescent="0.2">
      <c r="A2131" s="1">
        <v>42976</v>
      </c>
      <c r="B2131">
        <v>37.71</v>
      </c>
      <c r="C2131" s="2">
        <f t="shared" si="33"/>
        <v>-9.939828554477316E-3</v>
      </c>
    </row>
    <row r="2132" spans="1:3" x14ac:dyDescent="0.2">
      <c r="A2132" s="1">
        <v>42975</v>
      </c>
      <c r="B2132">
        <v>38.0867</v>
      </c>
      <c r="C2132" s="2">
        <f t="shared" si="33"/>
        <v>7.3788042286432294E-3</v>
      </c>
    </row>
    <row r="2133" spans="1:3" x14ac:dyDescent="0.2">
      <c r="A2133" s="1">
        <v>42972</v>
      </c>
      <c r="B2133">
        <v>37.806699999999999</v>
      </c>
      <c r="C2133" s="2">
        <f t="shared" si="33"/>
        <v>9.5677470054320538E-3</v>
      </c>
    </row>
    <row r="2134" spans="1:3" x14ac:dyDescent="0.2">
      <c r="A2134" s="1">
        <v>42971</v>
      </c>
      <c r="B2134">
        <v>37.4467</v>
      </c>
      <c r="C2134" s="2">
        <f t="shared" si="33"/>
        <v>1.2478841701814125E-3</v>
      </c>
    </row>
    <row r="2135" spans="1:3" x14ac:dyDescent="0.2">
      <c r="A2135" s="1">
        <v>42970</v>
      </c>
      <c r="B2135">
        <v>37.4</v>
      </c>
      <c r="C2135" s="2">
        <f t="shared" si="33"/>
        <v>-1.5652262779048003E-2</v>
      </c>
    </row>
    <row r="2136" spans="1:3" x14ac:dyDescent="0.2">
      <c r="A2136" s="1">
        <v>42969</v>
      </c>
      <c r="B2136">
        <v>37.99</v>
      </c>
      <c r="C2136" s="2">
        <f t="shared" si="33"/>
        <v>8.8120739384396282E-3</v>
      </c>
    </row>
    <row r="2137" spans="1:3" x14ac:dyDescent="0.2">
      <c r="A2137" s="1">
        <v>42968</v>
      </c>
      <c r="B2137">
        <v>37.656700000000001</v>
      </c>
      <c r="C2137" s="2">
        <f t="shared" si="33"/>
        <v>5.3252940925515389E-3</v>
      </c>
    </row>
    <row r="2138" spans="1:3" x14ac:dyDescent="0.2">
      <c r="A2138" s="1">
        <v>42965</v>
      </c>
      <c r="B2138">
        <v>37.456699999999998</v>
      </c>
      <c r="C2138" s="2">
        <f t="shared" si="33"/>
        <v>-9.0361980586920933E-3</v>
      </c>
    </row>
    <row r="2139" spans="1:3" x14ac:dyDescent="0.2">
      <c r="A2139" s="1">
        <v>42964</v>
      </c>
      <c r="B2139">
        <v>37.796700000000001</v>
      </c>
      <c r="C2139" s="2">
        <f t="shared" si="33"/>
        <v>-1.912971019550478E-2</v>
      </c>
    </row>
    <row r="2140" spans="1:3" x14ac:dyDescent="0.2">
      <c r="A2140" s="1">
        <v>42963</v>
      </c>
      <c r="B2140">
        <v>38.526699999999998</v>
      </c>
      <c r="C2140" s="2">
        <f t="shared" si="33"/>
        <v>4.8577698052412717E-3</v>
      </c>
    </row>
    <row r="2141" spans="1:3" x14ac:dyDescent="0.2">
      <c r="A2141" s="1">
        <v>42962</v>
      </c>
      <c r="B2141">
        <v>38.340000000000003</v>
      </c>
      <c r="C2141" s="2">
        <f t="shared" si="33"/>
        <v>7.2431743058617411E-3</v>
      </c>
    </row>
    <row r="2142" spans="1:3" x14ac:dyDescent="0.2">
      <c r="A2142" s="1">
        <v>42961</v>
      </c>
      <c r="B2142">
        <v>38.063299999999998</v>
      </c>
      <c r="C2142" s="2">
        <f t="shared" si="33"/>
        <v>1.3489306140059179E-2</v>
      </c>
    </row>
    <row r="2143" spans="1:3" x14ac:dyDescent="0.2">
      <c r="A2143" s="1">
        <v>42958</v>
      </c>
      <c r="B2143">
        <v>37.5533</v>
      </c>
      <c r="C2143" s="2">
        <f t="shared" si="33"/>
        <v>1.6870264237568583E-3</v>
      </c>
    </row>
    <row r="2144" spans="1:3" x14ac:dyDescent="0.2">
      <c r="A2144" s="1">
        <v>42957</v>
      </c>
      <c r="B2144">
        <v>37.49</v>
      </c>
      <c r="C2144" s="2">
        <f t="shared" si="33"/>
        <v>-1.579090907692237E-2</v>
      </c>
    </row>
    <row r="2145" spans="1:3" x14ac:dyDescent="0.2">
      <c r="A2145" s="1">
        <v>42956</v>
      </c>
      <c r="B2145">
        <v>38.0867</v>
      </c>
      <c r="C2145" s="2">
        <f t="shared" si="33"/>
        <v>-1.4078607369608979E-2</v>
      </c>
    </row>
    <row r="2146" spans="1:3" x14ac:dyDescent="0.2">
      <c r="A2146" s="1">
        <v>42955</v>
      </c>
      <c r="B2146">
        <v>38.6267</v>
      </c>
      <c r="C2146" s="2">
        <f t="shared" si="33"/>
        <v>3.2855059006134889E-3</v>
      </c>
    </row>
    <row r="2147" spans="1:3" x14ac:dyDescent="0.2">
      <c r="A2147" s="1">
        <v>42954</v>
      </c>
      <c r="B2147">
        <v>38.5</v>
      </c>
      <c r="C2147" s="2">
        <f t="shared" si="33"/>
        <v>7.3856484385157028E-3</v>
      </c>
    </row>
    <row r="2148" spans="1:3" x14ac:dyDescent="0.2">
      <c r="A2148" s="1">
        <v>42951</v>
      </c>
      <c r="B2148">
        <v>38.216700000000003</v>
      </c>
      <c r="C2148" s="2">
        <f t="shared" si="33"/>
        <v>9.0262145214771647E-3</v>
      </c>
    </row>
    <row r="2149" spans="1:3" x14ac:dyDescent="0.2">
      <c r="A2149" s="1">
        <v>42950</v>
      </c>
      <c r="B2149">
        <v>37.8733</v>
      </c>
      <c r="C2149" s="2">
        <f t="shared" si="33"/>
        <v>-9.6855119449777325E-4</v>
      </c>
    </row>
    <row r="2150" spans="1:3" x14ac:dyDescent="0.2">
      <c r="A2150" s="1">
        <v>42949</v>
      </c>
      <c r="B2150">
        <v>37.909999999999997</v>
      </c>
      <c r="C2150" s="2">
        <f t="shared" si="33"/>
        <v>-4.0356337833933548E-3</v>
      </c>
    </row>
    <row r="2151" spans="1:3" x14ac:dyDescent="0.2">
      <c r="A2151" s="1">
        <v>42948</v>
      </c>
      <c r="B2151">
        <v>38.063299999999998</v>
      </c>
      <c r="C2151" s="2">
        <f t="shared" si="33"/>
        <v>-1.6072107273456874E-2</v>
      </c>
    </row>
    <row r="2152" spans="1:3" x14ac:dyDescent="0.2">
      <c r="A2152" s="1">
        <v>42947</v>
      </c>
      <c r="B2152">
        <v>38.68</v>
      </c>
      <c r="C2152" s="2">
        <f t="shared" si="33"/>
        <v>2.0548355126954642E-2</v>
      </c>
    </row>
    <row r="2153" spans="1:3" x14ac:dyDescent="0.2">
      <c r="A2153" s="1">
        <v>42944</v>
      </c>
      <c r="B2153">
        <v>37.893300000000004</v>
      </c>
      <c r="C2153" s="2">
        <f t="shared" si="33"/>
        <v>-1.4930224453727985E-2</v>
      </c>
    </row>
    <row r="2154" spans="1:3" x14ac:dyDescent="0.2">
      <c r="A2154" s="1">
        <v>42943</v>
      </c>
      <c r="B2154">
        <v>38.463299999999997</v>
      </c>
      <c r="C2154" s="2">
        <f t="shared" si="33"/>
        <v>8.5728095922748465E-2</v>
      </c>
    </row>
    <row r="2155" spans="1:3" x14ac:dyDescent="0.2">
      <c r="A2155" s="1">
        <v>42942</v>
      </c>
      <c r="B2155">
        <v>35.3033</v>
      </c>
      <c r="C2155" s="2">
        <f t="shared" si="33"/>
        <v>-1.7409666049068056E-2</v>
      </c>
    </row>
    <row r="2156" spans="1:3" x14ac:dyDescent="0.2">
      <c r="A2156" s="1">
        <v>42941</v>
      </c>
      <c r="B2156">
        <v>35.923299999999998</v>
      </c>
      <c r="C2156" s="2">
        <f t="shared" si="33"/>
        <v>7.4074077461088578E-4</v>
      </c>
    </row>
    <row r="2157" spans="1:3" x14ac:dyDescent="0.2">
      <c r="A2157" s="1">
        <v>42940</v>
      </c>
      <c r="B2157">
        <v>35.896700000000003</v>
      </c>
      <c r="C2157" s="2">
        <f t="shared" si="33"/>
        <v>-2.317859258811175E-3</v>
      </c>
    </row>
    <row r="2158" spans="1:3" x14ac:dyDescent="0.2">
      <c r="A2158" s="1">
        <v>42937</v>
      </c>
      <c r="B2158">
        <v>35.979999999999997</v>
      </c>
      <c r="C2158" s="2">
        <f t="shared" si="33"/>
        <v>-7.6609632859898523E-3</v>
      </c>
    </row>
    <row r="2159" spans="1:3" x14ac:dyDescent="0.2">
      <c r="A2159" s="1">
        <v>42936</v>
      </c>
      <c r="B2159">
        <v>36.256700000000002</v>
      </c>
      <c r="C2159" s="2">
        <f t="shared" si="33"/>
        <v>-7.5999816282532164E-3</v>
      </c>
    </row>
    <row r="2160" spans="1:3" x14ac:dyDescent="0.2">
      <c r="A2160" s="1">
        <v>42935</v>
      </c>
      <c r="B2160">
        <v>36.533299999999997</v>
      </c>
      <c r="C2160" s="2">
        <f t="shared" si="33"/>
        <v>1.4427495775846191E-2</v>
      </c>
    </row>
    <row r="2161" spans="1:3" x14ac:dyDescent="0.2">
      <c r="A2161" s="1">
        <v>42934</v>
      </c>
      <c r="B2161">
        <v>36.01</v>
      </c>
      <c r="C2161" s="2">
        <f t="shared" si="33"/>
        <v>-2.7766208702626274E-4</v>
      </c>
    </row>
    <row r="2162" spans="1:3" x14ac:dyDescent="0.2">
      <c r="A2162" s="1">
        <v>42933</v>
      </c>
      <c r="B2162">
        <v>36.020000000000003</v>
      </c>
      <c r="C2162" s="2">
        <f t="shared" si="33"/>
        <v>-1.8599047615812443E-4</v>
      </c>
    </row>
    <row r="2163" spans="1:3" x14ac:dyDescent="0.2">
      <c r="A2163" s="1">
        <v>42930</v>
      </c>
      <c r="B2163">
        <v>36.026699999999998</v>
      </c>
      <c r="C2163" s="2">
        <f t="shared" si="33"/>
        <v>-1.4783649704546596E-3</v>
      </c>
    </row>
    <row r="2164" spans="1:3" x14ac:dyDescent="0.2">
      <c r="A2164" s="1">
        <v>42929</v>
      </c>
      <c r="B2164">
        <v>36.08</v>
      </c>
      <c r="C2164" s="2">
        <f t="shared" si="33"/>
        <v>-1.41264683460611E-2</v>
      </c>
    </row>
    <row r="2165" spans="1:3" x14ac:dyDescent="0.2">
      <c r="A2165" s="1">
        <v>42928</v>
      </c>
      <c r="B2165">
        <v>36.593299999999999</v>
      </c>
      <c r="C2165" s="2">
        <f t="shared" si="33"/>
        <v>5.5711519164154946E-3</v>
      </c>
    </row>
    <row r="2166" spans="1:3" x14ac:dyDescent="0.2">
      <c r="A2166" s="1">
        <v>42927</v>
      </c>
      <c r="B2166">
        <v>36.39</v>
      </c>
      <c r="C2166" s="2">
        <f t="shared" si="33"/>
        <v>3.8546303233847586E-3</v>
      </c>
    </row>
    <row r="2167" spans="1:3" x14ac:dyDescent="0.2">
      <c r="A2167" s="1">
        <v>42926</v>
      </c>
      <c r="B2167">
        <v>36.25</v>
      </c>
      <c r="C2167" s="2">
        <f t="shared" si="33"/>
        <v>2.3005753297178451E-3</v>
      </c>
    </row>
    <row r="2168" spans="1:3" x14ac:dyDescent="0.2">
      <c r="A2168" s="1">
        <v>42923</v>
      </c>
      <c r="B2168">
        <v>36.166699999999999</v>
      </c>
      <c r="C2168" s="2">
        <f t="shared" si="33"/>
        <v>2.0315534249865661E-3</v>
      </c>
    </row>
    <row r="2169" spans="1:3" x14ac:dyDescent="0.2">
      <c r="A2169" s="1">
        <v>42922</v>
      </c>
      <c r="B2169">
        <v>36.093299999999999</v>
      </c>
      <c r="C2169" s="2">
        <f t="shared" si="33"/>
        <v>-9.3759390549019977E-3</v>
      </c>
    </row>
    <row r="2170" spans="1:3" x14ac:dyDescent="0.2">
      <c r="A2170" s="1">
        <v>42921</v>
      </c>
      <c r="B2170">
        <v>36.433300000000003</v>
      </c>
      <c r="C2170" s="2">
        <f t="shared" si="33"/>
        <v>-2.4672214893198701E-3</v>
      </c>
    </row>
    <row r="2171" spans="1:3" x14ac:dyDescent="0.2">
      <c r="A2171" s="1">
        <v>42919</v>
      </c>
      <c r="B2171">
        <v>36.523299999999999</v>
      </c>
      <c r="C2171" s="2">
        <f t="shared" si="33"/>
        <v>2.648390855722744E-3</v>
      </c>
    </row>
    <row r="2172" spans="1:3" x14ac:dyDescent="0.2">
      <c r="A2172" s="1">
        <v>42916</v>
      </c>
      <c r="B2172">
        <v>36.426699999999997</v>
      </c>
      <c r="C2172" s="2">
        <f t="shared" si="33"/>
        <v>4.220088793953811E-3</v>
      </c>
    </row>
    <row r="2173" spans="1:3" x14ac:dyDescent="0.2">
      <c r="A2173" s="1">
        <v>42915</v>
      </c>
      <c r="B2173">
        <v>36.273299999999999</v>
      </c>
      <c r="C2173" s="2">
        <f t="shared" si="33"/>
        <v>-1.9024839508015857E-2</v>
      </c>
    </row>
    <row r="2174" spans="1:3" x14ac:dyDescent="0.2">
      <c r="A2174" s="1">
        <v>42914</v>
      </c>
      <c r="B2174">
        <v>36.97</v>
      </c>
      <c r="C2174" s="2">
        <f t="shared" si="33"/>
        <v>7.057575439797458E-3</v>
      </c>
    </row>
    <row r="2175" spans="1:3" x14ac:dyDescent="0.2">
      <c r="A2175" s="1">
        <v>42913</v>
      </c>
      <c r="B2175">
        <v>36.71</v>
      </c>
      <c r="C2175" s="2">
        <f t="shared" si="33"/>
        <v>-1.1914573655025133E-2</v>
      </c>
    </row>
    <row r="2176" spans="1:3" x14ac:dyDescent="0.2">
      <c r="A2176" s="1">
        <v>42912</v>
      </c>
      <c r="B2176">
        <v>37.15</v>
      </c>
      <c r="C2176" s="2">
        <f t="shared" si="33"/>
        <v>1.6163796622685139E-3</v>
      </c>
    </row>
    <row r="2177" spans="1:3" x14ac:dyDescent="0.2">
      <c r="A2177" s="1">
        <v>42909</v>
      </c>
      <c r="B2177">
        <v>37.090000000000003</v>
      </c>
      <c r="C2177" s="2">
        <f t="shared" si="33"/>
        <v>2.8809320983074222E-3</v>
      </c>
    </row>
    <row r="2178" spans="1:3" x14ac:dyDescent="0.2">
      <c r="A2178" s="1">
        <v>42908</v>
      </c>
      <c r="B2178">
        <v>36.9833</v>
      </c>
      <c r="C2178" s="2">
        <f t="shared" si="33"/>
        <v>2.8865441109434233E-3</v>
      </c>
    </row>
    <row r="2179" spans="1:3" x14ac:dyDescent="0.2">
      <c r="A2179" s="1">
        <v>42907</v>
      </c>
      <c r="B2179">
        <v>36.8767</v>
      </c>
      <c r="C2179" s="2">
        <f t="shared" ref="C2179:C2242" si="34">+LN(B2179/B2180)</f>
        <v>-1.5960697513347256E-2</v>
      </c>
    </row>
    <row r="2180" spans="1:3" x14ac:dyDescent="0.2">
      <c r="A2180" s="1">
        <v>42906</v>
      </c>
      <c r="B2180">
        <v>37.47</v>
      </c>
      <c r="C2180" s="2">
        <f t="shared" si="34"/>
        <v>-1.1497566732409883E-2</v>
      </c>
    </row>
    <row r="2181" spans="1:3" x14ac:dyDescent="0.2">
      <c r="A2181" s="1">
        <v>42905</v>
      </c>
      <c r="B2181">
        <v>37.903300000000002</v>
      </c>
      <c r="C2181" s="2">
        <f t="shared" si="34"/>
        <v>6.3520340194261815E-3</v>
      </c>
    </row>
    <row r="2182" spans="1:3" x14ac:dyDescent="0.2">
      <c r="A2182" s="1">
        <v>42902</v>
      </c>
      <c r="B2182">
        <v>37.6633</v>
      </c>
      <c r="C2182" s="2">
        <f t="shared" si="34"/>
        <v>7.0154410980935653E-3</v>
      </c>
    </row>
    <row r="2183" spans="1:3" x14ac:dyDescent="0.2">
      <c r="A2183" s="1">
        <v>42901</v>
      </c>
      <c r="B2183">
        <v>37.4</v>
      </c>
      <c r="C2183" s="2">
        <f t="shared" si="34"/>
        <v>2.5889098342536856E-3</v>
      </c>
    </row>
    <row r="2184" spans="1:3" x14ac:dyDescent="0.2">
      <c r="A2184" s="1">
        <v>42900</v>
      </c>
      <c r="B2184">
        <v>37.3033</v>
      </c>
      <c r="C2184" s="2">
        <f t="shared" si="34"/>
        <v>6.7243779846180183E-3</v>
      </c>
    </row>
    <row r="2185" spans="1:3" x14ac:dyDescent="0.2">
      <c r="A2185" s="1">
        <v>42899</v>
      </c>
      <c r="B2185">
        <v>37.0533</v>
      </c>
      <c r="C2185" s="2">
        <f t="shared" si="34"/>
        <v>5.2304643599371632E-3</v>
      </c>
    </row>
    <row r="2186" spans="1:3" x14ac:dyDescent="0.2">
      <c r="A2186" s="1">
        <v>42898</v>
      </c>
      <c r="B2186">
        <v>36.86</v>
      </c>
      <c r="C2186" s="2">
        <f t="shared" si="34"/>
        <v>-2.0321148485398947E-2</v>
      </c>
    </row>
    <row r="2187" spans="1:3" x14ac:dyDescent="0.2">
      <c r="A2187" s="1">
        <v>42895</v>
      </c>
      <c r="B2187">
        <v>37.616700000000002</v>
      </c>
      <c r="C2187" s="2">
        <f t="shared" si="34"/>
        <v>3.1071677507109388E-3</v>
      </c>
    </row>
    <row r="2188" spans="1:3" x14ac:dyDescent="0.2">
      <c r="A2188" s="1">
        <v>42894</v>
      </c>
      <c r="B2188">
        <v>37.5</v>
      </c>
      <c r="C2188" s="2">
        <f t="shared" si="34"/>
        <v>5.6157387856357035E-3</v>
      </c>
    </row>
    <row r="2189" spans="1:3" x14ac:dyDescent="0.2">
      <c r="A2189" s="1">
        <v>42893</v>
      </c>
      <c r="B2189">
        <v>37.29</v>
      </c>
      <c r="C2189" s="2">
        <f t="shared" si="34"/>
        <v>-1.1907901544983666E-2</v>
      </c>
    </row>
    <row r="2190" spans="1:3" x14ac:dyDescent="0.2">
      <c r="A2190" s="1">
        <v>42892</v>
      </c>
      <c r="B2190">
        <v>37.736699999999999</v>
      </c>
      <c r="C2190" s="2">
        <f t="shared" si="34"/>
        <v>1.0605382694970455E-3</v>
      </c>
    </row>
    <row r="2191" spans="1:3" x14ac:dyDescent="0.2">
      <c r="A2191" s="1">
        <v>42891</v>
      </c>
      <c r="B2191">
        <v>37.6967</v>
      </c>
      <c r="C2191" s="2">
        <f t="shared" si="34"/>
        <v>-4.145604878299263E-3</v>
      </c>
    </row>
    <row r="2192" spans="1:3" x14ac:dyDescent="0.2">
      <c r="A2192" s="1">
        <v>42888</v>
      </c>
      <c r="B2192">
        <v>37.853299999999997</v>
      </c>
      <c r="C2192" s="2">
        <f t="shared" si="34"/>
        <v>1.0444465328572915E-2</v>
      </c>
    </row>
    <row r="2193" spans="1:3" x14ac:dyDescent="0.2">
      <c r="A2193" s="1">
        <v>42887</v>
      </c>
      <c r="B2193">
        <v>37.46</v>
      </c>
      <c r="C2193" s="2">
        <f t="shared" si="34"/>
        <v>2.2589047138237232E-2</v>
      </c>
    </row>
    <row r="2194" spans="1:3" x14ac:dyDescent="0.2">
      <c r="A2194" s="1">
        <v>42886</v>
      </c>
      <c r="B2194">
        <v>36.6233</v>
      </c>
      <c r="C2194" s="2">
        <f t="shared" si="34"/>
        <v>3.462804335480775E-3</v>
      </c>
    </row>
    <row r="2195" spans="1:3" x14ac:dyDescent="0.2">
      <c r="A2195" s="1">
        <v>42885</v>
      </c>
      <c r="B2195">
        <v>36.496699999999997</v>
      </c>
      <c r="C2195" s="2">
        <f t="shared" si="34"/>
        <v>1.0060762917076119E-3</v>
      </c>
    </row>
    <row r="2196" spans="1:3" x14ac:dyDescent="0.2">
      <c r="A2196" s="1">
        <v>42881</v>
      </c>
      <c r="B2196">
        <v>36.46</v>
      </c>
      <c r="C2196" s="2">
        <f t="shared" si="34"/>
        <v>-1.7346438396843103E-3</v>
      </c>
    </row>
    <row r="2197" spans="1:3" x14ac:dyDescent="0.2">
      <c r="A2197" s="1">
        <v>42880</v>
      </c>
      <c r="B2197">
        <v>36.523299999999999</v>
      </c>
      <c r="C2197" s="2">
        <f t="shared" si="34"/>
        <v>2.7417333403478112E-3</v>
      </c>
    </row>
    <row r="2198" spans="1:3" x14ac:dyDescent="0.2">
      <c r="A2198" s="1">
        <v>42879</v>
      </c>
      <c r="B2198">
        <v>36.423299999999998</v>
      </c>
      <c r="C2198" s="2">
        <f t="shared" si="34"/>
        <v>-8.3851800817224178E-3</v>
      </c>
    </row>
    <row r="2199" spans="1:3" x14ac:dyDescent="0.2">
      <c r="A2199" s="1">
        <v>42878</v>
      </c>
      <c r="B2199">
        <v>36.729999999999997</v>
      </c>
      <c r="C2199" s="2">
        <f t="shared" si="34"/>
        <v>-4.9780598786541997E-3</v>
      </c>
    </row>
    <row r="2200" spans="1:3" x14ac:dyDescent="0.2">
      <c r="A2200" s="1">
        <v>42877</v>
      </c>
      <c r="B2200">
        <v>36.9133</v>
      </c>
      <c r="C2200" s="2">
        <f t="shared" si="34"/>
        <v>1.7163010748842814E-3</v>
      </c>
    </row>
    <row r="2201" spans="1:3" x14ac:dyDescent="0.2">
      <c r="A2201" s="1">
        <v>42874</v>
      </c>
      <c r="B2201">
        <v>36.85</v>
      </c>
      <c r="C2201" s="2">
        <f t="shared" si="34"/>
        <v>3.2617588037698836E-3</v>
      </c>
    </row>
    <row r="2202" spans="1:3" x14ac:dyDescent="0.2">
      <c r="A2202" s="1">
        <v>42873</v>
      </c>
      <c r="B2202">
        <v>36.729999999999997</v>
      </c>
      <c r="C2202" s="2">
        <f t="shared" si="34"/>
        <v>2.9993205852111684E-3</v>
      </c>
    </row>
    <row r="2203" spans="1:3" x14ac:dyDescent="0.2">
      <c r="A2203" s="1">
        <v>42872</v>
      </c>
      <c r="B2203">
        <v>36.619999999999997</v>
      </c>
      <c r="C2203" s="2">
        <f t="shared" si="34"/>
        <v>-1.5802927775684886E-2</v>
      </c>
    </row>
    <row r="2204" spans="1:3" x14ac:dyDescent="0.2">
      <c r="A2204" s="1">
        <v>42871</v>
      </c>
      <c r="B2204">
        <v>37.203299999999999</v>
      </c>
      <c r="C2204" s="2">
        <f t="shared" si="34"/>
        <v>6.4719385200126397E-3</v>
      </c>
    </row>
    <row r="2205" spans="1:3" x14ac:dyDescent="0.2">
      <c r="A2205" s="1">
        <v>42870</v>
      </c>
      <c r="B2205">
        <v>36.963299999999997</v>
      </c>
      <c r="C2205" s="2">
        <f t="shared" si="34"/>
        <v>9.513966125994644E-3</v>
      </c>
    </row>
    <row r="2206" spans="1:3" x14ac:dyDescent="0.2">
      <c r="A2206" s="1">
        <v>42867</v>
      </c>
      <c r="B2206">
        <v>36.613300000000002</v>
      </c>
      <c r="C2206" s="2">
        <f t="shared" si="34"/>
        <v>-3.6368633325411415E-3</v>
      </c>
    </row>
    <row r="2207" spans="1:3" x14ac:dyDescent="0.2">
      <c r="A2207" s="1">
        <v>42866</v>
      </c>
      <c r="B2207">
        <v>36.746699999999997</v>
      </c>
      <c r="C2207" s="2">
        <f t="shared" si="34"/>
        <v>-1.8107672158175871E-3</v>
      </c>
    </row>
    <row r="2208" spans="1:3" x14ac:dyDescent="0.2">
      <c r="A2208" s="1">
        <v>42865</v>
      </c>
      <c r="B2208">
        <v>36.813299999999998</v>
      </c>
      <c r="C2208" s="2">
        <f t="shared" si="34"/>
        <v>5.0817102821240174E-3</v>
      </c>
    </row>
    <row r="2209" spans="1:3" x14ac:dyDescent="0.2">
      <c r="A2209" s="1">
        <v>42864</v>
      </c>
      <c r="B2209">
        <v>36.6267</v>
      </c>
      <c r="C2209" s="2">
        <f t="shared" si="34"/>
        <v>2.186587800332894E-3</v>
      </c>
    </row>
    <row r="2210" spans="1:3" x14ac:dyDescent="0.2">
      <c r="A2210" s="1">
        <v>42863</v>
      </c>
      <c r="B2210">
        <v>36.546700000000001</v>
      </c>
      <c r="C2210" s="2">
        <f t="shared" si="34"/>
        <v>-2.9125703649697642E-3</v>
      </c>
    </row>
    <row r="2211" spans="1:3" x14ac:dyDescent="0.2">
      <c r="A2211" s="1">
        <v>42860</v>
      </c>
      <c r="B2211">
        <v>36.653300000000002</v>
      </c>
      <c r="C2211" s="2">
        <f t="shared" si="34"/>
        <v>6.4760045679352991E-3</v>
      </c>
    </row>
    <row r="2212" spans="1:3" x14ac:dyDescent="0.2">
      <c r="A2212" s="1">
        <v>42859</v>
      </c>
      <c r="B2212">
        <v>36.416699999999999</v>
      </c>
      <c r="C2212" s="2">
        <f t="shared" si="34"/>
        <v>8.366242097883201E-3</v>
      </c>
    </row>
    <row r="2213" spans="1:3" x14ac:dyDescent="0.2">
      <c r="A2213" s="1">
        <v>42858</v>
      </c>
      <c r="B2213">
        <v>36.113300000000002</v>
      </c>
      <c r="C2213" s="2">
        <f t="shared" si="34"/>
        <v>9.2252334667243638E-4</v>
      </c>
    </row>
    <row r="2214" spans="1:3" x14ac:dyDescent="0.2">
      <c r="A2214" s="1">
        <v>42857</v>
      </c>
      <c r="B2214">
        <v>36.08</v>
      </c>
      <c r="C2214" s="2">
        <f t="shared" si="34"/>
        <v>2.9616985757668856E-3</v>
      </c>
    </row>
    <row r="2215" spans="1:3" x14ac:dyDescent="0.2">
      <c r="A2215" s="1">
        <v>42856</v>
      </c>
      <c r="B2215">
        <v>35.973300000000002</v>
      </c>
      <c r="C2215" s="2">
        <f t="shared" si="34"/>
        <v>6.4791245160039212E-4</v>
      </c>
    </row>
    <row r="2216" spans="1:3" x14ac:dyDescent="0.2">
      <c r="A2216" s="1">
        <v>42853</v>
      </c>
      <c r="B2216">
        <v>35.950000000000003</v>
      </c>
      <c r="C2216" s="2">
        <f t="shared" si="34"/>
        <v>-3.7952922354381889E-3</v>
      </c>
    </row>
    <row r="2217" spans="1:3" x14ac:dyDescent="0.2">
      <c r="A2217" s="1">
        <v>42852</v>
      </c>
      <c r="B2217">
        <v>36.0867</v>
      </c>
      <c r="C2217" s="2">
        <f t="shared" si="34"/>
        <v>8.1367479749679353E-2</v>
      </c>
    </row>
    <row r="2218" spans="1:3" x14ac:dyDescent="0.2">
      <c r="A2218" s="1">
        <v>42851</v>
      </c>
      <c r="B2218">
        <v>33.2667</v>
      </c>
      <c r="C2218" s="2">
        <f t="shared" si="34"/>
        <v>1.4637657263190757E-2</v>
      </c>
    </row>
    <row r="2219" spans="1:3" x14ac:dyDescent="0.2">
      <c r="A2219" s="1">
        <v>42850</v>
      </c>
      <c r="B2219">
        <v>32.783299999999997</v>
      </c>
      <c r="C2219" s="2">
        <f t="shared" si="34"/>
        <v>1.5573631697039186E-2</v>
      </c>
    </row>
    <row r="2220" spans="1:3" x14ac:dyDescent="0.2">
      <c r="A2220" s="1">
        <v>42849</v>
      </c>
      <c r="B2220">
        <v>32.276699999999998</v>
      </c>
      <c r="C2220" s="2">
        <f t="shared" si="34"/>
        <v>1.163615497632753E-2</v>
      </c>
    </row>
    <row r="2221" spans="1:3" x14ac:dyDescent="0.2">
      <c r="A2221" s="1">
        <v>42846</v>
      </c>
      <c r="B2221">
        <v>31.903300000000002</v>
      </c>
      <c r="C2221" s="2">
        <f t="shared" si="34"/>
        <v>1.6720706980847464E-3</v>
      </c>
    </row>
    <row r="2222" spans="1:3" x14ac:dyDescent="0.2">
      <c r="A2222" s="1">
        <v>42845</v>
      </c>
      <c r="B2222">
        <v>31.85</v>
      </c>
      <c r="C2222" s="2">
        <f t="shared" si="34"/>
        <v>1.508016930112298E-2</v>
      </c>
    </row>
    <row r="2223" spans="1:3" x14ac:dyDescent="0.2">
      <c r="A2223" s="1">
        <v>42844</v>
      </c>
      <c r="B2223">
        <v>31.3733</v>
      </c>
      <c r="C2223" s="2">
        <f t="shared" si="34"/>
        <v>9.5668458711454314E-4</v>
      </c>
    </row>
    <row r="2224" spans="1:3" x14ac:dyDescent="0.2">
      <c r="A2224" s="1">
        <v>42843</v>
      </c>
      <c r="B2224">
        <v>31.343299999999999</v>
      </c>
      <c r="C2224" s="2">
        <f t="shared" si="34"/>
        <v>4.5824333144983331E-3</v>
      </c>
    </row>
    <row r="2225" spans="1:3" x14ac:dyDescent="0.2">
      <c r="A2225" s="1">
        <v>42842</v>
      </c>
      <c r="B2225">
        <v>31.2</v>
      </c>
      <c r="C2225" s="2">
        <f t="shared" si="34"/>
        <v>1.160554612030789E-2</v>
      </c>
    </row>
    <row r="2226" spans="1:3" x14ac:dyDescent="0.2">
      <c r="A2226" s="1">
        <v>42838</v>
      </c>
      <c r="B2226">
        <v>30.84</v>
      </c>
      <c r="C2226" s="2">
        <f t="shared" si="34"/>
        <v>-6.0355754149252197E-3</v>
      </c>
    </row>
    <row r="2227" spans="1:3" x14ac:dyDescent="0.2">
      <c r="A2227" s="1">
        <v>42837</v>
      </c>
      <c r="B2227">
        <v>31.026700000000002</v>
      </c>
      <c r="C2227" s="2">
        <f t="shared" si="34"/>
        <v>-2.1468556773180908E-2</v>
      </c>
    </row>
    <row r="2228" spans="1:3" x14ac:dyDescent="0.2">
      <c r="A2228" s="1">
        <v>42836</v>
      </c>
      <c r="B2228">
        <v>31.7</v>
      </c>
      <c r="C2228" s="2">
        <f t="shared" si="34"/>
        <v>7.0690912914354647E-3</v>
      </c>
    </row>
    <row r="2229" spans="1:3" x14ac:dyDescent="0.2">
      <c r="A2229" s="1">
        <v>42835</v>
      </c>
      <c r="B2229">
        <v>31.476700000000001</v>
      </c>
      <c r="C2229" s="2">
        <f t="shared" si="34"/>
        <v>3.9280648947522395E-3</v>
      </c>
    </row>
    <row r="2230" spans="1:3" x14ac:dyDescent="0.2">
      <c r="A2230" s="1">
        <v>42832</v>
      </c>
      <c r="B2230">
        <v>31.353300000000001</v>
      </c>
      <c r="C2230" s="2">
        <f t="shared" si="34"/>
        <v>2.2351158633077358E-3</v>
      </c>
    </row>
    <row r="2231" spans="1:3" x14ac:dyDescent="0.2">
      <c r="A2231" s="1">
        <v>42831</v>
      </c>
      <c r="B2231">
        <v>31.283300000000001</v>
      </c>
      <c r="C2231" s="2">
        <f t="shared" si="34"/>
        <v>1.0604791800595004E-2</v>
      </c>
    </row>
    <row r="2232" spans="1:3" x14ac:dyDescent="0.2">
      <c r="A2232" s="1">
        <v>42830</v>
      </c>
      <c r="B2232">
        <v>30.953299999999999</v>
      </c>
      <c r="C2232" s="2">
        <f t="shared" si="34"/>
        <v>-3.7631063718118179E-3</v>
      </c>
    </row>
    <row r="2233" spans="1:3" x14ac:dyDescent="0.2">
      <c r="A2233" s="1">
        <v>42829</v>
      </c>
      <c r="B2233">
        <v>31.07</v>
      </c>
      <c r="C2233" s="2">
        <f t="shared" si="34"/>
        <v>-2.6774552221814382E-3</v>
      </c>
    </row>
    <row r="2234" spans="1:3" x14ac:dyDescent="0.2">
      <c r="A2234" s="1">
        <v>42828</v>
      </c>
      <c r="B2234">
        <v>31.153300000000002</v>
      </c>
      <c r="C2234" s="2">
        <f t="shared" si="34"/>
        <v>-7.2505686777489826E-3</v>
      </c>
    </row>
    <row r="2235" spans="1:3" x14ac:dyDescent="0.2">
      <c r="A2235" s="1">
        <v>42825</v>
      </c>
      <c r="B2235">
        <v>31.38</v>
      </c>
      <c r="C2235" s="2">
        <f t="shared" si="34"/>
        <v>3.1872510229969037E-4</v>
      </c>
    </row>
    <row r="2236" spans="1:3" x14ac:dyDescent="0.2">
      <c r="A2236" s="1">
        <v>42824</v>
      </c>
      <c r="B2236">
        <v>31.37</v>
      </c>
      <c r="C2236" s="2">
        <f t="shared" si="34"/>
        <v>6.2900629974467258E-3</v>
      </c>
    </row>
    <row r="2237" spans="1:3" x14ac:dyDescent="0.2">
      <c r="A2237" s="1">
        <v>42823</v>
      </c>
      <c r="B2237">
        <v>31.173300000000001</v>
      </c>
      <c r="C2237" s="2">
        <f t="shared" si="34"/>
        <v>-1.0708561459359305E-3</v>
      </c>
    </row>
    <row r="2238" spans="1:3" x14ac:dyDescent="0.2">
      <c r="A2238" s="1">
        <v>42822</v>
      </c>
      <c r="B2238">
        <v>31.206700000000001</v>
      </c>
      <c r="C2238" s="2">
        <f t="shared" si="34"/>
        <v>7.7203817737075712E-3</v>
      </c>
    </row>
    <row r="2239" spans="1:3" x14ac:dyDescent="0.2">
      <c r="A2239" s="1">
        <v>42821</v>
      </c>
      <c r="B2239">
        <v>30.966699999999999</v>
      </c>
      <c r="C2239" s="2">
        <f t="shared" si="34"/>
        <v>-7.1850970423433767E-3</v>
      </c>
    </row>
    <row r="2240" spans="1:3" x14ac:dyDescent="0.2">
      <c r="A2240" s="1">
        <v>42818</v>
      </c>
      <c r="B2240">
        <v>31.19</v>
      </c>
      <c r="C2240" s="2">
        <f t="shared" si="34"/>
        <v>-7.4675541462576394E-4</v>
      </c>
    </row>
    <row r="2241" spans="1:3" x14ac:dyDescent="0.2">
      <c r="A2241" s="1">
        <v>42817</v>
      </c>
      <c r="B2241">
        <v>31.2133</v>
      </c>
      <c r="C2241" s="2">
        <f t="shared" si="34"/>
        <v>8.4712869037326562E-3</v>
      </c>
    </row>
    <row r="2242" spans="1:3" x14ac:dyDescent="0.2">
      <c r="A2242" s="1">
        <v>42816</v>
      </c>
      <c r="B2242">
        <v>30.95</v>
      </c>
      <c r="C2242" s="2">
        <f t="shared" si="34"/>
        <v>8.0028584576118285E-3</v>
      </c>
    </row>
    <row r="2243" spans="1:3" x14ac:dyDescent="0.2">
      <c r="A2243" s="1">
        <v>42815</v>
      </c>
      <c r="B2243">
        <v>30.703299999999999</v>
      </c>
      <c r="C2243" s="2">
        <f t="shared" ref="C2243:C2306" si="35">+LN(B2243/B2244)</f>
        <v>-2.2437752241214356E-2</v>
      </c>
    </row>
    <row r="2244" spans="1:3" x14ac:dyDescent="0.2">
      <c r="A2244" s="1">
        <v>42814</v>
      </c>
      <c r="B2244">
        <v>31.4</v>
      </c>
      <c r="C2244" s="2">
        <f t="shared" si="35"/>
        <v>-5.3170575319741247E-4</v>
      </c>
    </row>
    <row r="2245" spans="1:3" x14ac:dyDescent="0.2">
      <c r="A2245" s="1">
        <v>42811</v>
      </c>
      <c r="B2245">
        <v>31.416699999999999</v>
      </c>
      <c r="C2245" s="2">
        <f t="shared" si="35"/>
        <v>5.3170575319736748E-4</v>
      </c>
    </row>
    <row r="2246" spans="1:3" x14ac:dyDescent="0.2">
      <c r="A2246" s="1">
        <v>42810</v>
      </c>
      <c r="B2246">
        <v>31.4</v>
      </c>
      <c r="C2246" s="2">
        <f t="shared" si="35"/>
        <v>-5.8206069706905443E-3</v>
      </c>
    </row>
    <row r="2247" spans="1:3" x14ac:dyDescent="0.2">
      <c r="A2247" s="1">
        <v>42809</v>
      </c>
      <c r="B2247">
        <v>31.583300000000001</v>
      </c>
      <c r="C2247" s="2">
        <f t="shared" si="35"/>
        <v>1.5205269818698302E-2</v>
      </c>
    </row>
    <row r="2248" spans="1:3" x14ac:dyDescent="0.2">
      <c r="A2248" s="1">
        <v>42808</v>
      </c>
      <c r="B2248">
        <v>31.1067</v>
      </c>
      <c r="C2248" s="2">
        <f t="shared" si="35"/>
        <v>-2.0328637130458114E-3</v>
      </c>
    </row>
    <row r="2249" spans="1:3" x14ac:dyDescent="0.2">
      <c r="A2249" s="1">
        <v>42807</v>
      </c>
      <c r="B2249">
        <v>31.17</v>
      </c>
      <c r="C2249" s="2">
        <f t="shared" si="35"/>
        <v>2.5698697085832986E-3</v>
      </c>
    </row>
    <row r="2250" spans="1:3" x14ac:dyDescent="0.2">
      <c r="A2250" s="1">
        <v>42804</v>
      </c>
      <c r="B2250">
        <v>31.09</v>
      </c>
      <c r="C2250" s="2">
        <f t="shared" si="35"/>
        <v>1.1972315791190952E-2</v>
      </c>
    </row>
    <row r="2251" spans="1:3" x14ac:dyDescent="0.2">
      <c r="A2251" s="1">
        <v>42803</v>
      </c>
      <c r="B2251">
        <v>30.72</v>
      </c>
      <c r="C2251" s="2">
        <f t="shared" si="35"/>
        <v>-1.1544433976556577E-2</v>
      </c>
    </row>
    <row r="2252" spans="1:3" x14ac:dyDescent="0.2">
      <c r="A2252" s="1">
        <v>42802</v>
      </c>
      <c r="B2252">
        <v>31.076699999999999</v>
      </c>
      <c r="C2252" s="2">
        <f t="shared" si="35"/>
        <v>2.7937704563712499E-3</v>
      </c>
    </row>
    <row r="2253" spans="1:3" x14ac:dyDescent="0.2">
      <c r="A2253" s="1">
        <v>42801</v>
      </c>
      <c r="B2253">
        <v>30.99</v>
      </c>
      <c r="C2253" s="2">
        <f t="shared" si="35"/>
        <v>-3.7586582665430704E-3</v>
      </c>
    </row>
    <row r="2254" spans="1:3" x14ac:dyDescent="0.2">
      <c r="A2254" s="1">
        <v>42800</v>
      </c>
      <c r="B2254">
        <v>31.1067</v>
      </c>
      <c r="C2254" s="2">
        <f t="shared" si="35"/>
        <v>-2.0328637130458114E-3</v>
      </c>
    </row>
    <row r="2255" spans="1:3" x14ac:dyDescent="0.2">
      <c r="A2255" s="1">
        <v>42797</v>
      </c>
      <c r="B2255">
        <v>31.17</v>
      </c>
      <c r="C2255" s="2">
        <f t="shared" si="35"/>
        <v>5.5753465733778592E-3</v>
      </c>
    </row>
    <row r="2256" spans="1:3" x14ac:dyDescent="0.2">
      <c r="A2256" s="1">
        <v>42796</v>
      </c>
      <c r="B2256">
        <v>30.996700000000001</v>
      </c>
      <c r="C2256" s="2">
        <f t="shared" si="35"/>
        <v>-1.2076465511181515E-2</v>
      </c>
    </row>
    <row r="2257" spans="1:3" x14ac:dyDescent="0.2">
      <c r="A2257" s="1">
        <v>42795</v>
      </c>
      <c r="B2257">
        <v>31.3733</v>
      </c>
      <c r="C2257" s="2">
        <f t="shared" si="35"/>
        <v>3.6351943281088706E-2</v>
      </c>
    </row>
    <row r="2258" spans="1:3" x14ac:dyDescent="0.2">
      <c r="A2258" s="1">
        <v>42794</v>
      </c>
      <c r="B2258">
        <v>30.253299999999999</v>
      </c>
      <c r="C2258" s="2">
        <f t="shared" si="35"/>
        <v>-2.5349209024327978E-2</v>
      </c>
    </row>
    <row r="2259" spans="1:3" x14ac:dyDescent="0.2">
      <c r="A2259" s="1">
        <v>42793</v>
      </c>
      <c r="B2259">
        <v>31.03</v>
      </c>
      <c r="C2259" s="2">
        <f t="shared" si="35"/>
        <v>8.089350049555747E-3</v>
      </c>
    </row>
    <row r="2260" spans="1:3" x14ac:dyDescent="0.2">
      <c r="A2260" s="1">
        <v>42790</v>
      </c>
      <c r="B2260">
        <v>30.78</v>
      </c>
      <c r="C2260" s="2">
        <f t="shared" si="35"/>
        <v>1.2860115729604753E-2</v>
      </c>
    </row>
    <row r="2261" spans="1:3" x14ac:dyDescent="0.2">
      <c r="A2261" s="1">
        <v>42789</v>
      </c>
      <c r="B2261">
        <v>30.386700000000001</v>
      </c>
      <c r="C2261" s="2">
        <f t="shared" si="35"/>
        <v>-8.5199766941212798E-3</v>
      </c>
    </row>
    <row r="2262" spans="1:3" x14ac:dyDescent="0.2">
      <c r="A2262" s="1">
        <v>42788</v>
      </c>
      <c r="B2262">
        <v>30.646699999999999</v>
      </c>
      <c r="C2262" s="2">
        <f t="shared" si="35"/>
        <v>-1.9558824491350628E-3</v>
      </c>
    </row>
    <row r="2263" spans="1:3" x14ac:dyDescent="0.2">
      <c r="A2263" s="1">
        <v>42787</v>
      </c>
      <c r="B2263">
        <v>30.706700000000001</v>
      </c>
      <c r="C2263" s="2">
        <f t="shared" si="35"/>
        <v>1.0258682439540005E-2</v>
      </c>
    </row>
    <row r="2264" spans="1:3" x14ac:dyDescent="0.2">
      <c r="A2264" s="1">
        <v>42783</v>
      </c>
      <c r="B2264">
        <v>30.3933</v>
      </c>
      <c r="C2264" s="2">
        <f t="shared" si="35"/>
        <v>1.5344092572594469E-3</v>
      </c>
    </row>
    <row r="2265" spans="1:3" x14ac:dyDescent="0.2">
      <c r="A2265" s="1">
        <v>42782</v>
      </c>
      <c r="B2265">
        <v>30.346699999999998</v>
      </c>
      <c r="C2265" s="2">
        <f t="shared" si="35"/>
        <v>-2.4125067035613789E-3</v>
      </c>
    </row>
    <row r="2266" spans="1:3" x14ac:dyDescent="0.2">
      <c r="A2266" s="1">
        <v>42781</v>
      </c>
      <c r="B2266">
        <v>30.42</v>
      </c>
      <c r="C2266" s="2">
        <f t="shared" si="35"/>
        <v>5.0521885710293991E-3</v>
      </c>
    </row>
    <row r="2267" spans="1:3" x14ac:dyDescent="0.2">
      <c r="A2267" s="1">
        <v>42780</v>
      </c>
      <c r="B2267">
        <v>30.2667</v>
      </c>
      <c r="C2267" s="2">
        <f t="shared" si="35"/>
        <v>-9.5358759142850531E-3</v>
      </c>
    </row>
    <row r="2268" spans="1:3" x14ac:dyDescent="0.2">
      <c r="A2268" s="1">
        <v>42779</v>
      </c>
      <c r="B2268">
        <v>30.556699999999999</v>
      </c>
      <c r="C2268" s="2">
        <f t="shared" si="35"/>
        <v>7.2257734734977284E-3</v>
      </c>
    </row>
    <row r="2269" spans="1:3" x14ac:dyDescent="0.2">
      <c r="A2269" s="1">
        <v>42776</v>
      </c>
      <c r="B2269">
        <v>30.3367</v>
      </c>
      <c r="C2269" s="2">
        <f t="shared" si="35"/>
        <v>6.3955244449491293E-3</v>
      </c>
    </row>
    <row r="2270" spans="1:3" x14ac:dyDescent="0.2">
      <c r="A2270" s="1">
        <v>42775</v>
      </c>
      <c r="B2270">
        <v>30.1433</v>
      </c>
      <c r="C2270" s="2">
        <f t="shared" si="35"/>
        <v>2.657517517436871E-3</v>
      </c>
    </row>
    <row r="2271" spans="1:3" x14ac:dyDescent="0.2">
      <c r="A2271" s="1">
        <v>42774</v>
      </c>
      <c r="B2271">
        <v>30.063300000000002</v>
      </c>
      <c r="C2271" s="2">
        <f t="shared" si="35"/>
        <v>3.3268681503058627E-4</v>
      </c>
    </row>
    <row r="2272" spans="1:3" x14ac:dyDescent="0.2">
      <c r="A2272" s="1">
        <v>42773</v>
      </c>
      <c r="B2272">
        <v>30.0533</v>
      </c>
      <c r="C2272" s="2">
        <f t="shared" si="35"/>
        <v>-1.3300836920814437E-3</v>
      </c>
    </row>
    <row r="2273" spans="1:3" x14ac:dyDescent="0.2">
      <c r="A2273" s="1">
        <v>42772</v>
      </c>
      <c r="B2273">
        <v>30.093299999999999</v>
      </c>
      <c r="C2273" s="2">
        <f t="shared" si="35"/>
        <v>-5.85456741805759E-3</v>
      </c>
    </row>
    <row r="2274" spans="1:3" x14ac:dyDescent="0.2">
      <c r="A2274" s="1">
        <v>42769</v>
      </c>
      <c r="B2274">
        <v>30.27</v>
      </c>
      <c r="C2274" s="2">
        <f t="shared" si="35"/>
        <v>2.0583705300815887E-2</v>
      </c>
    </row>
    <row r="2275" spans="1:3" x14ac:dyDescent="0.2">
      <c r="A2275" s="1">
        <v>42768</v>
      </c>
      <c r="B2275">
        <v>29.653300000000002</v>
      </c>
      <c r="C2275" s="2">
        <f t="shared" si="35"/>
        <v>-1.4619472909142428E-2</v>
      </c>
    </row>
    <row r="2276" spans="1:3" x14ac:dyDescent="0.2">
      <c r="A2276" s="1">
        <v>42767</v>
      </c>
      <c r="B2276">
        <v>30.09</v>
      </c>
      <c r="C2276" s="2">
        <f t="shared" si="35"/>
        <v>7.5625888972035904E-3</v>
      </c>
    </row>
    <row r="2277" spans="1:3" x14ac:dyDescent="0.2">
      <c r="A2277" s="1">
        <v>42766</v>
      </c>
      <c r="B2277">
        <v>29.863299999999999</v>
      </c>
      <c r="C2277" s="2">
        <f t="shared" si="35"/>
        <v>2.0111761093860132E-3</v>
      </c>
    </row>
    <row r="2278" spans="1:3" x14ac:dyDescent="0.2">
      <c r="A2278" s="1">
        <v>42765</v>
      </c>
      <c r="B2278">
        <v>29.8033</v>
      </c>
      <c r="C2278" s="2">
        <f t="shared" si="35"/>
        <v>-1.5657142032467466E-3</v>
      </c>
    </row>
    <row r="2279" spans="1:3" x14ac:dyDescent="0.2">
      <c r="A2279" s="1">
        <v>42762</v>
      </c>
      <c r="B2279">
        <v>29.85</v>
      </c>
      <c r="C2279" s="2">
        <f t="shared" si="35"/>
        <v>1.3718459868513978E-2</v>
      </c>
    </row>
    <row r="2280" spans="1:3" x14ac:dyDescent="0.2">
      <c r="A2280" s="1">
        <v>42761</v>
      </c>
      <c r="B2280">
        <v>29.443300000000001</v>
      </c>
      <c r="C2280" s="2">
        <f t="shared" si="35"/>
        <v>-3.3906038253298065E-3</v>
      </c>
    </row>
    <row r="2281" spans="1:3" x14ac:dyDescent="0.2">
      <c r="A2281" s="1">
        <v>42760</v>
      </c>
      <c r="B2281">
        <v>29.543299999999999</v>
      </c>
      <c r="C2281" s="2">
        <f t="shared" si="35"/>
        <v>2.2568630385814106E-3</v>
      </c>
    </row>
    <row r="2282" spans="1:3" x14ac:dyDescent="0.2">
      <c r="A2282" s="1">
        <v>42759</v>
      </c>
      <c r="B2282">
        <v>29.476700000000001</v>
      </c>
      <c r="C2282" s="2">
        <f t="shared" si="35"/>
        <v>1.9066723466281615E-2</v>
      </c>
    </row>
    <row r="2283" spans="1:3" x14ac:dyDescent="0.2">
      <c r="A2283" s="1">
        <v>42758</v>
      </c>
      <c r="B2283">
        <v>28.92</v>
      </c>
      <c r="C2283" s="2">
        <f t="shared" si="35"/>
        <v>6.5915242993656959E-3</v>
      </c>
    </row>
    <row r="2284" spans="1:3" x14ac:dyDescent="0.2">
      <c r="A2284" s="1">
        <v>42755</v>
      </c>
      <c r="B2284">
        <v>28.73</v>
      </c>
      <c r="C2284" s="2">
        <f t="shared" si="35"/>
        <v>5.8144293487637948E-4</v>
      </c>
    </row>
    <row r="2285" spans="1:3" x14ac:dyDescent="0.2">
      <c r="A2285" s="1">
        <v>42754</v>
      </c>
      <c r="B2285">
        <v>28.7133</v>
      </c>
      <c r="C2285" s="2">
        <f t="shared" si="35"/>
        <v>-4.0560815939887831E-3</v>
      </c>
    </row>
    <row r="2286" spans="1:3" x14ac:dyDescent="0.2">
      <c r="A2286" s="1">
        <v>42753</v>
      </c>
      <c r="B2286">
        <v>28.83</v>
      </c>
      <c r="C2286" s="2">
        <f t="shared" si="35"/>
        <v>8.7093391485894584E-3</v>
      </c>
    </row>
    <row r="2287" spans="1:3" x14ac:dyDescent="0.2">
      <c r="A2287" s="1">
        <v>42752</v>
      </c>
      <c r="B2287">
        <v>28.58</v>
      </c>
      <c r="C2287" s="2">
        <f t="shared" si="35"/>
        <v>-7.5536247416740365E-3</v>
      </c>
    </row>
    <row r="2288" spans="1:3" x14ac:dyDescent="0.2">
      <c r="A2288" s="1">
        <v>42748</v>
      </c>
      <c r="B2288">
        <v>28.796700000000001</v>
      </c>
      <c r="C2288" s="2">
        <f t="shared" si="35"/>
        <v>1.1645259089994189E-2</v>
      </c>
    </row>
    <row r="2289" spans="1:3" x14ac:dyDescent="0.2">
      <c r="A2289" s="1">
        <v>42747</v>
      </c>
      <c r="B2289">
        <v>28.4633</v>
      </c>
      <c r="C2289" s="2">
        <f t="shared" si="35"/>
        <v>-5.9548380236672692E-3</v>
      </c>
    </row>
    <row r="2290" spans="1:3" x14ac:dyDescent="0.2">
      <c r="A2290" s="1">
        <v>42746</v>
      </c>
      <c r="B2290">
        <v>28.633299999999998</v>
      </c>
      <c r="C2290" s="2">
        <f t="shared" si="35"/>
        <v>7.4772535081136958E-3</v>
      </c>
    </row>
    <row r="2291" spans="1:3" x14ac:dyDescent="0.2">
      <c r="A2291" s="1">
        <v>42745</v>
      </c>
      <c r="B2291">
        <v>28.42</v>
      </c>
      <c r="C2291" s="2">
        <f t="shared" si="35"/>
        <v>1.3578756444152722E-2</v>
      </c>
    </row>
    <row r="2292" spans="1:3" x14ac:dyDescent="0.2">
      <c r="A2292" s="1">
        <v>42744</v>
      </c>
      <c r="B2292">
        <v>28.0367</v>
      </c>
      <c r="C2292" s="2">
        <f t="shared" si="35"/>
        <v>-2.6110186936385968E-3</v>
      </c>
    </row>
    <row r="2293" spans="1:3" x14ac:dyDescent="0.2">
      <c r="A2293" s="1">
        <v>42741</v>
      </c>
      <c r="B2293">
        <v>28.11</v>
      </c>
      <c r="C2293" s="2">
        <f t="shared" si="35"/>
        <v>1.1927845145152752E-2</v>
      </c>
    </row>
    <row r="2294" spans="1:3" x14ac:dyDescent="0.2">
      <c r="A2294" s="1">
        <v>42740</v>
      </c>
      <c r="B2294">
        <v>27.776700000000002</v>
      </c>
      <c r="C2294" s="2">
        <f t="shared" si="35"/>
        <v>-1.7249837483093805E-2</v>
      </c>
    </row>
    <row r="2295" spans="1:3" x14ac:dyDescent="0.2">
      <c r="A2295" s="1">
        <v>42739</v>
      </c>
      <c r="B2295">
        <v>28.26</v>
      </c>
      <c r="C2295" s="2">
        <f t="shared" si="35"/>
        <v>1.6771133501969022E-2</v>
      </c>
    </row>
    <row r="2296" spans="1:3" x14ac:dyDescent="0.2">
      <c r="A2296" s="1">
        <v>42738</v>
      </c>
      <c r="B2296">
        <v>27.79</v>
      </c>
      <c r="C2296" s="2">
        <f t="shared" si="35"/>
        <v>3.3629712320946007E-3</v>
      </c>
    </row>
    <row r="2297" spans="1:3" x14ac:dyDescent="0.2">
      <c r="A2297" s="1">
        <v>42734</v>
      </c>
      <c r="B2297">
        <v>27.6967</v>
      </c>
      <c r="C2297" s="2">
        <f t="shared" si="35"/>
        <v>-2.3826714914163642E-4</v>
      </c>
    </row>
    <row r="2298" spans="1:3" x14ac:dyDescent="0.2">
      <c r="A2298" s="1">
        <v>42733</v>
      </c>
      <c r="B2298">
        <v>27.703299999999999</v>
      </c>
      <c r="C2298" s="2">
        <f t="shared" si="35"/>
        <v>-2.404761647248795E-3</v>
      </c>
    </row>
    <row r="2299" spans="1:3" x14ac:dyDescent="0.2">
      <c r="A2299" s="1">
        <v>42732</v>
      </c>
      <c r="B2299">
        <v>27.77</v>
      </c>
      <c r="C2299" s="2">
        <f t="shared" si="35"/>
        <v>-1.2997626780268379E-2</v>
      </c>
    </row>
    <row r="2300" spans="1:3" x14ac:dyDescent="0.2">
      <c r="A2300" s="1">
        <v>42731</v>
      </c>
      <c r="B2300">
        <v>28.133299999999998</v>
      </c>
      <c r="C2300" s="2">
        <f t="shared" si="35"/>
        <v>4.7494179237726197E-3</v>
      </c>
    </row>
    <row r="2301" spans="1:3" x14ac:dyDescent="0.2">
      <c r="A2301" s="1">
        <v>42727</v>
      </c>
      <c r="B2301">
        <v>28</v>
      </c>
      <c r="C2301" s="2">
        <f t="shared" si="35"/>
        <v>-3.9208747432365508E-3</v>
      </c>
    </row>
    <row r="2302" spans="1:3" x14ac:dyDescent="0.2">
      <c r="A2302" s="1">
        <v>42726</v>
      </c>
      <c r="B2302">
        <v>28.11</v>
      </c>
      <c r="C2302" s="2">
        <f t="shared" si="35"/>
        <v>1.1089364221849148E-2</v>
      </c>
    </row>
    <row r="2303" spans="1:3" x14ac:dyDescent="0.2">
      <c r="A2303" s="1">
        <v>42725</v>
      </c>
      <c r="B2303">
        <v>27.8</v>
      </c>
      <c r="C2303" s="2">
        <f t="shared" si="35"/>
        <v>-7.0506253900566472E-3</v>
      </c>
    </row>
    <row r="2304" spans="1:3" x14ac:dyDescent="0.2">
      <c r="A2304" s="1">
        <v>42724</v>
      </c>
      <c r="B2304">
        <v>27.996700000000001</v>
      </c>
      <c r="C2304" s="2">
        <f t="shared" si="35"/>
        <v>-1.663098170624315E-3</v>
      </c>
    </row>
    <row r="2305" spans="1:3" x14ac:dyDescent="0.2">
      <c r="A2305" s="1">
        <v>42723</v>
      </c>
      <c r="B2305">
        <v>28.043299999999999</v>
      </c>
      <c r="C2305" s="2">
        <f t="shared" si="35"/>
        <v>1.292040096072236E-2</v>
      </c>
    </row>
    <row r="2306" spans="1:3" x14ac:dyDescent="0.2">
      <c r="A2306" s="1">
        <v>42720</v>
      </c>
      <c r="B2306">
        <v>27.683299999999999</v>
      </c>
      <c r="C2306" s="2">
        <f t="shared" si="35"/>
        <v>-1.2446021880146988E-2</v>
      </c>
    </row>
    <row r="2307" spans="1:3" x14ac:dyDescent="0.2">
      <c r="A2307" s="1">
        <v>42719</v>
      </c>
      <c r="B2307">
        <v>28.03</v>
      </c>
      <c r="C2307" s="2">
        <f t="shared" ref="C2307:C2370" si="36">+LN(B2307/B2308)</f>
        <v>5.8429375826173097E-3</v>
      </c>
    </row>
    <row r="2308" spans="1:3" x14ac:dyDescent="0.2">
      <c r="A2308" s="1">
        <v>42718</v>
      </c>
      <c r="B2308">
        <v>27.866700000000002</v>
      </c>
      <c r="C2308" s="2">
        <f t="shared" si="36"/>
        <v>-7.6251515635306381E-3</v>
      </c>
    </row>
    <row r="2309" spans="1:3" x14ac:dyDescent="0.2">
      <c r="A2309" s="1">
        <v>42717</v>
      </c>
      <c r="B2309">
        <v>28.08</v>
      </c>
      <c r="C2309" s="2">
        <f t="shared" si="36"/>
        <v>-1.1851948149692467E-3</v>
      </c>
    </row>
    <row r="2310" spans="1:3" x14ac:dyDescent="0.2">
      <c r="A2310" s="1">
        <v>42716</v>
      </c>
      <c r="B2310">
        <v>28.113299999999999</v>
      </c>
      <c r="C2310" s="2">
        <f t="shared" si="36"/>
        <v>-3.4337510413253911E-3</v>
      </c>
    </row>
    <row r="2311" spans="1:3" x14ac:dyDescent="0.2">
      <c r="A2311" s="1">
        <v>42713</v>
      </c>
      <c r="B2311">
        <v>28.21</v>
      </c>
      <c r="C2311" s="2">
        <f t="shared" si="36"/>
        <v>4.0243932929741504E-3</v>
      </c>
    </row>
    <row r="2312" spans="1:3" x14ac:dyDescent="0.2">
      <c r="A2312" s="1">
        <v>42712</v>
      </c>
      <c r="B2312">
        <v>28.096699999999998</v>
      </c>
      <c r="C2312" s="2">
        <f t="shared" si="36"/>
        <v>2.6158247274956103E-3</v>
      </c>
    </row>
    <row r="2313" spans="1:3" x14ac:dyDescent="0.2">
      <c r="A2313" s="1">
        <v>42711</v>
      </c>
      <c r="B2313">
        <v>28.023299999999999</v>
      </c>
      <c r="C2313" s="2">
        <f t="shared" si="36"/>
        <v>1.0640459135431872E-2</v>
      </c>
    </row>
    <row r="2314" spans="1:3" x14ac:dyDescent="0.2">
      <c r="A2314" s="1">
        <v>42710</v>
      </c>
      <c r="B2314">
        <v>27.726700000000001</v>
      </c>
      <c r="C2314" s="2">
        <f t="shared" si="36"/>
        <v>8.2098431854779521E-3</v>
      </c>
    </row>
    <row r="2315" spans="1:3" x14ac:dyDescent="0.2">
      <c r="A2315" s="1">
        <v>42709</v>
      </c>
      <c r="B2315">
        <v>27.5</v>
      </c>
      <c r="C2315" s="2">
        <f t="shared" si="36"/>
        <v>9.9878951950627803E-3</v>
      </c>
    </row>
    <row r="2316" spans="1:3" x14ac:dyDescent="0.2">
      <c r="A2316" s="1">
        <v>42706</v>
      </c>
      <c r="B2316">
        <v>27.226700000000001</v>
      </c>
      <c r="C2316" s="2">
        <f t="shared" si="36"/>
        <v>-5.0045900386866326E-3</v>
      </c>
    </row>
    <row r="2317" spans="1:3" x14ac:dyDescent="0.2">
      <c r="A2317" s="1">
        <v>42705</v>
      </c>
      <c r="B2317">
        <v>27.363299999999999</v>
      </c>
      <c r="C2317" s="2">
        <f t="shared" si="36"/>
        <v>1.0529120049890539E-2</v>
      </c>
    </row>
    <row r="2318" spans="1:3" x14ac:dyDescent="0.2">
      <c r="A2318" s="1">
        <v>42704</v>
      </c>
      <c r="B2318">
        <v>27.076699999999999</v>
      </c>
      <c r="C2318" s="2">
        <f t="shared" si="36"/>
        <v>-8.6014841939634668E-4</v>
      </c>
    </row>
    <row r="2319" spans="1:3" x14ac:dyDescent="0.2">
      <c r="A2319" s="1">
        <v>42703</v>
      </c>
      <c r="B2319">
        <v>27.1</v>
      </c>
      <c r="C2319" s="2">
        <f t="shared" si="36"/>
        <v>-7.8400351590409388E-3</v>
      </c>
    </row>
    <row r="2320" spans="1:3" x14ac:dyDescent="0.2">
      <c r="A2320" s="1">
        <v>42702</v>
      </c>
      <c r="B2320">
        <v>27.313300000000002</v>
      </c>
      <c r="C2320" s="2">
        <f t="shared" si="36"/>
        <v>-1.2371306807546684E-2</v>
      </c>
    </row>
    <row r="2321" spans="1:3" x14ac:dyDescent="0.2">
      <c r="A2321" s="1">
        <v>42699</v>
      </c>
      <c r="B2321">
        <v>27.653300000000002</v>
      </c>
      <c r="C2321" s="2">
        <f t="shared" si="36"/>
        <v>6.5304459081607525E-3</v>
      </c>
    </row>
    <row r="2322" spans="1:3" x14ac:dyDescent="0.2">
      <c r="A2322" s="1">
        <v>42697</v>
      </c>
      <c r="B2322">
        <v>27.473299999999998</v>
      </c>
      <c r="C2322" s="2">
        <f t="shared" si="36"/>
        <v>8.1611028348290652E-3</v>
      </c>
    </row>
    <row r="2323" spans="1:3" x14ac:dyDescent="0.2">
      <c r="A2323" s="1">
        <v>42696</v>
      </c>
      <c r="B2323">
        <v>27.25</v>
      </c>
      <c r="C2323" s="2">
        <f t="shared" si="36"/>
        <v>1.2555556370438729E-2</v>
      </c>
    </row>
    <row r="2324" spans="1:3" x14ac:dyDescent="0.2">
      <c r="A2324" s="1">
        <v>42695</v>
      </c>
      <c r="B2324">
        <v>26.91</v>
      </c>
      <c r="C2324" s="2">
        <f t="shared" si="36"/>
        <v>-1.607774099519134E-3</v>
      </c>
    </row>
    <row r="2325" spans="1:3" x14ac:dyDescent="0.2">
      <c r="A2325" s="1">
        <v>42692</v>
      </c>
      <c r="B2325">
        <v>26.953299999999999</v>
      </c>
      <c r="C2325" s="2">
        <f t="shared" si="36"/>
        <v>-2.2235984746843793E-3</v>
      </c>
    </row>
    <row r="2326" spans="1:3" x14ac:dyDescent="0.2">
      <c r="A2326" s="1">
        <v>42691</v>
      </c>
      <c r="B2326">
        <v>27.013300000000001</v>
      </c>
      <c r="C2326" s="2">
        <f t="shared" si="36"/>
        <v>-4.3107893578223713E-3</v>
      </c>
    </row>
    <row r="2327" spans="1:3" x14ac:dyDescent="0.2">
      <c r="A2327" s="1">
        <v>42690</v>
      </c>
      <c r="B2327">
        <v>27.13</v>
      </c>
      <c r="C2327" s="2">
        <f t="shared" si="36"/>
        <v>-9.9028867231842031E-3</v>
      </c>
    </row>
    <row r="2328" spans="1:3" x14ac:dyDescent="0.2">
      <c r="A2328" s="1">
        <v>42689</v>
      </c>
      <c r="B2328">
        <v>27.4</v>
      </c>
      <c r="C2328" s="2">
        <f t="shared" si="36"/>
        <v>9.2875213628366496E-3</v>
      </c>
    </row>
    <row r="2329" spans="1:3" x14ac:dyDescent="0.2">
      <c r="A2329" s="1">
        <v>42688</v>
      </c>
      <c r="B2329">
        <v>27.146699999999999</v>
      </c>
      <c r="C2329" s="2">
        <f t="shared" si="36"/>
        <v>2.3103719104169529E-2</v>
      </c>
    </row>
    <row r="2330" spans="1:3" x14ac:dyDescent="0.2">
      <c r="A2330" s="1">
        <v>42685</v>
      </c>
      <c r="B2330">
        <v>26.526700000000002</v>
      </c>
      <c r="C2330" s="2">
        <f t="shared" si="36"/>
        <v>4.9127705878990388E-3</v>
      </c>
    </row>
    <row r="2331" spans="1:3" x14ac:dyDescent="0.2">
      <c r="A2331" s="1">
        <v>42684</v>
      </c>
      <c r="B2331">
        <v>26.396699999999999</v>
      </c>
      <c r="C2331" s="2">
        <f t="shared" si="36"/>
        <v>1.0794239257466092E-2</v>
      </c>
    </row>
    <row r="2332" spans="1:3" x14ac:dyDescent="0.2">
      <c r="A2332" s="1">
        <v>42683</v>
      </c>
      <c r="B2332">
        <v>26.113299999999999</v>
      </c>
      <c r="C2332" s="2">
        <f t="shared" si="36"/>
        <v>2.6644960058781513E-2</v>
      </c>
    </row>
    <row r="2333" spans="1:3" x14ac:dyDescent="0.2">
      <c r="A2333" s="1">
        <v>42682</v>
      </c>
      <c r="B2333">
        <v>25.4267</v>
      </c>
      <c r="C2333" s="2">
        <f t="shared" si="36"/>
        <v>-5.2293544904972078E-4</v>
      </c>
    </row>
    <row r="2334" spans="1:3" x14ac:dyDescent="0.2">
      <c r="A2334" s="1">
        <v>42681</v>
      </c>
      <c r="B2334">
        <v>25.44</v>
      </c>
      <c r="C2334" s="2">
        <f t="shared" si="36"/>
        <v>1.5848192240023713E-2</v>
      </c>
    </row>
    <row r="2335" spans="1:3" x14ac:dyDescent="0.2">
      <c r="A2335" s="1">
        <v>42678</v>
      </c>
      <c r="B2335">
        <v>25.04</v>
      </c>
      <c r="C2335" s="2">
        <f t="shared" si="36"/>
        <v>8.0192891666197967E-3</v>
      </c>
    </row>
    <row r="2336" spans="1:3" x14ac:dyDescent="0.2">
      <c r="A2336" s="1">
        <v>42677</v>
      </c>
      <c r="B2336">
        <v>24.84</v>
      </c>
      <c r="C2336" s="2">
        <f t="shared" si="36"/>
        <v>0</v>
      </c>
    </row>
    <row r="2337" spans="1:3" x14ac:dyDescent="0.2">
      <c r="A2337" s="1">
        <v>42676</v>
      </c>
      <c r="B2337">
        <v>24.84</v>
      </c>
      <c r="C2337" s="2">
        <f t="shared" si="36"/>
        <v>-4.1499919955650146E-3</v>
      </c>
    </row>
    <row r="2338" spans="1:3" x14ac:dyDescent="0.2">
      <c r="A2338" s="1">
        <v>42675</v>
      </c>
      <c r="B2338">
        <v>24.943300000000001</v>
      </c>
      <c r="C2338" s="2">
        <f t="shared" si="36"/>
        <v>-9.3768790681443006E-4</v>
      </c>
    </row>
    <row r="2339" spans="1:3" x14ac:dyDescent="0.2">
      <c r="A2339" s="1">
        <v>42674</v>
      </c>
      <c r="B2339">
        <v>24.966699999999999</v>
      </c>
      <c r="C2339" s="2">
        <f t="shared" si="36"/>
        <v>3.8806791523440295E-3</v>
      </c>
    </row>
    <row r="2340" spans="1:3" x14ac:dyDescent="0.2">
      <c r="A2340" s="1">
        <v>42671</v>
      </c>
      <c r="B2340">
        <v>24.87</v>
      </c>
      <c r="C2340" s="2">
        <f t="shared" si="36"/>
        <v>-1.4745857660331174E-3</v>
      </c>
    </row>
    <row r="2341" spans="1:3" x14ac:dyDescent="0.2">
      <c r="A2341" s="1">
        <v>42670</v>
      </c>
      <c r="B2341">
        <v>24.906700000000001</v>
      </c>
      <c r="C2341" s="2">
        <f t="shared" si="36"/>
        <v>-4.2708398250239418E-3</v>
      </c>
    </row>
    <row r="2342" spans="1:3" x14ac:dyDescent="0.2">
      <c r="A2342" s="1">
        <v>42669</v>
      </c>
      <c r="B2342">
        <v>25.013300000000001</v>
      </c>
      <c r="C2342" s="2">
        <f t="shared" si="36"/>
        <v>1.3193851684250956E-4</v>
      </c>
    </row>
    <row r="2343" spans="1:3" x14ac:dyDescent="0.2">
      <c r="A2343" s="1">
        <v>42668</v>
      </c>
      <c r="B2343">
        <v>25.01</v>
      </c>
      <c r="C2343" s="2">
        <f t="shared" si="36"/>
        <v>-1.0211578351032058E-2</v>
      </c>
    </row>
    <row r="2344" spans="1:3" x14ac:dyDescent="0.2">
      <c r="A2344" s="1">
        <v>42667</v>
      </c>
      <c r="B2344">
        <v>25.2667</v>
      </c>
      <c r="C2344" s="2">
        <f t="shared" si="36"/>
        <v>-8.9283493022408057E-3</v>
      </c>
    </row>
    <row r="2345" spans="1:3" x14ac:dyDescent="0.2">
      <c r="A2345" s="1">
        <v>42664</v>
      </c>
      <c r="B2345">
        <v>25.493300000000001</v>
      </c>
      <c r="C2345" s="2">
        <f t="shared" si="36"/>
        <v>4.3241950682381472E-3</v>
      </c>
    </row>
    <row r="2346" spans="1:3" x14ac:dyDescent="0.2">
      <c r="A2346" s="1">
        <v>42663</v>
      </c>
      <c r="B2346">
        <v>25.383299999999998</v>
      </c>
      <c r="C2346" s="2">
        <f t="shared" si="36"/>
        <v>4.9670460748457115E-2</v>
      </c>
    </row>
    <row r="2347" spans="1:3" x14ac:dyDescent="0.2">
      <c r="A2347" s="1">
        <v>42662</v>
      </c>
      <c r="B2347">
        <v>24.153300000000002</v>
      </c>
      <c r="C2347" s="2">
        <f t="shared" si="36"/>
        <v>1.501698828583002E-2</v>
      </c>
    </row>
    <row r="2348" spans="1:3" x14ac:dyDescent="0.2">
      <c r="A2348" s="1">
        <v>42661</v>
      </c>
      <c r="B2348">
        <v>23.793299999999999</v>
      </c>
      <c r="C2348" s="2">
        <f t="shared" si="36"/>
        <v>-7.5366826201977025E-3</v>
      </c>
    </row>
    <row r="2349" spans="1:3" x14ac:dyDescent="0.2">
      <c r="A2349" s="1">
        <v>42660</v>
      </c>
      <c r="B2349">
        <v>23.973299999999998</v>
      </c>
      <c r="C2349" s="2">
        <f t="shared" si="36"/>
        <v>6.9736573952404084E-3</v>
      </c>
    </row>
    <row r="2350" spans="1:3" x14ac:dyDescent="0.2">
      <c r="A2350" s="1">
        <v>42657</v>
      </c>
      <c r="B2350">
        <v>23.806699999999999</v>
      </c>
      <c r="C2350" s="2">
        <f t="shared" si="36"/>
        <v>4.6312557253354288E-3</v>
      </c>
    </row>
    <row r="2351" spans="1:3" x14ac:dyDescent="0.2">
      <c r="A2351" s="1">
        <v>42656</v>
      </c>
      <c r="B2351">
        <v>23.6967</v>
      </c>
      <c r="C2351" s="2">
        <f t="shared" si="36"/>
        <v>9.7534029904735395E-3</v>
      </c>
    </row>
    <row r="2352" spans="1:3" x14ac:dyDescent="0.2">
      <c r="A2352" s="1">
        <v>42655</v>
      </c>
      <c r="B2352">
        <v>23.466699999999999</v>
      </c>
      <c r="C2352" s="2">
        <f t="shared" si="36"/>
        <v>4.2704630444828657E-3</v>
      </c>
    </row>
    <row r="2353" spans="1:3" x14ac:dyDescent="0.2">
      <c r="A2353" s="1">
        <v>42654</v>
      </c>
      <c r="B2353">
        <v>23.366700000000002</v>
      </c>
      <c r="C2353" s="2">
        <f t="shared" si="36"/>
        <v>-2.4376603336719597E-2</v>
      </c>
    </row>
    <row r="2354" spans="1:3" x14ac:dyDescent="0.2">
      <c r="A2354" s="1">
        <v>42653</v>
      </c>
      <c r="B2354">
        <v>23.943300000000001</v>
      </c>
      <c r="C2354" s="2">
        <f t="shared" si="36"/>
        <v>-4.0305744253463097E-3</v>
      </c>
    </row>
    <row r="2355" spans="1:3" x14ac:dyDescent="0.2">
      <c r="A2355" s="1">
        <v>42650</v>
      </c>
      <c r="B2355">
        <v>24.04</v>
      </c>
      <c r="C2355" s="2">
        <f t="shared" si="36"/>
        <v>-3.9424679295608916E-2</v>
      </c>
    </row>
    <row r="2356" spans="1:3" x14ac:dyDescent="0.2">
      <c r="A2356" s="1">
        <v>42649</v>
      </c>
      <c r="B2356">
        <v>25.006699999999999</v>
      </c>
      <c r="C2356" s="2">
        <f t="shared" si="36"/>
        <v>-5.5828862503319761E-3</v>
      </c>
    </row>
    <row r="2357" spans="1:3" x14ac:dyDescent="0.2">
      <c r="A2357" s="1">
        <v>42648</v>
      </c>
      <c r="B2357">
        <v>25.146699999999999</v>
      </c>
      <c r="C2357" s="2">
        <f t="shared" si="36"/>
        <v>2.5237564144937028E-2</v>
      </c>
    </row>
    <row r="2358" spans="1:3" x14ac:dyDescent="0.2">
      <c r="A2358" s="1">
        <v>42647</v>
      </c>
      <c r="B2358">
        <v>24.52</v>
      </c>
      <c r="C2358" s="2">
        <f t="shared" si="36"/>
        <v>-4.2040380740849129E-3</v>
      </c>
    </row>
    <row r="2359" spans="1:3" x14ac:dyDescent="0.2">
      <c r="A2359" s="1">
        <v>42646</v>
      </c>
      <c r="B2359">
        <v>24.6233</v>
      </c>
      <c r="C2359" s="2">
        <f t="shared" si="36"/>
        <v>-1.7610067444027021E-3</v>
      </c>
    </row>
    <row r="2360" spans="1:3" x14ac:dyDescent="0.2">
      <c r="A2360" s="1">
        <v>42643</v>
      </c>
      <c r="B2360">
        <v>24.666699999999999</v>
      </c>
      <c r="C2360" s="2">
        <f t="shared" si="36"/>
        <v>1.1555684143407755E-2</v>
      </c>
    </row>
    <row r="2361" spans="1:3" x14ac:dyDescent="0.2">
      <c r="A2361" s="1">
        <v>42642</v>
      </c>
      <c r="B2361">
        <v>24.383299999999998</v>
      </c>
      <c r="C2361" s="2">
        <f t="shared" si="36"/>
        <v>-1.4118609790234391E-2</v>
      </c>
    </row>
    <row r="2362" spans="1:3" x14ac:dyDescent="0.2">
      <c r="A2362" s="1">
        <v>42641</v>
      </c>
      <c r="B2362">
        <v>24.73</v>
      </c>
      <c r="C2362" s="2">
        <f t="shared" si="36"/>
        <v>1.193098089648377E-2</v>
      </c>
    </row>
    <row r="2363" spans="1:3" x14ac:dyDescent="0.2">
      <c r="A2363" s="1">
        <v>42640</v>
      </c>
      <c r="B2363">
        <v>24.436699999999998</v>
      </c>
      <c r="C2363" s="2">
        <f t="shared" si="36"/>
        <v>3.5542511082422459E-3</v>
      </c>
    </row>
    <row r="2364" spans="1:3" x14ac:dyDescent="0.2">
      <c r="A2364" s="1">
        <v>42639</v>
      </c>
      <c r="B2364">
        <v>24.35</v>
      </c>
      <c r="C2364" s="2">
        <f t="shared" si="36"/>
        <v>-6.683977871304681E-3</v>
      </c>
    </row>
    <row r="2365" spans="1:3" x14ac:dyDescent="0.2">
      <c r="A2365" s="1">
        <v>42636</v>
      </c>
      <c r="B2365">
        <v>24.513300000000001</v>
      </c>
      <c r="C2365" s="2">
        <f t="shared" si="36"/>
        <v>-3.0797741878753147E-2</v>
      </c>
    </row>
    <row r="2366" spans="1:3" x14ac:dyDescent="0.2">
      <c r="A2366" s="1">
        <v>42635</v>
      </c>
      <c r="B2366">
        <v>25.28</v>
      </c>
      <c r="C2366" s="2">
        <f t="shared" si="36"/>
        <v>2.429188197588892E-2</v>
      </c>
    </row>
    <row r="2367" spans="1:3" x14ac:dyDescent="0.2">
      <c r="A2367" s="1">
        <v>42634</v>
      </c>
      <c r="B2367">
        <v>24.673300000000001</v>
      </c>
      <c r="C2367" s="2">
        <f t="shared" si="36"/>
        <v>1.1683785582005984E-2</v>
      </c>
    </row>
    <row r="2368" spans="1:3" x14ac:dyDescent="0.2">
      <c r="A2368" s="1">
        <v>42633</v>
      </c>
      <c r="B2368">
        <v>24.386700000000001</v>
      </c>
      <c r="C2368" s="2">
        <f t="shared" si="36"/>
        <v>-1.0199299403896946E-2</v>
      </c>
    </row>
    <row r="2369" spans="1:3" x14ac:dyDescent="0.2">
      <c r="A2369" s="1">
        <v>42632</v>
      </c>
      <c r="B2369">
        <v>24.636700000000001</v>
      </c>
      <c r="C2369" s="2">
        <f t="shared" si="36"/>
        <v>6.7893236700782757E-3</v>
      </c>
    </row>
    <row r="2370" spans="1:3" x14ac:dyDescent="0.2">
      <c r="A2370" s="1">
        <v>42629</v>
      </c>
      <c r="B2370">
        <v>24.47</v>
      </c>
      <c r="C2370" s="2">
        <f t="shared" si="36"/>
        <v>-1.2318582849156831E-2</v>
      </c>
    </row>
    <row r="2371" spans="1:3" x14ac:dyDescent="0.2">
      <c r="A2371" s="1">
        <v>42628</v>
      </c>
      <c r="B2371">
        <v>24.773299999999999</v>
      </c>
      <c r="C2371" s="2">
        <f t="shared" ref="C2371:C2434" si="37">+LN(B2371/B2372)</f>
        <v>1.8878671975705266E-2</v>
      </c>
    </row>
    <row r="2372" spans="1:3" x14ac:dyDescent="0.2">
      <c r="A2372" s="1">
        <v>42627</v>
      </c>
      <c r="B2372">
        <v>24.31</v>
      </c>
      <c r="C2372" s="2">
        <f t="shared" si="37"/>
        <v>6.6034082294502078E-3</v>
      </c>
    </row>
    <row r="2373" spans="1:3" x14ac:dyDescent="0.2">
      <c r="A2373" s="1">
        <v>42626</v>
      </c>
      <c r="B2373">
        <v>24.15</v>
      </c>
      <c r="C2373" s="2">
        <f t="shared" si="37"/>
        <v>-1.5339305926863776E-2</v>
      </c>
    </row>
    <row r="2374" spans="1:3" x14ac:dyDescent="0.2">
      <c r="A2374" s="1">
        <v>42625</v>
      </c>
      <c r="B2374">
        <v>24.523299999999999</v>
      </c>
      <c r="C2374" s="2">
        <f t="shared" si="37"/>
        <v>2.5326904555212065E-2</v>
      </c>
    </row>
    <row r="2375" spans="1:3" x14ac:dyDescent="0.2">
      <c r="A2375" s="1">
        <v>42622</v>
      </c>
      <c r="B2375">
        <v>23.91</v>
      </c>
      <c r="C2375" s="2">
        <f t="shared" si="37"/>
        <v>-2.3559676173892E-2</v>
      </c>
    </row>
    <row r="2376" spans="1:3" x14ac:dyDescent="0.2">
      <c r="A2376" s="1">
        <v>42621</v>
      </c>
      <c r="B2376">
        <v>24.48</v>
      </c>
      <c r="C2376" s="2">
        <f t="shared" si="37"/>
        <v>-1.7681803750307968E-2</v>
      </c>
    </row>
    <row r="2377" spans="1:3" x14ac:dyDescent="0.2">
      <c r="A2377" s="1">
        <v>42620</v>
      </c>
      <c r="B2377">
        <v>24.916699999999999</v>
      </c>
      <c r="C2377" s="2">
        <f t="shared" si="37"/>
        <v>4.5615525596652716E-3</v>
      </c>
    </row>
    <row r="2378" spans="1:3" x14ac:dyDescent="0.2">
      <c r="A2378" s="1">
        <v>42619</v>
      </c>
      <c r="B2378">
        <v>24.8033</v>
      </c>
      <c r="C2378" s="2">
        <f t="shared" si="37"/>
        <v>-8.8306819910966387E-3</v>
      </c>
    </row>
    <row r="2379" spans="1:3" x14ac:dyDescent="0.2">
      <c r="A2379" s="1">
        <v>42615</v>
      </c>
      <c r="B2379">
        <v>25.023299999999999</v>
      </c>
      <c r="C2379" s="2">
        <f t="shared" si="37"/>
        <v>2.5089021769971655E-2</v>
      </c>
    </row>
    <row r="2380" spans="1:3" x14ac:dyDescent="0.2">
      <c r="A2380" s="1">
        <v>42614</v>
      </c>
      <c r="B2380">
        <v>24.403300000000002</v>
      </c>
      <c r="C2380" s="2">
        <f t="shared" si="37"/>
        <v>-6.2663603744404408E-3</v>
      </c>
    </row>
    <row r="2381" spans="1:3" x14ac:dyDescent="0.2">
      <c r="A2381" s="1">
        <v>42613</v>
      </c>
      <c r="B2381">
        <v>24.556699999999999</v>
      </c>
      <c r="C2381" s="2">
        <f t="shared" si="37"/>
        <v>-1.588909276719409E-2</v>
      </c>
    </row>
    <row r="2382" spans="1:3" x14ac:dyDescent="0.2">
      <c r="A2382" s="1">
        <v>42612</v>
      </c>
      <c r="B2382">
        <v>24.95</v>
      </c>
      <c r="C2382" s="2">
        <f t="shared" si="37"/>
        <v>-9.1762064186734302E-3</v>
      </c>
    </row>
    <row r="2383" spans="1:3" x14ac:dyDescent="0.2">
      <c r="A2383" s="1">
        <v>42611</v>
      </c>
      <c r="B2383">
        <v>25.18</v>
      </c>
      <c r="C2383" s="2">
        <f t="shared" si="37"/>
        <v>3.4491503821391504E-3</v>
      </c>
    </row>
    <row r="2384" spans="1:3" x14ac:dyDescent="0.2">
      <c r="A2384" s="1">
        <v>42608</v>
      </c>
      <c r="B2384">
        <v>25.093299999999999</v>
      </c>
      <c r="C2384" s="2">
        <f t="shared" si="37"/>
        <v>2.5257727903792607E-3</v>
      </c>
    </row>
    <row r="2385" spans="1:3" x14ac:dyDescent="0.2">
      <c r="A2385" s="1">
        <v>42607</v>
      </c>
      <c r="B2385">
        <v>25.03</v>
      </c>
      <c r="C2385" s="2">
        <f t="shared" si="37"/>
        <v>3.4698563828397685E-3</v>
      </c>
    </row>
    <row r="2386" spans="1:3" x14ac:dyDescent="0.2">
      <c r="A2386" s="1">
        <v>42606</v>
      </c>
      <c r="B2386">
        <v>24.943300000000001</v>
      </c>
      <c r="C2386" s="2">
        <f t="shared" si="37"/>
        <v>-1.0107784500570498E-2</v>
      </c>
    </row>
    <row r="2387" spans="1:3" x14ac:dyDescent="0.2">
      <c r="A2387" s="1">
        <v>42605</v>
      </c>
      <c r="B2387">
        <v>25.1967</v>
      </c>
      <c r="C2387" s="2">
        <f t="shared" si="37"/>
        <v>8.5054319046217759E-3</v>
      </c>
    </row>
    <row r="2388" spans="1:3" x14ac:dyDescent="0.2">
      <c r="A2388" s="1">
        <v>42604</v>
      </c>
      <c r="B2388">
        <v>24.9833</v>
      </c>
      <c r="C2388" s="2">
        <f t="shared" si="37"/>
        <v>3.7414852772910448E-3</v>
      </c>
    </row>
    <row r="2389" spans="1:3" x14ac:dyDescent="0.2">
      <c r="A2389" s="1">
        <v>42601</v>
      </c>
      <c r="B2389">
        <v>24.89</v>
      </c>
      <c r="C2389" s="2">
        <f t="shared" si="37"/>
        <v>1.1719673441183453E-2</v>
      </c>
    </row>
    <row r="2390" spans="1:3" x14ac:dyDescent="0.2">
      <c r="A2390" s="1">
        <v>42600</v>
      </c>
      <c r="B2390">
        <v>24.6</v>
      </c>
      <c r="C2390" s="2">
        <f t="shared" si="37"/>
        <v>5.1637155653620074E-3</v>
      </c>
    </row>
    <row r="2391" spans="1:3" x14ac:dyDescent="0.2">
      <c r="A2391" s="1">
        <v>42599</v>
      </c>
      <c r="B2391">
        <v>24.473299999999998</v>
      </c>
      <c r="C2391" s="2">
        <f t="shared" si="37"/>
        <v>1.2265776346364395E-3</v>
      </c>
    </row>
    <row r="2392" spans="1:3" x14ac:dyDescent="0.2">
      <c r="A2392" s="1">
        <v>42598</v>
      </c>
      <c r="B2392">
        <v>24.443300000000001</v>
      </c>
      <c r="C2392" s="2">
        <f t="shared" si="37"/>
        <v>-8.1489085307983843E-3</v>
      </c>
    </row>
    <row r="2393" spans="1:3" x14ac:dyDescent="0.2">
      <c r="A2393" s="1">
        <v>42597</v>
      </c>
      <c r="B2393">
        <v>24.6433</v>
      </c>
      <c r="C2393" s="2">
        <f t="shared" si="37"/>
        <v>3.5203288387835249E-3</v>
      </c>
    </row>
    <row r="2394" spans="1:3" x14ac:dyDescent="0.2">
      <c r="A2394" s="1">
        <v>42594</v>
      </c>
      <c r="B2394">
        <v>24.556699999999999</v>
      </c>
      <c r="C2394" s="2">
        <f t="shared" si="37"/>
        <v>-5.0084696068535368E-3</v>
      </c>
    </row>
    <row r="2395" spans="1:3" x14ac:dyDescent="0.2">
      <c r="A2395" s="1">
        <v>42593</v>
      </c>
      <c r="B2395">
        <v>24.68</v>
      </c>
      <c r="C2395" s="2">
        <f t="shared" si="37"/>
        <v>7.3200814865058512E-3</v>
      </c>
    </row>
    <row r="2396" spans="1:3" x14ac:dyDescent="0.2">
      <c r="A2396" s="1">
        <v>42592</v>
      </c>
      <c r="B2396">
        <v>24.5</v>
      </c>
      <c r="C2396" s="2">
        <f t="shared" si="37"/>
        <v>-3.3942330680156361E-3</v>
      </c>
    </row>
    <row r="2397" spans="1:3" x14ac:dyDescent="0.2">
      <c r="A2397" s="1">
        <v>42591</v>
      </c>
      <c r="B2397">
        <v>24.583300000000001</v>
      </c>
      <c r="C2397" s="2">
        <f t="shared" si="37"/>
        <v>-2.8434151489968866E-3</v>
      </c>
    </row>
    <row r="2398" spans="1:3" x14ac:dyDescent="0.2">
      <c r="A2398" s="1">
        <v>42590</v>
      </c>
      <c r="B2398">
        <v>24.653300000000002</v>
      </c>
      <c r="C2398" s="2">
        <f t="shared" si="37"/>
        <v>4.0570749857671854E-4</v>
      </c>
    </row>
    <row r="2399" spans="1:3" x14ac:dyDescent="0.2">
      <c r="A2399" s="1">
        <v>42587</v>
      </c>
      <c r="B2399">
        <v>24.6433</v>
      </c>
      <c r="C2399" s="2">
        <f t="shared" si="37"/>
        <v>7.3310229646418633E-3</v>
      </c>
    </row>
    <row r="2400" spans="1:3" x14ac:dyDescent="0.2">
      <c r="A2400" s="1">
        <v>42586</v>
      </c>
      <c r="B2400">
        <v>24.4633</v>
      </c>
      <c r="C2400" s="2">
        <f t="shared" si="37"/>
        <v>2.0459695413194714E-3</v>
      </c>
    </row>
    <row r="2401" spans="1:3" x14ac:dyDescent="0.2">
      <c r="A2401" s="1">
        <v>42585</v>
      </c>
      <c r="B2401">
        <v>24.4133</v>
      </c>
      <c r="C2401" s="2">
        <f t="shared" si="37"/>
        <v>1.0901640423940284E-3</v>
      </c>
    </row>
    <row r="2402" spans="1:3" x14ac:dyDescent="0.2">
      <c r="A2402" s="1">
        <v>42584</v>
      </c>
      <c r="B2402">
        <v>24.386700000000001</v>
      </c>
      <c r="C2402" s="2">
        <f t="shared" si="37"/>
        <v>-8.3019545073395318E-3</v>
      </c>
    </row>
    <row r="2403" spans="1:3" x14ac:dyDescent="0.2">
      <c r="A2403" s="1">
        <v>42583</v>
      </c>
      <c r="B2403">
        <v>24.59</v>
      </c>
      <c r="C2403" s="2">
        <f t="shared" si="37"/>
        <v>-3.248074313164226E-3</v>
      </c>
    </row>
    <row r="2404" spans="1:3" x14ac:dyDescent="0.2">
      <c r="A2404" s="1">
        <v>42580</v>
      </c>
      <c r="B2404">
        <v>24.67</v>
      </c>
      <c r="C2404" s="2">
        <f t="shared" si="37"/>
        <v>9.50182990442415E-3</v>
      </c>
    </row>
    <row r="2405" spans="1:3" x14ac:dyDescent="0.2">
      <c r="A2405" s="1">
        <v>42579</v>
      </c>
      <c r="B2405">
        <v>24.436699999999998</v>
      </c>
      <c r="C2405" s="2">
        <f t="shared" si="37"/>
        <v>-1.4890608197926921E-2</v>
      </c>
    </row>
    <row r="2406" spans="1:3" x14ac:dyDescent="0.2">
      <c r="A2406" s="1">
        <v>42578</v>
      </c>
      <c r="B2406">
        <v>24.8033</v>
      </c>
      <c r="C2406" s="2">
        <f t="shared" si="37"/>
        <v>-5.4962314171223383E-3</v>
      </c>
    </row>
    <row r="2407" spans="1:3" x14ac:dyDescent="0.2">
      <c r="A2407" s="1">
        <v>42577</v>
      </c>
      <c r="B2407">
        <v>24.94</v>
      </c>
      <c r="C2407" s="2">
        <f t="shared" si="37"/>
        <v>6.4360640508940702E-3</v>
      </c>
    </row>
    <row r="2408" spans="1:3" x14ac:dyDescent="0.2">
      <c r="A2408" s="1">
        <v>42576</v>
      </c>
      <c r="B2408">
        <v>24.78</v>
      </c>
      <c r="C2408" s="2">
        <f t="shared" si="37"/>
        <v>7.5628280823570281E-3</v>
      </c>
    </row>
    <row r="2409" spans="1:3" x14ac:dyDescent="0.2">
      <c r="A2409" s="1">
        <v>42573</v>
      </c>
      <c r="B2409">
        <v>24.593299999999999</v>
      </c>
      <c r="C2409" s="2">
        <f t="shared" si="37"/>
        <v>5.5698411068887364E-3</v>
      </c>
    </row>
    <row r="2410" spans="1:3" x14ac:dyDescent="0.2">
      <c r="A2410" s="1">
        <v>42572</v>
      </c>
      <c r="B2410">
        <v>24.456700000000001</v>
      </c>
      <c r="C2410" s="2">
        <f t="shared" si="37"/>
        <v>-9.0004028248277135E-2</v>
      </c>
    </row>
    <row r="2411" spans="1:3" x14ac:dyDescent="0.2">
      <c r="A2411" s="1">
        <v>42571</v>
      </c>
      <c r="B2411">
        <v>26.76</v>
      </c>
      <c r="C2411" s="2">
        <f t="shared" si="37"/>
        <v>7.8784875720798106E-3</v>
      </c>
    </row>
    <row r="2412" spans="1:3" x14ac:dyDescent="0.2">
      <c r="A2412" s="1">
        <v>42570</v>
      </c>
      <c r="B2412">
        <v>26.55</v>
      </c>
      <c r="C2412" s="2">
        <f t="shared" si="37"/>
        <v>-4.1345670626147385E-3</v>
      </c>
    </row>
    <row r="2413" spans="1:3" x14ac:dyDescent="0.2">
      <c r="A2413" s="1">
        <v>42569</v>
      </c>
      <c r="B2413">
        <v>26.66</v>
      </c>
      <c r="C2413" s="2">
        <f t="shared" si="37"/>
        <v>-4.3677916312062672E-3</v>
      </c>
    </row>
    <row r="2414" spans="1:3" x14ac:dyDescent="0.2">
      <c r="A2414" s="1">
        <v>42566</v>
      </c>
      <c r="B2414">
        <v>26.776700000000002</v>
      </c>
      <c r="C2414" s="2">
        <f t="shared" si="37"/>
        <v>7.471971117286204E-4</v>
      </c>
    </row>
    <row r="2415" spans="1:3" x14ac:dyDescent="0.2">
      <c r="A2415" s="1">
        <v>42565</v>
      </c>
      <c r="B2415">
        <v>26.756699999999999</v>
      </c>
      <c r="C2415" s="2">
        <f t="shared" si="37"/>
        <v>-6.2021298457386035E-4</v>
      </c>
    </row>
    <row r="2416" spans="1:3" x14ac:dyDescent="0.2">
      <c r="A2416" s="1">
        <v>42564</v>
      </c>
      <c r="B2416">
        <v>26.773299999999999</v>
      </c>
      <c r="C2416" s="2">
        <f t="shared" si="37"/>
        <v>-5.7132371419576777E-3</v>
      </c>
    </row>
    <row r="2417" spans="1:3" x14ac:dyDescent="0.2">
      <c r="A2417" s="1">
        <v>42563</v>
      </c>
      <c r="B2417">
        <v>26.9267</v>
      </c>
      <c r="C2417" s="2">
        <f t="shared" si="37"/>
        <v>3.9704815430392122E-3</v>
      </c>
    </row>
    <row r="2418" spans="1:3" x14ac:dyDescent="0.2">
      <c r="A2418" s="1">
        <v>42562</v>
      </c>
      <c r="B2418">
        <v>26.82</v>
      </c>
      <c r="C2418" s="2">
        <f t="shared" si="37"/>
        <v>1.175034662884261E-2</v>
      </c>
    </row>
    <row r="2419" spans="1:3" x14ac:dyDescent="0.2">
      <c r="A2419" s="1">
        <v>42559</v>
      </c>
      <c r="B2419">
        <v>26.506699999999999</v>
      </c>
      <c r="C2419" s="2">
        <f t="shared" si="37"/>
        <v>2.4441104044662858E-2</v>
      </c>
    </row>
    <row r="2420" spans="1:3" x14ac:dyDescent="0.2">
      <c r="A2420" s="1">
        <v>42558</v>
      </c>
      <c r="B2420">
        <v>25.866700000000002</v>
      </c>
      <c r="C2420" s="2">
        <f t="shared" si="37"/>
        <v>1.1927797670692911E-2</v>
      </c>
    </row>
    <row r="2421" spans="1:3" x14ac:dyDescent="0.2">
      <c r="A2421" s="1">
        <v>42557</v>
      </c>
      <c r="B2421">
        <v>25.56</v>
      </c>
      <c r="C2421" s="2">
        <f t="shared" si="37"/>
        <v>-9.0861387704902347E-3</v>
      </c>
    </row>
    <row r="2422" spans="1:3" x14ac:dyDescent="0.2">
      <c r="A2422" s="1">
        <v>42556</v>
      </c>
      <c r="B2422">
        <v>25.793299999999999</v>
      </c>
      <c r="C2422" s="2">
        <f t="shared" si="37"/>
        <v>-1.3478175253515452E-2</v>
      </c>
    </row>
    <row r="2423" spans="1:3" x14ac:dyDescent="0.2">
      <c r="A2423" s="1">
        <v>42552</v>
      </c>
      <c r="B2423">
        <v>26.1433</v>
      </c>
      <c r="C2423" s="2">
        <f t="shared" si="37"/>
        <v>-7.1160299748782513E-3</v>
      </c>
    </row>
    <row r="2424" spans="1:3" x14ac:dyDescent="0.2">
      <c r="A2424" s="1">
        <v>42551</v>
      </c>
      <c r="B2424">
        <v>26.33</v>
      </c>
      <c r="C2424" s="2">
        <f t="shared" si="37"/>
        <v>2.1237990397031826E-2</v>
      </c>
    </row>
    <row r="2425" spans="1:3" x14ac:dyDescent="0.2">
      <c r="A2425" s="1">
        <v>42550</v>
      </c>
      <c r="B2425">
        <v>25.776700000000002</v>
      </c>
      <c r="C2425" s="2">
        <f t="shared" si="37"/>
        <v>1.9853061711083333E-2</v>
      </c>
    </row>
    <row r="2426" spans="1:3" x14ac:dyDescent="0.2">
      <c r="A2426" s="1">
        <v>42549</v>
      </c>
      <c r="B2426">
        <v>25.27</v>
      </c>
      <c r="C2426" s="2">
        <f t="shared" si="37"/>
        <v>1.1142176553241803E-2</v>
      </c>
    </row>
    <row r="2427" spans="1:3" x14ac:dyDescent="0.2">
      <c r="A2427" s="1">
        <v>42548</v>
      </c>
      <c r="B2427">
        <v>24.99</v>
      </c>
      <c r="C2427" s="2">
        <f t="shared" si="37"/>
        <v>-3.2933095678644567E-2</v>
      </c>
    </row>
    <row r="2428" spans="1:3" x14ac:dyDescent="0.2">
      <c r="A2428" s="1">
        <v>42545</v>
      </c>
      <c r="B2428">
        <v>25.826699999999999</v>
      </c>
      <c r="C2428" s="2">
        <f t="shared" si="37"/>
        <v>-6.3260683596284881E-2</v>
      </c>
    </row>
    <row r="2429" spans="1:3" x14ac:dyDescent="0.2">
      <c r="A2429" s="1">
        <v>42544</v>
      </c>
      <c r="B2429">
        <v>27.513300000000001</v>
      </c>
      <c r="C2429" s="2">
        <f t="shared" si="37"/>
        <v>2.2420568458227604E-2</v>
      </c>
    </row>
    <row r="2430" spans="1:3" x14ac:dyDescent="0.2">
      <c r="A2430" s="1">
        <v>42543</v>
      </c>
      <c r="B2430">
        <v>26.903300000000002</v>
      </c>
      <c r="C2430" s="2">
        <f t="shared" si="37"/>
        <v>2.2327002982422354E-3</v>
      </c>
    </row>
    <row r="2431" spans="1:3" x14ac:dyDescent="0.2">
      <c r="A2431" s="1">
        <v>42542</v>
      </c>
      <c r="B2431">
        <v>26.843299999999999</v>
      </c>
      <c r="C2431" s="2">
        <f t="shared" si="37"/>
        <v>-7.0531840415540992E-3</v>
      </c>
    </row>
    <row r="2432" spans="1:3" x14ac:dyDescent="0.2">
      <c r="A2432" s="1">
        <v>42541</v>
      </c>
      <c r="B2432">
        <v>27.033300000000001</v>
      </c>
      <c r="C2432" s="2">
        <f t="shared" si="37"/>
        <v>2.0679708338067117E-2</v>
      </c>
    </row>
    <row r="2433" spans="1:3" x14ac:dyDescent="0.2">
      <c r="A2433" s="1">
        <v>42538</v>
      </c>
      <c r="B2433">
        <v>26.48</v>
      </c>
      <c r="C2433" s="2">
        <f t="shared" si="37"/>
        <v>6.0606246116909545E-3</v>
      </c>
    </row>
    <row r="2434" spans="1:3" x14ac:dyDescent="0.2">
      <c r="A2434" s="1">
        <v>42537</v>
      </c>
      <c r="B2434">
        <v>26.32</v>
      </c>
      <c r="C2434" s="2">
        <f t="shared" si="37"/>
        <v>-4.4240898442543929E-3</v>
      </c>
    </row>
    <row r="2435" spans="1:3" x14ac:dyDescent="0.2">
      <c r="A2435" s="1">
        <v>42536</v>
      </c>
      <c r="B2435">
        <v>26.436699999999998</v>
      </c>
      <c r="C2435" s="2">
        <f t="shared" ref="C2435:C2498" si="38">+LN(B2435/B2436)</f>
        <v>-5.2816957771733789E-3</v>
      </c>
    </row>
    <row r="2436" spans="1:3" x14ac:dyDescent="0.2">
      <c r="A2436" s="1">
        <v>42535</v>
      </c>
      <c r="B2436">
        <v>26.576699999999999</v>
      </c>
      <c r="C2436" s="2">
        <f t="shared" si="38"/>
        <v>1.8831191515259651E-3</v>
      </c>
    </row>
    <row r="2437" spans="1:3" x14ac:dyDescent="0.2">
      <c r="A2437" s="1">
        <v>42534</v>
      </c>
      <c r="B2437">
        <v>26.526700000000002</v>
      </c>
      <c r="C2437" s="2">
        <f t="shared" si="38"/>
        <v>-5.7624481204046037E-3</v>
      </c>
    </row>
    <row r="2438" spans="1:3" x14ac:dyDescent="0.2">
      <c r="A2438" s="1">
        <v>42531</v>
      </c>
      <c r="B2438">
        <v>26.68</v>
      </c>
      <c r="C2438" s="2">
        <f t="shared" si="38"/>
        <v>-1.3525064101010445E-2</v>
      </c>
    </row>
    <row r="2439" spans="1:3" x14ac:dyDescent="0.2">
      <c r="A2439" s="1">
        <v>42530</v>
      </c>
      <c r="B2439">
        <v>27.043299999999999</v>
      </c>
      <c r="C2439" s="2">
        <f t="shared" si="38"/>
        <v>-6.0239813502704622E-3</v>
      </c>
    </row>
    <row r="2440" spans="1:3" x14ac:dyDescent="0.2">
      <c r="A2440" s="1">
        <v>42529</v>
      </c>
      <c r="B2440">
        <v>27.206700000000001</v>
      </c>
      <c r="C2440" s="2">
        <f t="shared" si="38"/>
        <v>1.9646805436667712E-3</v>
      </c>
    </row>
    <row r="2441" spans="1:3" x14ac:dyDescent="0.2">
      <c r="A2441" s="1">
        <v>42528</v>
      </c>
      <c r="B2441">
        <v>27.153300000000002</v>
      </c>
      <c r="C2441" s="2">
        <f t="shared" si="38"/>
        <v>-2.6995235224258345E-3</v>
      </c>
    </row>
    <row r="2442" spans="1:3" x14ac:dyDescent="0.2">
      <c r="A2442" s="1">
        <v>42527</v>
      </c>
      <c r="B2442">
        <v>27.226700000000001</v>
      </c>
      <c r="C2442" s="2">
        <f t="shared" si="38"/>
        <v>7.620776945410042E-3</v>
      </c>
    </row>
    <row r="2443" spans="1:3" x14ac:dyDescent="0.2">
      <c r="A2443" s="1">
        <v>42524</v>
      </c>
      <c r="B2443">
        <v>27.02</v>
      </c>
      <c r="C2443" s="2">
        <f t="shared" si="38"/>
        <v>-9.2098643254443086E-3</v>
      </c>
    </row>
    <row r="2444" spans="1:3" x14ac:dyDescent="0.2">
      <c r="A2444" s="1">
        <v>42523</v>
      </c>
      <c r="B2444">
        <v>27.27</v>
      </c>
      <c r="C2444" s="2">
        <f t="shared" si="38"/>
        <v>1.4653968224357033E-2</v>
      </c>
    </row>
    <row r="2445" spans="1:3" x14ac:dyDescent="0.2">
      <c r="A2445" s="1">
        <v>42522</v>
      </c>
      <c r="B2445">
        <v>26.8733</v>
      </c>
      <c r="C2445" s="2">
        <f t="shared" si="38"/>
        <v>4.3483193630999249E-3</v>
      </c>
    </row>
    <row r="2446" spans="1:3" x14ac:dyDescent="0.2">
      <c r="A2446" s="1">
        <v>42521</v>
      </c>
      <c r="B2446">
        <v>26.756699999999999</v>
      </c>
      <c r="C2446" s="2">
        <f t="shared" si="38"/>
        <v>-3.7304150069426552E-3</v>
      </c>
    </row>
    <row r="2447" spans="1:3" x14ac:dyDescent="0.2">
      <c r="A2447" s="1">
        <v>42517</v>
      </c>
      <c r="B2447">
        <v>26.8567</v>
      </c>
      <c r="C2447" s="2">
        <f t="shared" si="38"/>
        <v>5.6008540204455807E-3</v>
      </c>
    </row>
    <row r="2448" spans="1:3" x14ac:dyDescent="0.2">
      <c r="A2448" s="1">
        <v>42516</v>
      </c>
      <c r="B2448">
        <v>26.706700000000001</v>
      </c>
      <c r="C2448" s="2">
        <f t="shared" si="38"/>
        <v>-1.993765003490547E-3</v>
      </c>
    </row>
    <row r="2449" spans="1:3" x14ac:dyDescent="0.2">
      <c r="A2449" s="1">
        <v>42515</v>
      </c>
      <c r="B2449">
        <v>26.76</v>
      </c>
      <c r="C2449" s="2">
        <f t="shared" si="38"/>
        <v>-3.729955835063789E-3</v>
      </c>
    </row>
    <row r="2450" spans="1:3" x14ac:dyDescent="0.2">
      <c r="A2450" s="1">
        <v>42514</v>
      </c>
      <c r="B2450">
        <v>26.86</v>
      </c>
      <c r="C2450" s="2">
        <f t="shared" si="38"/>
        <v>1.4626174856081623E-2</v>
      </c>
    </row>
    <row r="2451" spans="1:3" x14ac:dyDescent="0.2">
      <c r="A2451" s="1">
        <v>42513</v>
      </c>
      <c r="B2451">
        <v>26.47</v>
      </c>
      <c r="C2451" s="2">
        <f t="shared" si="38"/>
        <v>5.5575377020913776E-3</v>
      </c>
    </row>
    <row r="2452" spans="1:3" x14ac:dyDescent="0.2">
      <c r="A2452" s="1">
        <v>42510</v>
      </c>
      <c r="B2452">
        <v>26.3233</v>
      </c>
      <c r="C2452" s="2">
        <f t="shared" si="38"/>
        <v>1.2742629883519594E-2</v>
      </c>
    </row>
    <row r="2453" spans="1:3" x14ac:dyDescent="0.2">
      <c r="A2453" s="1">
        <v>42509</v>
      </c>
      <c r="B2453">
        <v>25.99</v>
      </c>
      <c r="C2453" s="2">
        <f t="shared" si="38"/>
        <v>-1.1982557944126011E-2</v>
      </c>
    </row>
    <row r="2454" spans="1:3" x14ac:dyDescent="0.2">
      <c r="A2454" s="1">
        <v>42508</v>
      </c>
      <c r="B2454">
        <v>26.3033</v>
      </c>
      <c r="C2454" s="2">
        <f t="shared" si="38"/>
        <v>-1.3593681438045015E-2</v>
      </c>
    </row>
    <row r="2455" spans="1:3" x14ac:dyDescent="0.2">
      <c r="A2455" s="1">
        <v>42507</v>
      </c>
      <c r="B2455">
        <v>26.6633</v>
      </c>
      <c r="C2455" s="2">
        <f t="shared" si="38"/>
        <v>-6.3555654840417785E-3</v>
      </c>
    </row>
    <row r="2456" spans="1:3" x14ac:dyDescent="0.2">
      <c r="A2456" s="1">
        <v>42506</v>
      </c>
      <c r="B2456">
        <v>26.833300000000001</v>
      </c>
      <c r="C2456" s="2">
        <f t="shared" si="38"/>
        <v>5.6057519650158528E-3</v>
      </c>
    </row>
    <row r="2457" spans="1:3" x14ac:dyDescent="0.2">
      <c r="A2457" s="1">
        <v>42503</v>
      </c>
      <c r="B2457">
        <v>26.683299999999999</v>
      </c>
      <c r="C2457" s="2">
        <f t="shared" si="38"/>
        <v>-1.3157300752389212E-2</v>
      </c>
    </row>
    <row r="2458" spans="1:3" x14ac:dyDescent="0.2">
      <c r="A2458" s="1">
        <v>42502</v>
      </c>
      <c r="B2458">
        <v>27.0367</v>
      </c>
      <c r="C2458" s="2">
        <f t="shared" si="38"/>
        <v>1.3280981259561958E-2</v>
      </c>
    </row>
    <row r="2459" spans="1:3" x14ac:dyDescent="0.2">
      <c r="A2459" s="1">
        <v>42501</v>
      </c>
      <c r="B2459">
        <v>26.68</v>
      </c>
      <c r="C2459" s="2">
        <f t="shared" si="38"/>
        <v>-6.4744973831795715E-3</v>
      </c>
    </row>
    <row r="2460" spans="1:3" x14ac:dyDescent="0.2">
      <c r="A2460" s="1">
        <v>42500</v>
      </c>
      <c r="B2460">
        <v>26.853300000000001</v>
      </c>
      <c r="C2460" s="2">
        <f t="shared" si="38"/>
        <v>2.0694311833077676E-2</v>
      </c>
    </row>
    <row r="2461" spans="1:3" x14ac:dyDescent="0.2">
      <c r="A2461" s="1">
        <v>42499</v>
      </c>
      <c r="B2461">
        <v>26.3033</v>
      </c>
      <c r="C2461" s="2">
        <f t="shared" si="38"/>
        <v>-4.301979320612377E-3</v>
      </c>
    </row>
    <row r="2462" spans="1:3" x14ac:dyDescent="0.2">
      <c r="A2462" s="1">
        <v>42496</v>
      </c>
      <c r="B2462">
        <v>26.416699999999999</v>
      </c>
      <c r="C2462" s="2">
        <f t="shared" si="38"/>
        <v>2.5173484681984319E-2</v>
      </c>
    </row>
    <row r="2463" spans="1:3" x14ac:dyDescent="0.2">
      <c r="A2463" s="1">
        <v>42495</v>
      </c>
      <c r="B2463">
        <v>25.76</v>
      </c>
      <c r="C2463" s="2">
        <f t="shared" si="38"/>
        <v>-1.4236755338797344E-3</v>
      </c>
    </row>
    <row r="2464" spans="1:3" x14ac:dyDescent="0.2">
      <c r="A2464" s="1">
        <v>42494</v>
      </c>
      <c r="B2464">
        <v>25.796700000000001</v>
      </c>
      <c r="C2464" s="2">
        <f t="shared" si="38"/>
        <v>-1.1562292783202137E-2</v>
      </c>
    </row>
    <row r="2465" spans="1:3" x14ac:dyDescent="0.2">
      <c r="A2465" s="1">
        <v>42493</v>
      </c>
      <c r="B2465">
        <v>26.096699999999998</v>
      </c>
      <c r="C2465" s="2">
        <f t="shared" si="38"/>
        <v>-4.4580459992607296E-3</v>
      </c>
    </row>
    <row r="2466" spans="1:3" x14ac:dyDescent="0.2">
      <c r="A2466" s="1">
        <v>42492</v>
      </c>
      <c r="B2466">
        <v>26.2133</v>
      </c>
      <c r="C2466" s="2">
        <f t="shared" si="38"/>
        <v>3.182836019974428E-3</v>
      </c>
    </row>
    <row r="2467" spans="1:3" x14ac:dyDescent="0.2">
      <c r="A2467" s="1">
        <v>42489</v>
      </c>
      <c r="B2467">
        <v>26.13</v>
      </c>
      <c r="C2467" s="2">
        <f t="shared" si="38"/>
        <v>-6.6103270650037741E-3</v>
      </c>
    </row>
    <row r="2468" spans="1:3" x14ac:dyDescent="0.2">
      <c r="A2468" s="1">
        <v>42488</v>
      </c>
      <c r="B2468">
        <v>26.3033</v>
      </c>
      <c r="C2468" s="2">
        <f t="shared" si="38"/>
        <v>-1.8830607667235242E-2</v>
      </c>
    </row>
    <row r="2469" spans="1:3" x14ac:dyDescent="0.2">
      <c r="A2469" s="1">
        <v>42487</v>
      </c>
      <c r="B2469">
        <v>26.8033</v>
      </c>
      <c r="C2469" s="2">
        <f t="shared" si="38"/>
        <v>-2.2360285540398038E-3</v>
      </c>
    </row>
    <row r="2470" spans="1:3" x14ac:dyDescent="0.2">
      <c r="A2470" s="1">
        <v>42486</v>
      </c>
      <c r="B2470">
        <v>26.863299999999999</v>
      </c>
      <c r="C2470" s="2">
        <f t="shared" si="38"/>
        <v>1.1983681026457204E-2</v>
      </c>
    </row>
    <row r="2471" spans="1:3" x14ac:dyDescent="0.2">
      <c r="A2471" s="1">
        <v>42485</v>
      </c>
      <c r="B2471">
        <v>26.543299999999999</v>
      </c>
      <c r="C2471" s="2">
        <f t="shared" si="38"/>
        <v>-1.1611356638259842E-2</v>
      </c>
    </row>
    <row r="2472" spans="1:3" x14ac:dyDescent="0.2">
      <c r="A2472" s="1">
        <v>42482</v>
      </c>
      <c r="B2472">
        <v>26.853300000000001</v>
      </c>
      <c r="C2472" s="2">
        <f t="shared" si="38"/>
        <v>6.4744973831794925E-3</v>
      </c>
    </row>
    <row r="2473" spans="1:3" x14ac:dyDescent="0.2">
      <c r="A2473" s="1">
        <v>42481</v>
      </c>
      <c r="B2473">
        <v>26.68</v>
      </c>
      <c r="C2473" s="2">
        <f t="shared" si="38"/>
        <v>-2.6993689267271505E-2</v>
      </c>
    </row>
    <row r="2474" spans="1:3" x14ac:dyDescent="0.2">
      <c r="A2474" s="1">
        <v>42480</v>
      </c>
      <c r="B2474">
        <v>27.41</v>
      </c>
      <c r="C2474" s="2">
        <f t="shared" si="38"/>
        <v>-3.8294176229080566E-2</v>
      </c>
    </row>
    <row r="2475" spans="1:3" x14ac:dyDescent="0.2">
      <c r="A2475" s="1">
        <v>42479</v>
      </c>
      <c r="B2475">
        <v>28.48</v>
      </c>
      <c r="C2475" s="2">
        <f t="shared" si="38"/>
        <v>6.6937012302992023E-3</v>
      </c>
    </row>
    <row r="2476" spans="1:3" x14ac:dyDescent="0.2">
      <c r="A2476" s="1">
        <v>42478</v>
      </c>
      <c r="B2476">
        <v>28.29</v>
      </c>
      <c r="C2476" s="2">
        <f t="shared" si="38"/>
        <v>1.2981203839764434E-3</v>
      </c>
    </row>
    <row r="2477" spans="1:3" x14ac:dyDescent="0.2">
      <c r="A2477" s="1">
        <v>42475</v>
      </c>
      <c r="B2477">
        <v>28.253299999999999</v>
      </c>
      <c r="C2477" s="2">
        <f t="shared" si="38"/>
        <v>4.6118506761985761E-3</v>
      </c>
    </row>
    <row r="2478" spans="1:3" x14ac:dyDescent="0.2">
      <c r="A2478" s="1">
        <v>42474</v>
      </c>
      <c r="B2478">
        <v>28.1233</v>
      </c>
      <c r="C2478" s="2">
        <f t="shared" si="38"/>
        <v>-1.5408723218082848E-2</v>
      </c>
    </row>
    <row r="2479" spans="1:3" x14ac:dyDescent="0.2">
      <c r="A2479" s="1">
        <v>42473</v>
      </c>
      <c r="B2479">
        <v>28.56</v>
      </c>
      <c r="C2479" s="2">
        <f t="shared" si="38"/>
        <v>1.2093136226138237E-2</v>
      </c>
    </row>
    <row r="2480" spans="1:3" x14ac:dyDescent="0.2">
      <c r="A2480" s="1">
        <v>42472</v>
      </c>
      <c r="B2480">
        <v>28.216699999999999</v>
      </c>
      <c r="C2480" s="2">
        <f t="shared" si="38"/>
        <v>1.6919631645920283E-2</v>
      </c>
    </row>
    <row r="2481" spans="1:3" x14ac:dyDescent="0.2">
      <c r="A2481" s="1">
        <v>42471</v>
      </c>
      <c r="B2481">
        <v>27.743300000000001</v>
      </c>
      <c r="C2481" s="2">
        <f t="shared" si="38"/>
        <v>4.0922306639998912E-3</v>
      </c>
    </row>
    <row r="2482" spans="1:3" x14ac:dyDescent="0.2">
      <c r="A2482" s="1">
        <v>42468</v>
      </c>
      <c r="B2482">
        <v>27.63</v>
      </c>
      <c r="C2482" s="2">
        <f t="shared" si="38"/>
        <v>8.7241556603384254E-3</v>
      </c>
    </row>
    <row r="2483" spans="1:3" x14ac:dyDescent="0.2">
      <c r="A2483" s="1">
        <v>42467</v>
      </c>
      <c r="B2483">
        <v>27.39</v>
      </c>
      <c r="C2483" s="2">
        <f t="shared" si="38"/>
        <v>-1.2217864583016666E-2</v>
      </c>
    </row>
    <row r="2484" spans="1:3" x14ac:dyDescent="0.2">
      <c r="A2484" s="1">
        <v>42466</v>
      </c>
      <c r="B2484">
        <v>27.726700000000001</v>
      </c>
      <c r="C2484" s="2">
        <f t="shared" si="38"/>
        <v>7.2394051219416694E-3</v>
      </c>
    </row>
    <row r="2485" spans="1:3" x14ac:dyDescent="0.2">
      <c r="A2485" s="1">
        <v>42465</v>
      </c>
      <c r="B2485">
        <v>27.526700000000002</v>
      </c>
      <c r="C2485" s="2">
        <f t="shared" si="38"/>
        <v>-7.3584168916248395E-3</v>
      </c>
    </row>
    <row r="2486" spans="1:3" x14ac:dyDescent="0.2">
      <c r="A2486" s="1">
        <v>42464</v>
      </c>
      <c r="B2486">
        <v>27.73</v>
      </c>
      <c r="C2486" s="2">
        <f t="shared" si="38"/>
        <v>-3.3451516538774116E-2</v>
      </c>
    </row>
    <row r="2487" spans="1:3" x14ac:dyDescent="0.2">
      <c r="A2487" s="1">
        <v>42461</v>
      </c>
      <c r="B2487">
        <v>28.673300000000001</v>
      </c>
      <c r="C2487" s="2">
        <f t="shared" si="38"/>
        <v>2.4236978839493606E-2</v>
      </c>
    </row>
    <row r="2488" spans="1:3" x14ac:dyDescent="0.2">
      <c r="A2488" s="1">
        <v>42460</v>
      </c>
      <c r="B2488">
        <v>27.986699999999999</v>
      </c>
      <c r="C2488" s="2">
        <f t="shared" si="38"/>
        <v>-1.1790620039491292E-4</v>
      </c>
    </row>
    <row r="2489" spans="1:3" x14ac:dyDescent="0.2">
      <c r="A2489" s="1">
        <v>42459</v>
      </c>
      <c r="B2489">
        <v>27.99</v>
      </c>
      <c r="C2489" s="2">
        <f t="shared" si="38"/>
        <v>-3.2102756302482102E-3</v>
      </c>
    </row>
    <row r="2490" spans="1:3" x14ac:dyDescent="0.2">
      <c r="A2490" s="1">
        <v>42458</v>
      </c>
      <c r="B2490">
        <v>28.08</v>
      </c>
      <c r="C2490" s="2">
        <f t="shared" si="38"/>
        <v>3.0859469680147369E-2</v>
      </c>
    </row>
    <row r="2491" spans="1:3" x14ac:dyDescent="0.2">
      <c r="A2491" s="1">
        <v>42457</v>
      </c>
      <c r="B2491">
        <v>27.226700000000001</v>
      </c>
      <c r="C2491" s="2">
        <f t="shared" si="38"/>
        <v>-7.8036933802216584E-3</v>
      </c>
    </row>
    <row r="2492" spans="1:3" x14ac:dyDescent="0.2">
      <c r="A2492" s="1">
        <v>42453</v>
      </c>
      <c r="B2492">
        <v>27.44</v>
      </c>
      <c r="C2492" s="2">
        <f t="shared" si="38"/>
        <v>1.1977420454897072E-2</v>
      </c>
    </row>
    <row r="2493" spans="1:3" x14ac:dyDescent="0.2">
      <c r="A2493" s="1">
        <v>42452</v>
      </c>
      <c r="B2493">
        <v>27.113299999999999</v>
      </c>
      <c r="C2493" s="2">
        <f t="shared" si="38"/>
        <v>-1.7186134726330595E-2</v>
      </c>
    </row>
    <row r="2494" spans="1:3" x14ac:dyDescent="0.2">
      <c r="A2494" s="1">
        <v>42451</v>
      </c>
      <c r="B2494">
        <v>27.583300000000001</v>
      </c>
      <c r="C2494" s="2">
        <f t="shared" si="38"/>
        <v>-1.7373303098804204E-2</v>
      </c>
    </row>
    <row r="2495" spans="1:3" x14ac:dyDescent="0.2">
      <c r="A2495" s="1">
        <v>42450</v>
      </c>
      <c r="B2495">
        <v>28.066700000000001</v>
      </c>
      <c r="C2495" s="2">
        <f t="shared" si="38"/>
        <v>-1.8972467145419738E-3</v>
      </c>
    </row>
    <row r="2496" spans="1:3" x14ac:dyDescent="0.2">
      <c r="A2496" s="1">
        <v>42447</v>
      </c>
      <c r="B2496">
        <v>28.12</v>
      </c>
      <c r="C2496" s="2">
        <f t="shared" si="38"/>
        <v>6.661541440670958E-3</v>
      </c>
    </row>
    <row r="2497" spans="1:3" x14ac:dyDescent="0.2">
      <c r="A2497" s="1">
        <v>42446</v>
      </c>
      <c r="B2497">
        <v>27.933299999999999</v>
      </c>
      <c r="C2497" s="2">
        <f t="shared" si="38"/>
        <v>2.1347999222182643E-2</v>
      </c>
    </row>
    <row r="2498" spans="1:3" x14ac:dyDescent="0.2">
      <c r="A2498" s="1">
        <v>42445</v>
      </c>
      <c r="B2498">
        <v>27.343299999999999</v>
      </c>
      <c r="C2498" s="2">
        <f t="shared" si="38"/>
        <v>1.5353166883038885E-2</v>
      </c>
    </row>
    <row r="2499" spans="1:3" x14ac:dyDescent="0.2">
      <c r="A2499" s="1">
        <v>42444</v>
      </c>
      <c r="B2499">
        <v>26.9267</v>
      </c>
      <c r="C2499" s="2">
        <f t="shared" ref="C2499:C2562" si="39">+LN(B2499/B2500)</f>
        <v>1.7358437416227677E-3</v>
      </c>
    </row>
    <row r="2500" spans="1:3" x14ac:dyDescent="0.2">
      <c r="A2500" s="1">
        <v>42443</v>
      </c>
      <c r="B2500">
        <v>26.88</v>
      </c>
      <c r="C2500" s="2">
        <f t="shared" si="39"/>
        <v>-9.2576110158915995E-3</v>
      </c>
    </row>
    <row r="2501" spans="1:3" x14ac:dyDescent="0.2">
      <c r="A2501" s="1">
        <v>42440</v>
      </c>
      <c r="B2501">
        <v>27.13</v>
      </c>
      <c r="C2501" s="2">
        <f t="shared" si="39"/>
        <v>7.2766874364284919E-3</v>
      </c>
    </row>
    <row r="2502" spans="1:3" x14ac:dyDescent="0.2">
      <c r="A2502" s="1">
        <v>42439</v>
      </c>
      <c r="B2502">
        <v>26.933299999999999</v>
      </c>
      <c r="C2502" s="2">
        <f t="shared" si="39"/>
        <v>-6.7863350180698027E-3</v>
      </c>
    </row>
    <row r="2503" spans="1:3" x14ac:dyDescent="0.2">
      <c r="A2503" s="1">
        <v>42438</v>
      </c>
      <c r="B2503">
        <v>27.116700000000002</v>
      </c>
      <c r="C2503" s="2">
        <f t="shared" si="39"/>
        <v>-8.321752027128872E-3</v>
      </c>
    </row>
    <row r="2504" spans="1:3" x14ac:dyDescent="0.2">
      <c r="A2504" s="1">
        <v>42437</v>
      </c>
      <c r="B2504">
        <v>27.343299999999999</v>
      </c>
      <c r="C2504" s="2">
        <f t="shared" si="39"/>
        <v>-8.4996870050007018E-3</v>
      </c>
    </row>
    <row r="2505" spans="1:3" x14ac:dyDescent="0.2">
      <c r="A2505" s="1">
        <v>42436</v>
      </c>
      <c r="B2505">
        <v>27.576699999999999</v>
      </c>
      <c r="C2505" s="2">
        <f t="shared" si="39"/>
        <v>1.2530724077720825E-2</v>
      </c>
    </row>
    <row r="2506" spans="1:3" x14ac:dyDescent="0.2">
      <c r="A2506" s="1">
        <v>42433</v>
      </c>
      <c r="B2506">
        <v>27.2333</v>
      </c>
      <c r="C2506" s="2">
        <f t="shared" si="39"/>
        <v>2.1902777332562875E-2</v>
      </c>
    </row>
    <row r="2507" spans="1:3" x14ac:dyDescent="0.2">
      <c r="A2507" s="1">
        <v>42432</v>
      </c>
      <c r="B2507">
        <v>26.6433</v>
      </c>
      <c r="C2507" s="2">
        <f t="shared" si="39"/>
        <v>3.0071479961602983E-3</v>
      </c>
    </row>
    <row r="2508" spans="1:3" x14ac:dyDescent="0.2">
      <c r="A2508" s="1">
        <v>42431</v>
      </c>
      <c r="B2508">
        <v>26.563300000000002</v>
      </c>
      <c r="C2508" s="2">
        <f t="shared" si="39"/>
        <v>3.1408328093598084E-3</v>
      </c>
    </row>
    <row r="2509" spans="1:3" x14ac:dyDescent="0.2">
      <c r="A2509" s="1">
        <v>42430</v>
      </c>
      <c r="B2509">
        <v>26.48</v>
      </c>
      <c r="C2509" s="2">
        <f t="shared" si="39"/>
        <v>1.4197744702402744E-2</v>
      </c>
    </row>
    <row r="2510" spans="1:3" x14ac:dyDescent="0.2">
      <c r="A2510" s="1">
        <v>42429</v>
      </c>
      <c r="B2510">
        <v>26.1067</v>
      </c>
      <c r="C2510" s="2">
        <f t="shared" si="39"/>
        <v>1.7519768054206797E-2</v>
      </c>
    </row>
    <row r="2511" spans="1:3" x14ac:dyDescent="0.2">
      <c r="A2511" s="1">
        <v>42426</v>
      </c>
      <c r="B2511">
        <v>25.653300000000002</v>
      </c>
      <c r="C2511" s="2">
        <f t="shared" si="39"/>
        <v>4.1640685168835628E-3</v>
      </c>
    </row>
    <row r="2512" spans="1:3" x14ac:dyDescent="0.2">
      <c r="A2512" s="1">
        <v>42425</v>
      </c>
      <c r="B2512">
        <v>25.546700000000001</v>
      </c>
      <c r="C2512" s="2">
        <f t="shared" si="39"/>
        <v>-9.1163950778091866E-4</v>
      </c>
    </row>
    <row r="2513" spans="1:3" x14ac:dyDescent="0.2">
      <c r="A2513" s="1">
        <v>42424</v>
      </c>
      <c r="B2513">
        <v>25.57</v>
      </c>
      <c r="C2513" s="2">
        <f t="shared" si="39"/>
        <v>9.1163950778082379E-4</v>
      </c>
    </row>
    <row r="2514" spans="1:3" x14ac:dyDescent="0.2">
      <c r="A2514" s="1">
        <v>42423</v>
      </c>
      <c r="B2514">
        <v>25.546700000000001</v>
      </c>
      <c r="C2514" s="2">
        <f t="shared" si="39"/>
        <v>-1.5536284100036867E-2</v>
      </c>
    </row>
    <row r="2515" spans="1:3" x14ac:dyDescent="0.2">
      <c r="A2515" s="1">
        <v>42422</v>
      </c>
      <c r="B2515">
        <v>25.9467</v>
      </c>
      <c r="C2515" s="2">
        <f t="shared" si="39"/>
        <v>2.3265703858159008E-2</v>
      </c>
    </row>
    <row r="2516" spans="1:3" x14ac:dyDescent="0.2">
      <c r="A2516" s="1">
        <v>42419</v>
      </c>
      <c r="B2516">
        <v>25.35</v>
      </c>
      <c r="C2516" s="2">
        <f t="shared" si="39"/>
        <v>-3.6737170033411272E-3</v>
      </c>
    </row>
    <row r="2517" spans="1:3" x14ac:dyDescent="0.2">
      <c r="A2517" s="1">
        <v>42418</v>
      </c>
      <c r="B2517">
        <v>25.443300000000001</v>
      </c>
      <c r="C2517" s="2">
        <f t="shared" si="39"/>
        <v>-8.3522990442224613E-3</v>
      </c>
    </row>
    <row r="2518" spans="1:3" x14ac:dyDescent="0.2">
      <c r="A2518" s="1">
        <v>42417</v>
      </c>
      <c r="B2518">
        <v>25.656700000000001</v>
      </c>
      <c r="C2518" s="2">
        <f t="shared" si="39"/>
        <v>2.9134052165503348E-2</v>
      </c>
    </row>
    <row r="2519" spans="1:3" x14ac:dyDescent="0.2">
      <c r="A2519" s="1">
        <v>42416</v>
      </c>
      <c r="B2519">
        <v>24.92</v>
      </c>
      <c r="C2519" s="2">
        <f t="shared" si="39"/>
        <v>2.670577327322371E-2</v>
      </c>
    </row>
    <row r="2520" spans="1:3" x14ac:dyDescent="0.2">
      <c r="A2520" s="1">
        <v>42412</v>
      </c>
      <c r="B2520">
        <v>24.263300000000001</v>
      </c>
      <c r="C2520" s="2">
        <f t="shared" si="39"/>
        <v>1.7319077664842069E-2</v>
      </c>
    </row>
    <row r="2521" spans="1:3" x14ac:dyDescent="0.2">
      <c r="A2521" s="1">
        <v>42411</v>
      </c>
      <c r="B2521">
        <v>23.846699999999998</v>
      </c>
      <c r="C2521" s="2">
        <f t="shared" si="39"/>
        <v>6.5928248104925365E-3</v>
      </c>
    </row>
    <row r="2522" spans="1:3" x14ac:dyDescent="0.2">
      <c r="A2522" s="1">
        <v>42410</v>
      </c>
      <c r="B2522">
        <v>23.69</v>
      </c>
      <c r="C2522" s="2">
        <f t="shared" si="39"/>
        <v>-8.1264517609905846E-3</v>
      </c>
    </row>
    <row r="2523" spans="1:3" x14ac:dyDescent="0.2">
      <c r="A2523" s="1">
        <v>42409</v>
      </c>
      <c r="B2523">
        <v>23.883299999999998</v>
      </c>
      <c r="C2523" s="2">
        <f t="shared" si="39"/>
        <v>-5.2909403014772052E-3</v>
      </c>
    </row>
    <row r="2524" spans="1:3" x14ac:dyDescent="0.2">
      <c r="A2524" s="1">
        <v>42408</v>
      </c>
      <c r="B2524">
        <v>24.01</v>
      </c>
      <c r="C2524" s="2">
        <f t="shared" si="39"/>
        <v>-1.0634629926798922E-2</v>
      </c>
    </row>
    <row r="2525" spans="1:3" x14ac:dyDescent="0.2">
      <c r="A2525" s="1">
        <v>42405</v>
      </c>
      <c r="B2525">
        <v>24.2667</v>
      </c>
      <c r="C2525" s="2">
        <f t="shared" si="39"/>
        <v>1.3773198053612145E-3</v>
      </c>
    </row>
    <row r="2526" spans="1:3" x14ac:dyDescent="0.2">
      <c r="A2526" s="1">
        <v>42404</v>
      </c>
      <c r="B2526">
        <v>24.2333</v>
      </c>
      <c r="C2526" s="2">
        <f t="shared" si="39"/>
        <v>3.5278063776036379E-2</v>
      </c>
    </row>
    <row r="2527" spans="1:3" x14ac:dyDescent="0.2">
      <c r="A2527" s="1">
        <v>42403</v>
      </c>
      <c r="B2527">
        <v>23.3933</v>
      </c>
      <c r="C2527" s="2">
        <f t="shared" si="39"/>
        <v>1.6086253284826619E-2</v>
      </c>
    </row>
    <row r="2528" spans="1:3" x14ac:dyDescent="0.2">
      <c r="A2528" s="1">
        <v>42402</v>
      </c>
      <c r="B2528">
        <v>23.02</v>
      </c>
      <c r="C2528" s="2">
        <f t="shared" si="39"/>
        <v>-1.2089957277918385E-2</v>
      </c>
    </row>
    <row r="2529" spans="1:3" x14ac:dyDescent="0.2">
      <c r="A2529" s="1">
        <v>42401</v>
      </c>
      <c r="B2529">
        <v>23.3</v>
      </c>
      <c r="C2529" s="2">
        <f t="shared" si="39"/>
        <v>-3.9001970181590594E-2</v>
      </c>
    </row>
    <row r="2530" spans="1:3" x14ac:dyDescent="0.2">
      <c r="A2530" s="1">
        <v>42398</v>
      </c>
      <c r="B2530">
        <v>24.226700000000001</v>
      </c>
      <c r="C2530" s="2">
        <f t="shared" si="39"/>
        <v>3.329724308085439E-2</v>
      </c>
    </row>
    <row r="2531" spans="1:3" x14ac:dyDescent="0.2">
      <c r="A2531" s="1">
        <v>42397</v>
      </c>
      <c r="B2531">
        <v>23.433299999999999</v>
      </c>
      <c r="C2531" s="2">
        <f t="shared" si="39"/>
        <v>1.8229183625116427E-2</v>
      </c>
    </row>
    <row r="2532" spans="1:3" x14ac:dyDescent="0.2">
      <c r="A2532" s="1">
        <v>42396</v>
      </c>
      <c r="B2532">
        <v>23.01</v>
      </c>
      <c r="C2532" s="2">
        <f t="shared" si="39"/>
        <v>-1.0518153398073868E-2</v>
      </c>
    </row>
    <row r="2533" spans="1:3" x14ac:dyDescent="0.2">
      <c r="A2533" s="1">
        <v>42395</v>
      </c>
      <c r="B2533">
        <v>23.253299999999999</v>
      </c>
      <c r="C2533" s="2">
        <f t="shared" si="39"/>
        <v>9.3073431129629403E-2</v>
      </c>
    </row>
    <row r="2534" spans="1:3" x14ac:dyDescent="0.2">
      <c r="A2534" s="1">
        <v>42394</v>
      </c>
      <c r="B2534">
        <v>21.186699999999998</v>
      </c>
      <c r="C2534" s="2">
        <f t="shared" si="39"/>
        <v>-2.0397810695319412E-2</v>
      </c>
    </row>
    <row r="2535" spans="1:3" x14ac:dyDescent="0.2">
      <c r="A2535" s="1">
        <v>42391</v>
      </c>
      <c r="B2535">
        <v>21.6233</v>
      </c>
      <c r="C2535" s="2">
        <f t="shared" si="39"/>
        <v>1.5848709372538839E-2</v>
      </c>
    </row>
    <row r="2536" spans="1:3" x14ac:dyDescent="0.2">
      <c r="A2536" s="1">
        <v>42390</v>
      </c>
      <c r="B2536">
        <v>21.283300000000001</v>
      </c>
      <c r="C2536" s="2">
        <f t="shared" si="39"/>
        <v>-1.754451393434495E-2</v>
      </c>
    </row>
    <row r="2537" spans="1:3" x14ac:dyDescent="0.2">
      <c r="A2537" s="1">
        <v>42389</v>
      </c>
      <c r="B2537">
        <v>21.66</v>
      </c>
      <c r="C2537" s="2">
        <f t="shared" si="39"/>
        <v>-8.7336799687546662E-3</v>
      </c>
    </row>
    <row r="2538" spans="1:3" x14ac:dyDescent="0.2">
      <c r="A2538" s="1">
        <v>42388</v>
      </c>
      <c r="B2538">
        <v>21.85</v>
      </c>
      <c r="C2538" s="2">
        <f t="shared" si="39"/>
        <v>4.8952574398255519E-3</v>
      </c>
    </row>
    <row r="2539" spans="1:3" x14ac:dyDescent="0.2">
      <c r="A2539" s="1">
        <v>42384</v>
      </c>
      <c r="B2539">
        <v>21.743300000000001</v>
      </c>
      <c r="C2539" s="2">
        <f t="shared" si="39"/>
        <v>-2.911597923716818E-3</v>
      </c>
    </row>
    <row r="2540" spans="1:3" x14ac:dyDescent="0.2">
      <c r="A2540" s="1">
        <v>42383</v>
      </c>
      <c r="B2540">
        <v>21.806699999999999</v>
      </c>
      <c r="C2540" s="2">
        <f t="shared" si="39"/>
        <v>9.8341806379315822E-3</v>
      </c>
    </row>
    <row r="2541" spans="1:3" x14ac:dyDescent="0.2">
      <c r="A2541" s="1">
        <v>42382</v>
      </c>
      <c r="B2541">
        <v>21.593299999999999</v>
      </c>
      <c r="C2541" s="2">
        <f t="shared" si="39"/>
        <v>-2.9958927224690086E-2</v>
      </c>
    </row>
    <row r="2542" spans="1:3" x14ac:dyDescent="0.2">
      <c r="A2542" s="1">
        <v>42381</v>
      </c>
      <c r="B2542">
        <v>22.25</v>
      </c>
      <c r="C2542" s="2">
        <f t="shared" si="39"/>
        <v>5.2587468232013308E-3</v>
      </c>
    </row>
    <row r="2543" spans="1:3" x14ac:dyDescent="0.2">
      <c r="A2543" s="1">
        <v>42380</v>
      </c>
      <c r="B2543">
        <v>22.133299999999998</v>
      </c>
      <c r="C2543" s="2">
        <f t="shared" si="39"/>
        <v>4.5283164599654391E-3</v>
      </c>
    </row>
    <row r="2544" spans="1:3" x14ac:dyDescent="0.2">
      <c r="A2544" s="1">
        <v>42377</v>
      </c>
      <c r="B2544">
        <v>22.033300000000001</v>
      </c>
      <c r="C2544" s="2">
        <f t="shared" si="39"/>
        <v>-1.9924271767626373E-2</v>
      </c>
    </row>
    <row r="2545" spans="1:3" x14ac:dyDescent="0.2">
      <c r="A2545" s="1">
        <v>42376</v>
      </c>
      <c r="B2545">
        <v>22.476700000000001</v>
      </c>
      <c r="C2545" s="2">
        <f t="shared" si="39"/>
        <v>-2.6487224543189886E-2</v>
      </c>
    </row>
    <row r="2546" spans="1:3" x14ac:dyDescent="0.2">
      <c r="A2546" s="1">
        <v>42375</v>
      </c>
      <c r="B2546">
        <v>23.08</v>
      </c>
      <c r="C2546" s="2">
        <f t="shared" si="39"/>
        <v>-2.2140430105994046E-2</v>
      </c>
    </row>
    <row r="2547" spans="1:3" x14ac:dyDescent="0.2">
      <c r="A2547" s="1">
        <v>42374</v>
      </c>
      <c r="B2547">
        <v>23.596699999999998</v>
      </c>
      <c r="C2547" s="2">
        <f t="shared" si="39"/>
        <v>-1.2214946940480823E-2</v>
      </c>
    </row>
    <row r="2548" spans="1:3" x14ac:dyDescent="0.2">
      <c r="A2548" s="1">
        <v>42373</v>
      </c>
      <c r="B2548">
        <v>23.886700000000001</v>
      </c>
      <c r="C2548" s="2">
        <f t="shared" si="39"/>
        <v>-5.7023740410118923E-3</v>
      </c>
    </row>
    <row r="2549" spans="1:3" x14ac:dyDescent="0.2">
      <c r="A2549" s="1">
        <v>42369</v>
      </c>
      <c r="B2549">
        <v>24.023299999999999</v>
      </c>
      <c r="C2549" s="2">
        <f t="shared" si="39"/>
        <v>-1.104055028669558E-2</v>
      </c>
    </row>
    <row r="2550" spans="1:3" x14ac:dyDescent="0.2">
      <c r="A2550" s="1">
        <v>42368</v>
      </c>
      <c r="B2550">
        <v>24.29</v>
      </c>
      <c r="C2550" s="2">
        <f t="shared" si="39"/>
        <v>-4.3831342368840145E-3</v>
      </c>
    </row>
    <row r="2551" spans="1:3" x14ac:dyDescent="0.2">
      <c r="A2551" s="1">
        <v>42367</v>
      </c>
      <c r="B2551">
        <v>24.396699999999999</v>
      </c>
      <c r="C2551" s="2">
        <f t="shared" si="39"/>
        <v>-1.9082724873535203E-3</v>
      </c>
    </row>
    <row r="2552" spans="1:3" x14ac:dyDescent="0.2">
      <c r="A2552" s="1">
        <v>42366</v>
      </c>
      <c r="B2552">
        <v>24.443300000000001</v>
      </c>
      <c r="C2552" s="2">
        <f t="shared" si="39"/>
        <v>9.53681055759963E-4</v>
      </c>
    </row>
    <row r="2553" spans="1:3" x14ac:dyDescent="0.2">
      <c r="A2553" s="1">
        <v>42362</v>
      </c>
      <c r="B2553">
        <v>24.42</v>
      </c>
      <c r="C2553" s="2">
        <f t="shared" si="39"/>
        <v>-5.4448728452662293E-4</v>
      </c>
    </row>
    <row r="2554" spans="1:3" x14ac:dyDescent="0.2">
      <c r="A2554" s="1">
        <v>42361</v>
      </c>
      <c r="B2554">
        <v>24.433299999999999</v>
      </c>
      <c r="C2554" s="2">
        <f t="shared" si="39"/>
        <v>1.6090584506267349E-2</v>
      </c>
    </row>
    <row r="2555" spans="1:3" x14ac:dyDescent="0.2">
      <c r="A2555" s="1">
        <v>42360</v>
      </c>
      <c r="B2555">
        <v>24.043299999999999</v>
      </c>
      <c r="C2555" s="2">
        <f t="shared" si="39"/>
        <v>2.3141097344234869E-2</v>
      </c>
    </row>
    <row r="2556" spans="1:3" x14ac:dyDescent="0.2">
      <c r="A2556" s="1">
        <v>42359</v>
      </c>
      <c r="B2556">
        <v>23.493300000000001</v>
      </c>
      <c r="C2556" s="2">
        <f t="shared" si="39"/>
        <v>1.1128679739473311E-2</v>
      </c>
    </row>
    <row r="2557" spans="1:3" x14ac:dyDescent="0.2">
      <c r="A2557" s="1">
        <v>42356</v>
      </c>
      <c r="B2557">
        <v>23.2333</v>
      </c>
      <c r="C2557" s="2">
        <f t="shared" si="39"/>
        <v>3.5918138448667713E-3</v>
      </c>
    </row>
    <row r="2558" spans="1:3" x14ac:dyDescent="0.2">
      <c r="A2558" s="1">
        <v>42355</v>
      </c>
      <c r="B2558">
        <v>23.15</v>
      </c>
      <c r="C2558" s="2">
        <f t="shared" si="39"/>
        <v>0</v>
      </c>
    </row>
    <row r="2559" spans="1:3" x14ac:dyDescent="0.2">
      <c r="A2559" s="1">
        <v>42354</v>
      </c>
      <c r="B2559">
        <v>23.15</v>
      </c>
      <c r="C2559" s="2">
        <f t="shared" si="39"/>
        <v>9.6926102862687751E-3</v>
      </c>
    </row>
    <row r="2560" spans="1:3" x14ac:dyDescent="0.2">
      <c r="A2560" s="1">
        <v>42353</v>
      </c>
      <c r="B2560">
        <v>22.9267</v>
      </c>
      <c r="C2560" s="2">
        <f t="shared" si="39"/>
        <v>2.9227839943525314E-4</v>
      </c>
    </row>
    <row r="2561" spans="1:3" x14ac:dyDescent="0.2">
      <c r="A2561" s="1">
        <v>42352</v>
      </c>
      <c r="B2561">
        <v>22.92</v>
      </c>
      <c r="C2561" s="2">
        <f t="shared" si="39"/>
        <v>-1.300408442320646E-2</v>
      </c>
    </row>
    <row r="2562" spans="1:3" x14ac:dyDescent="0.2">
      <c r="A2562" s="1">
        <v>42349</v>
      </c>
      <c r="B2562">
        <v>23.22</v>
      </c>
      <c r="C2562" s="2">
        <f t="shared" si="39"/>
        <v>-1.6092895476147399E-2</v>
      </c>
    </row>
    <row r="2563" spans="1:3" x14ac:dyDescent="0.2">
      <c r="A2563" s="1">
        <v>42348</v>
      </c>
      <c r="B2563">
        <v>23.596699999999998</v>
      </c>
      <c r="C2563" s="2">
        <f t="shared" ref="C2563:C2626" si="40">+LN(B2563/B2564)</f>
        <v>-2.678986804347968E-3</v>
      </c>
    </row>
    <row r="2564" spans="1:3" x14ac:dyDescent="0.2">
      <c r="A2564" s="1">
        <v>42347</v>
      </c>
      <c r="B2564">
        <v>23.66</v>
      </c>
      <c r="C2564" s="2">
        <f t="shared" si="40"/>
        <v>-7.0209420646234486E-3</v>
      </c>
    </row>
    <row r="2565" spans="1:3" x14ac:dyDescent="0.2">
      <c r="A2565" s="1">
        <v>42346</v>
      </c>
      <c r="B2565">
        <v>23.826699999999999</v>
      </c>
      <c r="C2565" s="2">
        <f t="shared" si="40"/>
        <v>-2.1038982001465277E-2</v>
      </c>
    </row>
    <row r="2566" spans="1:3" x14ac:dyDescent="0.2">
      <c r="A2566" s="1">
        <v>42345</v>
      </c>
      <c r="B2566">
        <v>24.333300000000001</v>
      </c>
      <c r="C2566" s="2">
        <f t="shared" si="40"/>
        <v>-1.0221568002367388E-2</v>
      </c>
    </row>
    <row r="2567" spans="1:3" x14ac:dyDescent="0.2">
      <c r="A2567" s="1">
        <v>42342</v>
      </c>
      <c r="B2567">
        <v>24.583300000000001</v>
      </c>
      <c r="C2567" s="2">
        <f t="shared" si="40"/>
        <v>-9.5141296056568028E-4</v>
      </c>
    </row>
    <row r="2568" spans="1:3" x14ac:dyDescent="0.2">
      <c r="A2568" s="1">
        <v>42341</v>
      </c>
      <c r="B2568">
        <v>24.6067</v>
      </c>
      <c r="C2568" s="2">
        <f t="shared" si="40"/>
        <v>-4.9983179540622489E-3</v>
      </c>
    </row>
    <row r="2569" spans="1:3" x14ac:dyDescent="0.2">
      <c r="A2569" s="1">
        <v>42340</v>
      </c>
      <c r="B2569">
        <v>24.73</v>
      </c>
      <c r="C2569" s="2">
        <f t="shared" si="40"/>
        <v>-8.9889964470792338E-3</v>
      </c>
    </row>
    <row r="2570" spans="1:3" x14ac:dyDescent="0.2">
      <c r="A2570" s="1">
        <v>42339</v>
      </c>
      <c r="B2570">
        <v>24.953299999999999</v>
      </c>
      <c r="C2570" s="2">
        <f t="shared" si="40"/>
        <v>-7.983022681365682E-3</v>
      </c>
    </row>
    <row r="2571" spans="1:3" x14ac:dyDescent="0.2">
      <c r="A2571" s="1">
        <v>42338</v>
      </c>
      <c r="B2571">
        <v>25.153300000000002</v>
      </c>
      <c r="C2571" s="2">
        <f t="shared" si="40"/>
        <v>1.0580748799367771E-3</v>
      </c>
    </row>
    <row r="2572" spans="1:3" x14ac:dyDescent="0.2">
      <c r="A2572" s="1">
        <v>42335</v>
      </c>
      <c r="B2572">
        <v>25.1267</v>
      </c>
      <c r="C2572" s="2">
        <f t="shared" si="40"/>
        <v>3.7240872386629879E-3</v>
      </c>
    </row>
    <row r="2573" spans="1:3" x14ac:dyDescent="0.2">
      <c r="A2573" s="1">
        <v>42333</v>
      </c>
      <c r="B2573">
        <v>25.033300000000001</v>
      </c>
      <c r="C2573" s="2">
        <f t="shared" si="40"/>
        <v>-3.4574030568278865E-3</v>
      </c>
    </row>
    <row r="2574" spans="1:3" x14ac:dyDescent="0.2">
      <c r="A2574" s="1">
        <v>42332</v>
      </c>
      <c r="B2574">
        <v>25.12</v>
      </c>
      <c r="C2574" s="2">
        <f t="shared" si="40"/>
        <v>1.1478847165373755E-2</v>
      </c>
    </row>
    <row r="2575" spans="1:3" x14ac:dyDescent="0.2">
      <c r="A2575" s="1">
        <v>42331</v>
      </c>
      <c r="B2575">
        <v>24.833300000000001</v>
      </c>
      <c r="C2575" s="2">
        <f t="shared" si="40"/>
        <v>0</v>
      </c>
    </row>
    <row r="2576" spans="1:3" x14ac:dyDescent="0.2">
      <c r="A2576" s="1">
        <v>42328</v>
      </c>
      <c r="B2576">
        <v>24.833300000000001</v>
      </c>
      <c r="C2576" s="2">
        <f t="shared" si="40"/>
        <v>4.4393756091872091E-3</v>
      </c>
    </row>
    <row r="2577" spans="1:3" x14ac:dyDescent="0.2">
      <c r="A2577" s="1">
        <v>42327</v>
      </c>
      <c r="B2577">
        <v>24.723299999999998</v>
      </c>
      <c r="C2577" s="2">
        <f t="shared" si="40"/>
        <v>6.2199322923492473E-3</v>
      </c>
    </row>
    <row r="2578" spans="1:3" x14ac:dyDescent="0.2">
      <c r="A2578" s="1">
        <v>42326</v>
      </c>
      <c r="B2578">
        <v>24.57</v>
      </c>
      <c r="C2578" s="2">
        <f t="shared" si="40"/>
        <v>2.9322769863317718E-2</v>
      </c>
    </row>
    <row r="2579" spans="1:3" x14ac:dyDescent="0.2">
      <c r="A2579" s="1">
        <v>42325</v>
      </c>
      <c r="B2579">
        <v>23.86</v>
      </c>
      <c r="C2579" s="2">
        <f t="shared" si="40"/>
        <v>-8.2101273626346127E-3</v>
      </c>
    </row>
    <row r="2580" spans="1:3" x14ac:dyDescent="0.2">
      <c r="A2580" s="1">
        <v>42324</v>
      </c>
      <c r="B2580">
        <v>24.056699999999999</v>
      </c>
      <c r="C2580" s="2">
        <f t="shared" si="40"/>
        <v>7.0917253460310191E-3</v>
      </c>
    </row>
    <row r="2581" spans="1:3" x14ac:dyDescent="0.2">
      <c r="A2581" s="1">
        <v>42321</v>
      </c>
      <c r="B2581">
        <v>23.886700000000001</v>
      </c>
      <c r="C2581" s="2">
        <f t="shared" si="40"/>
        <v>-1.0270810820763804E-2</v>
      </c>
    </row>
    <row r="2582" spans="1:3" x14ac:dyDescent="0.2">
      <c r="A2582" s="1">
        <v>42320</v>
      </c>
      <c r="B2582">
        <v>24.133299999999998</v>
      </c>
      <c r="C2582" s="2">
        <f t="shared" si="40"/>
        <v>-3.2078064412115047E-2</v>
      </c>
    </row>
    <row r="2583" spans="1:3" x14ac:dyDescent="0.2">
      <c r="A2583" s="1">
        <v>42319</v>
      </c>
      <c r="B2583">
        <v>24.92</v>
      </c>
      <c r="C2583" s="2">
        <f t="shared" si="40"/>
        <v>-6.9301843148096383E-3</v>
      </c>
    </row>
    <row r="2584" spans="1:3" x14ac:dyDescent="0.2">
      <c r="A2584" s="1">
        <v>42318</v>
      </c>
      <c r="B2584">
        <v>25.093299999999999</v>
      </c>
      <c r="C2584" s="2">
        <f t="shared" si="40"/>
        <v>2.6576232721240056E-3</v>
      </c>
    </row>
    <row r="2585" spans="1:3" x14ac:dyDescent="0.2">
      <c r="A2585" s="1">
        <v>42317</v>
      </c>
      <c r="B2585">
        <v>25.026700000000002</v>
      </c>
      <c r="C2585" s="2">
        <f t="shared" si="40"/>
        <v>-1.1915920264390886E-2</v>
      </c>
    </row>
    <row r="2586" spans="1:3" x14ac:dyDescent="0.2">
      <c r="A2586" s="1">
        <v>42314</v>
      </c>
      <c r="B2586">
        <v>25.326699999999999</v>
      </c>
      <c r="C2586" s="2">
        <f t="shared" si="40"/>
        <v>-7.9950560270635844E-3</v>
      </c>
    </row>
    <row r="2587" spans="1:3" x14ac:dyDescent="0.2">
      <c r="A2587" s="1">
        <v>42313</v>
      </c>
      <c r="B2587">
        <v>25.53</v>
      </c>
      <c r="C2587" s="2">
        <f t="shared" si="40"/>
        <v>9.1306850242105892E-4</v>
      </c>
    </row>
    <row r="2588" spans="1:3" x14ac:dyDescent="0.2">
      <c r="A2588" s="1">
        <v>42312</v>
      </c>
      <c r="B2588">
        <v>25.506699999999999</v>
      </c>
      <c r="C2588" s="2">
        <f t="shared" si="40"/>
        <v>5.7680331819462425E-3</v>
      </c>
    </row>
    <row r="2589" spans="1:3" x14ac:dyDescent="0.2">
      <c r="A2589" s="1">
        <v>42311</v>
      </c>
      <c r="B2589">
        <v>25.36</v>
      </c>
      <c r="C2589" s="2">
        <f t="shared" si="40"/>
        <v>1.8976233837561484E-2</v>
      </c>
    </row>
    <row r="2590" spans="1:3" x14ac:dyDescent="0.2">
      <c r="A2590" s="1">
        <v>42310</v>
      </c>
      <c r="B2590">
        <v>24.883299999999998</v>
      </c>
      <c r="C2590" s="2">
        <f t="shared" si="40"/>
        <v>1.6883886382211274E-2</v>
      </c>
    </row>
    <row r="2591" spans="1:3" x14ac:dyDescent="0.2">
      <c r="A2591" s="1">
        <v>42307</v>
      </c>
      <c r="B2591">
        <v>24.466699999999999</v>
      </c>
      <c r="C2591" s="2">
        <f t="shared" si="40"/>
        <v>-5.7057542300102638E-3</v>
      </c>
    </row>
    <row r="2592" spans="1:3" x14ac:dyDescent="0.2">
      <c r="A2592" s="1">
        <v>42306</v>
      </c>
      <c r="B2592">
        <v>24.6067</v>
      </c>
      <c r="C2592" s="2">
        <f t="shared" si="40"/>
        <v>1.6268962008986025E-3</v>
      </c>
    </row>
    <row r="2593" spans="1:3" x14ac:dyDescent="0.2">
      <c r="A2593" s="1">
        <v>42305</v>
      </c>
      <c r="B2593">
        <v>24.566700000000001</v>
      </c>
      <c r="C2593" s="2">
        <f t="shared" si="40"/>
        <v>3.2828765183756492E-2</v>
      </c>
    </row>
    <row r="2594" spans="1:3" x14ac:dyDescent="0.2">
      <c r="A2594" s="1">
        <v>42304</v>
      </c>
      <c r="B2594">
        <v>23.773299999999999</v>
      </c>
      <c r="C2594" s="2">
        <f t="shared" si="40"/>
        <v>-1.5307113474777957E-2</v>
      </c>
    </row>
    <row r="2595" spans="1:3" x14ac:dyDescent="0.2">
      <c r="A2595" s="1">
        <v>42303</v>
      </c>
      <c r="B2595">
        <v>24.14</v>
      </c>
      <c r="C2595" s="2">
        <f t="shared" si="40"/>
        <v>-3.8575046852140117E-3</v>
      </c>
    </row>
    <row r="2596" spans="1:3" x14ac:dyDescent="0.2">
      <c r="A2596" s="1">
        <v>42300</v>
      </c>
      <c r="B2596">
        <v>24.2333</v>
      </c>
      <c r="C2596" s="2">
        <f t="shared" si="40"/>
        <v>1.4548250422914896E-2</v>
      </c>
    </row>
    <row r="2597" spans="1:3" x14ac:dyDescent="0.2">
      <c r="A2597" s="1">
        <v>42299</v>
      </c>
      <c r="B2597">
        <v>23.883299999999998</v>
      </c>
      <c r="C2597" s="2">
        <f t="shared" si="40"/>
        <v>6.0998383734446965E-2</v>
      </c>
    </row>
    <row r="2598" spans="1:3" x14ac:dyDescent="0.2">
      <c r="A2598" s="1">
        <v>42298</v>
      </c>
      <c r="B2598">
        <v>22.47</v>
      </c>
      <c r="C2598" s="2">
        <f t="shared" si="40"/>
        <v>-1.2238993733180771E-2</v>
      </c>
    </row>
    <row r="2599" spans="1:3" x14ac:dyDescent="0.2">
      <c r="A2599" s="1">
        <v>42297</v>
      </c>
      <c r="B2599">
        <v>22.746700000000001</v>
      </c>
      <c r="C2599" s="2">
        <f t="shared" si="40"/>
        <v>-1.2668516472328748E-2</v>
      </c>
    </row>
    <row r="2600" spans="1:3" x14ac:dyDescent="0.2">
      <c r="A2600" s="1">
        <v>42296</v>
      </c>
      <c r="B2600">
        <v>23.0367</v>
      </c>
      <c r="C2600" s="2">
        <f t="shared" si="40"/>
        <v>9.7448971817713798E-3</v>
      </c>
    </row>
    <row r="2601" spans="1:3" x14ac:dyDescent="0.2">
      <c r="A2601" s="1">
        <v>42293</v>
      </c>
      <c r="B2601">
        <v>22.813300000000002</v>
      </c>
      <c r="C2601" s="2">
        <f t="shared" si="40"/>
        <v>-1.3786777022371998E-2</v>
      </c>
    </row>
    <row r="2602" spans="1:3" x14ac:dyDescent="0.2">
      <c r="A2602" s="1">
        <v>42292</v>
      </c>
      <c r="B2602">
        <v>23.13</v>
      </c>
      <c r="C2602" s="2">
        <f t="shared" si="40"/>
        <v>-1.5854265071745983E-3</v>
      </c>
    </row>
    <row r="2603" spans="1:3" x14ac:dyDescent="0.2">
      <c r="A2603" s="1">
        <v>42291</v>
      </c>
      <c r="B2603">
        <v>23.166699999999999</v>
      </c>
      <c r="C2603" s="2">
        <f t="shared" si="40"/>
        <v>-1.2154592141765959E-2</v>
      </c>
    </row>
    <row r="2604" spans="1:3" x14ac:dyDescent="0.2">
      <c r="A2604" s="1">
        <v>42290</v>
      </c>
      <c r="B2604">
        <v>23.45</v>
      </c>
      <c r="C2604" s="2">
        <f t="shared" si="40"/>
        <v>-2.4985876568529672E-2</v>
      </c>
    </row>
    <row r="2605" spans="1:3" x14ac:dyDescent="0.2">
      <c r="A2605" s="1">
        <v>42289</v>
      </c>
      <c r="B2605">
        <v>24.043299999999999</v>
      </c>
      <c r="C2605" s="2">
        <f t="shared" si="40"/>
        <v>-1.8543239302536717E-2</v>
      </c>
    </row>
    <row r="2606" spans="1:3" x14ac:dyDescent="0.2">
      <c r="A2606" s="1">
        <v>42286</v>
      </c>
      <c r="B2606">
        <v>24.493300000000001</v>
      </c>
      <c r="C2606" s="2">
        <f t="shared" si="40"/>
        <v>-1.2847186940354962E-2</v>
      </c>
    </row>
    <row r="2607" spans="1:3" x14ac:dyDescent="0.2">
      <c r="A2607" s="1">
        <v>42285</v>
      </c>
      <c r="B2607">
        <v>24.81</v>
      </c>
      <c r="C2607" s="2">
        <f t="shared" si="40"/>
        <v>2.3655262875275172E-2</v>
      </c>
    </row>
    <row r="2608" spans="1:3" x14ac:dyDescent="0.2">
      <c r="A2608" s="1">
        <v>42284</v>
      </c>
      <c r="B2608">
        <v>24.23</v>
      </c>
      <c r="C2608" s="2">
        <f t="shared" si="40"/>
        <v>2.0569161206347573E-2</v>
      </c>
    </row>
    <row r="2609" spans="1:3" x14ac:dyDescent="0.2">
      <c r="A2609" s="1">
        <v>42283</v>
      </c>
      <c r="B2609">
        <v>23.736699999999999</v>
      </c>
      <c r="C2609" s="2">
        <f t="shared" si="40"/>
        <v>8.7461708828157139E-3</v>
      </c>
    </row>
    <row r="2610" spans="1:3" x14ac:dyDescent="0.2">
      <c r="A2610" s="1">
        <v>42282</v>
      </c>
      <c r="B2610">
        <v>23.53</v>
      </c>
      <c r="C2610" s="2">
        <f t="shared" si="40"/>
        <v>3.9587631288237266E-2</v>
      </c>
    </row>
    <row r="2611" spans="1:3" x14ac:dyDescent="0.2">
      <c r="A2611" s="1">
        <v>42279</v>
      </c>
      <c r="B2611">
        <v>22.616700000000002</v>
      </c>
      <c r="C2611" s="2">
        <f t="shared" si="40"/>
        <v>1.7245843474928781E-2</v>
      </c>
    </row>
    <row r="2612" spans="1:3" x14ac:dyDescent="0.2">
      <c r="A2612" s="1">
        <v>42278</v>
      </c>
      <c r="B2612">
        <v>22.23</v>
      </c>
      <c r="C2612" s="2">
        <f t="shared" si="40"/>
        <v>-5.083771855226309E-3</v>
      </c>
    </row>
    <row r="2613" spans="1:3" x14ac:dyDescent="0.2">
      <c r="A2613" s="1">
        <v>42277</v>
      </c>
      <c r="B2613">
        <v>22.343299999999999</v>
      </c>
      <c r="C2613" s="2">
        <f t="shared" si="40"/>
        <v>2.2934459272315185E-2</v>
      </c>
    </row>
    <row r="2614" spans="1:3" x14ac:dyDescent="0.2">
      <c r="A2614" s="1">
        <v>42276</v>
      </c>
      <c r="B2614">
        <v>21.8367</v>
      </c>
      <c r="C2614" s="2">
        <f t="shared" si="40"/>
        <v>-2.5886133823919337E-3</v>
      </c>
    </row>
    <row r="2615" spans="1:3" x14ac:dyDescent="0.2">
      <c r="A2615" s="1">
        <v>42275</v>
      </c>
      <c r="B2615">
        <v>21.8933</v>
      </c>
      <c r="C2615" s="2">
        <f t="shared" si="40"/>
        <v>-1.1805815651338524E-2</v>
      </c>
    </row>
    <row r="2616" spans="1:3" x14ac:dyDescent="0.2">
      <c r="A2616" s="1">
        <v>42272</v>
      </c>
      <c r="B2616">
        <v>22.153300000000002</v>
      </c>
      <c r="C2616" s="2">
        <f t="shared" si="40"/>
        <v>1.424331871604255E-2</v>
      </c>
    </row>
    <row r="2617" spans="1:3" x14ac:dyDescent="0.2">
      <c r="A2617" s="1">
        <v>42271</v>
      </c>
      <c r="B2617">
        <v>21.84</v>
      </c>
      <c r="C2617" s="2">
        <f t="shared" si="40"/>
        <v>-2.3678071493769746E-2</v>
      </c>
    </row>
    <row r="2618" spans="1:3" x14ac:dyDescent="0.2">
      <c r="A2618" s="1">
        <v>42270</v>
      </c>
      <c r="B2618">
        <v>22.363299999999999</v>
      </c>
      <c r="C2618" s="2">
        <f t="shared" si="40"/>
        <v>-1.4062256489077312E-2</v>
      </c>
    </row>
    <row r="2619" spans="1:3" x14ac:dyDescent="0.2">
      <c r="A2619" s="1">
        <v>42269</v>
      </c>
      <c r="B2619">
        <v>22.68</v>
      </c>
      <c r="C2619" s="2">
        <f t="shared" si="40"/>
        <v>-2.7969382045187098E-2</v>
      </c>
    </row>
    <row r="2620" spans="1:3" x14ac:dyDescent="0.2">
      <c r="A2620" s="1">
        <v>42268</v>
      </c>
      <c r="B2620">
        <v>23.3233</v>
      </c>
      <c r="C2620" s="2">
        <f t="shared" si="40"/>
        <v>1.671461308237579E-2</v>
      </c>
    </row>
    <row r="2621" spans="1:3" x14ac:dyDescent="0.2">
      <c r="A2621" s="1">
        <v>42265</v>
      </c>
      <c r="B2621">
        <v>22.936699999999998</v>
      </c>
      <c r="C2621" s="2">
        <f t="shared" si="40"/>
        <v>-2.1846491960108714E-2</v>
      </c>
    </row>
    <row r="2622" spans="1:3" x14ac:dyDescent="0.2">
      <c r="A2622" s="1">
        <v>42264</v>
      </c>
      <c r="B2622">
        <v>23.443300000000001</v>
      </c>
      <c r="C2622" s="2">
        <f t="shared" si="40"/>
        <v>-6.8017929821933458E-3</v>
      </c>
    </row>
    <row r="2623" spans="1:3" x14ac:dyDescent="0.2">
      <c r="A2623" s="1">
        <v>42263</v>
      </c>
      <c r="B2623">
        <v>23.603300000000001</v>
      </c>
      <c r="C2623" s="2">
        <f t="shared" si="40"/>
        <v>1.2216690729739904E-2</v>
      </c>
    </row>
    <row r="2624" spans="1:3" x14ac:dyDescent="0.2">
      <c r="A2624" s="1">
        <v>42262</v>
      </c>
      <c r="B2624">
        <v>23.316700000000001</v>
      </c>
      <c r="C2624" s="2">
        <f t="shared" si="40"/>
        <v>1.7740397847650958E-2</v>
      </c>
    </row>
    <row r="2625" spans="1:3" x14ac:dyDescent="0.2">
      <c r="A2625" s="1">
        <v>42261</v>
      </c>
      <c r="B2625">
        <v>22.906700000000001</v>
      </c>
      <c r="C2625" s="2">
        <f t="shared" si="40"/>
        <v>-1.0707874781995858E-2</v>
      </c>
    </row>
    <row r="2626" spans="1:3" x14ac:dyDescent="0.2">
      <c r="A2626" s="1">
        <v>42258</v>
      </c>
      <c r="B2626">
        <v>23.153300000000002</v>
      </c>
      <c r="C2626" s="2">
        <f t="shared" si="40"/>
        <v>1.8718946829804019E-3</v>
      </c>
    </row>
    <row r="2627" spans="1:3" x14ac:dyDescent="0.2">
      <c r="A2627" s="1">
        <v>42257</v>
      </c>
      <c r="B2627">
        <v>23.11</v>
      </c>
      <c r="C2627" s="2">
        <f t="shared" ref="C2627:C2690" si="41">+LN(B2627/B2628)</f>
        <v>-1.58679748882459E-3</v>
      </c>
    </row>
    <row r="2628" spans="1:3" x14ac:dyDescent="0.2">
      <c r="A2628" s="1">
        <v>42256</v>
      </c>
      <c r="B2628">
        <v>23.146699999999999</v>
      </c>
      <c r="C2628" s="2">
        <f t="shared" si="41"/>
        <v>2.1624715952767745E-3</v>
      </c>
    </row>
    <row r="2629" spans="1:3" x14ac:dyDescent="0.2">
      <c r="A2629" s="1">
        <v>42255</v>
      </c>
      <c r="B2629">
        <v>23.096699999999998</v>
      </c>
      <c r="C2629" s="2">
        <f t="shared" si="41"/>
        <v>2.2479055103985939E-2</v>
      </c>
    </row>
    <row r="2630" spans="1:3" x14ac:dyDescent="0.2">
      <c r="A2630" s="1">
        <v>42251</v>
      </c>
      <c r="B2630">
        <v>22.583300000000001</v>
      </c>
      <c r="C2630" s="2">
        <f t="shared" si="41"/>
        <v>3.3976524147020324E-3</v>
      </c>
    </row>
    <row r="2631" spans="1:3" x14ac:dyDescent="0.2">
      <c r="A2631" s="1">
        <v>42250</v>
      </c>
      <c r="B2631">
        <v>22.506699999999999</v>
      </c>
      <c r="C2631" s="2">
        <f t="shared" si="41"/>
        <v>1.0873459822959269E-2</v>
      </c>
    </row>
    <row r="2632" spans="1:3" x14ac:dyDescent="0.2">
      <c r="A2632" s="1">
        <v>42249</v>
      </c>
      <c r="B2632">
        <v>22.263300000000001</v>
      </c>
      <c r="C2632" s="2">
        <f t="shared" si="41"/>
        <v>1.3111502896525247E-2</v>
      </c>
    </row>
    <row r="2633" spans="1:3" x14ac:dyDescent="0.2">
      <c r="A2633" s="1">
        <v>42248</v>
      </c>
      <c r="B2633">
        <v>21.973299999999998</v>
      </c>
      <c r="C2633" s="2">
        <f t="shared" si="41"/>
        <v>-4.5522647432625206E-2</v>
      </c>
    </row>
    <row r="2634" spans="1:3" x14ac:dyDescent="0.2">
      <c r="A2634" s="1">
        <v>42247</v>
      </c>
      <c r="B2634">
        <v>22.996700000000001</v>
      </c>
      <c r="C2634" s="2">
        <f t="shared" si="41"/>
        <v>8.8840942482246894E-3</v>
      </c>
    </row>
    <row r="2635" spans="1:3" x14ac:dyDescent="0.2">
      <c r="A2635" s="1">
        <v>42244</v>
      </c>
      <c r="B2635">
        <v>22.793299999999999</v>
      </c>
      <c r="C2635" s="2">
        <f t="shared" si="41"/>
        <v>9.8450422966208269E-3</v>
      </c>
    </row>
    <row r="2636" spans="1:3" x14ac:dyDescent="0.2">
      <c r="A2636" s="1">
        <v>42243</v>
      </c>
      <c r="B2636">
        <v>22.57</v>
      </c>
      <c r="C2636" s="2">
        <f t="shared" si="41"/>
        <v>2.8159737083178881E-2</v>
      </c>
    </row>
    <row r="2637" spans="1:3" x14ac:dyDescent="0.2">
      <c r="A2637" s="1">
        <v>42242</v>
      </c>
      <c r="B2637">
        <v>21.943300000000001</v>
      </c>
      <c r="C2637" s="2">
        <f t="shared" si="41"/>
        <v>1.576853905614611E-2</v>
      </c>
    </row>
    <row r="2638" spans="1:3" x14ac:dyDescent="0.2">
      <c r="A2638" s="1">
        <v>42241</v>
      </c>
      <c r="B2638">
        <v>21.6</v>
      </c>
      <c r="C2638" s="2">
        <f t="shared" si="41"/>
        <v>1.5278944949147937E-4</v>
      </c>
    </row>
    <row r="2639" spans="1:3" x14ac:dyDescent="0.2">
      <c r="A2639" s="1">
        <v>42240</v>
      </c>
      <c r="B2639">
        <v>21.596699999999998</v>
      </c>
      <c r="C2639" s="2">
        <f t="shared" si="41"/>
        <v>-3.993869185608085E-2</v>
      </c>
    </row>
    <row r="2640" spans="1:3" x14ac:dyDescent="0.2">
      <c r="A2640" s="1">
        <v>42237</v>
      </c>
      <c r="B2640">
        <v>22.476700000000001</v>
      </c>
      <c r="C2640" s="2">
        <f t="shared" si="41"/>
        <v>-2.7210533083128326E-2</v>
      </c>
    </row>
    <row r="2641" spans="1:3" x14ac:dyDescent="0.2">
      <c r="A2641" s="1">
        <v>42236</v>
      </c>
      <c r="B2641">
        <v>23.096699999999998</v>
      </c>
      <c r="C2641" s="2">
        <f t="shared" si="41"/>
        <v>-1.8726689219651631E-2</v>
      </c>
    </row>
    <row r="2642" spans="1:3" x14ac:dyDescent="0.2">
      <c r="A2642" s="1">
        <v>42235</v>
      </c>
      <c r="B2642">
        <v>23.533300000000001</v>
      </c>
      <c r="C2642" s="2">
        <f t="shared" si="41"/>
        <v>-2.0886610348888959E-2</v>
      </c>
    </row>
    <row r="2643" spans="1:3" x14ac:dyDescent="0.2">
      <c r="A2643" s="1">
        <v>42234</v>
      </c>
      <c r="B2643">
        <v>24.03</v>
      </c>
      <c r="C2643" s="2">
        <f t="shared" si="41"/>
        <v>-4.9813303502040246E-3</v>
      </c>
    </row>
    <row r="2644" spans="1:3" x14ac:dyDescent="0.2">
      <c r="A2644" s="1">
        <v>42233</v>
      </c>
      <c r="B2644">
        <v>24.15</v>
      </c>
      <c r="C2644" s="2">
        <f t="shared" si="41"/>
        <v>5.8139698654198161E-3</v>
      </c>
    </row>
    <row r="2645" spans="1:3" x14ac:dyDescent="0.2">
      <c r="A2645" s="1">
        <v>42230</v>
      </c>
      <c r="B2645">
        <v>24.01</v>
      </c>
      <c r="C2645" s="2">
        <f t="shared" si="41"/>
        <v>-1.5273627666732585E-3</v>
      </c>
    </row>
    <row r="2646" spans="1:3" x14ac:dyDescent="0.2">
      <c r="A2646" s="1">
        <v>42229</v>
      </c>
      <c r="B2646">
        <v>24.046700000000001</v>
      </c>
      <c r="C2646" s="2">
        <f t="shared" si="41"/>
        <v>-1.7990436269448343E-3</v>
      </c>
    </row>
    <row r="2647" spans="1:3" x14ac:dyDescent="0.2">
      <c r="A2647" s="1">
        <v>42228</v>
      </c>
      <c r="B2647">
        <v>24.09</v>
      </c>
      <c r="C2647" s="2">
        <f t="shared" si="41"/>
        <v>7.918357689314974E-3</v>
      </c>
    </row>
    <row r="2648" spans="1:3" x14ac:dyDescent="0.2">
      <c r="A2648" s="1">
        <v>42227</v>
      </c>
      <c r="B2648">
        <v>23.9</v>
      </c>
      <c r="C2648" s="2">
        <f t="shared" si="41"/>
        <v>-1.3989554382085136E-2</v>
      </c>
    </row>
    <row r="2649" spans="1:3" x14ac:dyDescent="0.2">
      <c r="A2649" s="1">
        <v>42226</v>
      </c>
      <c r="B2649">
        <v>24.236699999999999</v>
      </c>
      <c r="C2649" s="2">
        <f t="shared" si="41"/>
        <v>1.8043786791716317E-2</v>
      </c>
    </row>
    <row r="2650" spans="1:3" x14ac:dyDescent="0.2">
      <c r="A2650" s="1">
        <v>42223</v>
      </c>
      <c r="B2650">
        <v>23.8033</v>
      </c>
      <c r="C2650" s="2">
        <f t="shared" si="41"/>
        <v>6.976255798798502E-4</v>
      </c>
    </row>
    <row r="2651" spans="1:3" x14ac:dyDescent="0.2">
      <c r="A2651" s="1">
        <v>42222</v>
      </c>
      <c r="B2651">
        <v>23.7867</v>
      </c>
      <c r="C2651" s="2">
        <f t="shared" si="41"/>
        <v>-7.538765930554369E-3</v>
      </c>
    </row>
    <row r="2652" spans="1:3" x14ac:dyDescent="0.2">
      <c r="A2652" s="1">
        <v>42221</v>
      </c>
      <c r="B2652">
        <v>23.966699999999999</v>
      </c>
      <c r="C2652" s="2">
        <f t="shared" si="41"/>
        <v>7.6817131664506039E-3</v>
      </c>
    </row>
    <row r="2653" spans="1:3" x14ac:dyDescent="0.2">
      <c r="A2653" s="1">
        <v>42220</v>
      </c>
      <c r="B2653">
        <v>23.783300000000001</v>
      </c>
      <c r="C2653" s="2">
        <f t="shared" si="41"/>
        <v>-2.1001087174179148E-3</v>
      </c>
    </row>
    <row r="2654" spans="1:3" x14ac:dyDescent="0.2">
      <c r="A2654" s="1">
        <v>42219</v>
      </c>
      <c r="B2654">
        <v>23.833300000000001</v>
      </c>
      <c r="C2654" s="2">
        <f t="shared" si="41"/>
        <v>1.38471318825058E-4</v>
      </c>
    </row>
    <row r="2655" spans="1:3" x14ac:dyDescent="0.2">
      <c r="A2655" s="1">
        <v>42216</v>
      </c>
      <c r="B2655">
        <v>23.83</v>
      </c>
      <c r="C2655" s="2">
        <f t="shared" si="41"/>
        <v>1.1210645828168093E-3</v>
      </c>
    </row>
    <row r="2656" spans="1:3" x14ac:dyDescent="0.2">
      <c r="A2656" s="1">
        <v>42215</v>
      </c>
      <c r="B2656">
        <v>23.8033</v>
      </c>
      <c r="C2656" s="2">
        <f t="shared" si="41"/>
        <v>3.0841560801614506E-3</v>
      </c>
    </row>
    <row r="2657" spans="1:3" x14ac:dyDescent="0.2">
      <c r="A2657" s="1">
        <v>42214</v>
      </c>
      <c r="B2657">
        <v>23.73</v>
      </c>
      <c r="C2657" s="2">
        <f t="shared" si="41"/>
        <v>1.4717978085077937E-2</v>
      </c>
    </row>
    <row r="2658" spans="1:3" x14ac:dyDescent="0.2">
      <c r="A2658" s="1">
        <v>42213</v>
      </c>
      <c r="B2658">
        <v>23.383299999999998</v>
      </c>
      <c r="C2658" s="2">
        <f t="shared" si="41"/>
        <v>8.7322544509887568E-3</v>
      </c>
    </row>
    <row r="2659" spans="1:3" x14ac:dyDescent="0.2">
      <c r="A2659" s="1">
        <v>42212</v>
      </c>
      <c r="B2659">
        <v>23.18</v>
      </c>
      <c r="C2659" s="2">
        <f t="shared" si="41"/>
        <v>1.584516115152907E-3</v>
      </c>
    </row>
    <row r="2660" spans="1:3" x14ac:dyDescent="0.2">
      <c r="A2660" s="1">
        <v>42209</v>
      </c>
      <c r="B2660">
        <v>23.1433</v>
      </c>
      <c r="C2660" s="2">
        <f t="shared" si="41"/>
        <v>-8.1762030123475569E-3</v>
      </c>
    </row>
    <row r="2661" spans="1:3" x14ac:dyDescent="0.2">
      <c r="A2661" s="1">
        <v>42208</v>
      </c>
      <c r="B2661">
        <v>23.333300000000001</v>
      </c>
      <c r="C2661" s="2">
        <f t="shared" si="41"/>
        <v>4.7238437929656027E-2</v>
      </c>
    </row>
    <row r="2662" spans="1:3" x14ac:dyDescent="0.2">
      <c r="A2662" s="1">
        <v>42207</v>
      </c>
      <c r="B2662">
        <v>22.256699999999999</v>
      </c>
      <c r="C2662" s="2">
        <f t="shared" si="41"/>
        <v>-3.7357067619102654E-3</v>
      </c>
    </row>
    <row r="2663" spans="1:3" x14ac:dyDescent="0.2">
      <c r="A2663" s="1">
        <v>42206</v>
      </c>
      <c r="B2663">
        <v>22.34</v>
      </c>
      <c r="C2663" s="2">
        <f t="shared" si="41"/>
        <v>-3.1284941717809817E-3</v>
      </c>
    </row>
    <row r="2664" spans="1:3" x14ac:dyDescent="0.2">
      <c r="A2664" s="1">
        <v>42205</v>
      </c>
      <c r="B2664">
        <v>22.41</v>
      </c>
      <c r="C2664" s="2">
        <f t="shared" si="41"/>
        <v>2.3171347276002389E-2</v>
      </c>
    </row>
    <row r="2665" spans="1:3" x14ac:dyDescent="0.2">
      <c r="A2665" s="1">
        <v>42202</v>
      </c>
      <c r="B2665">
        <v>21.896699999999999</v>
      </c>
      <c r="C2665" s="2">
        <f t="shared" si="41"/>
        <v>-1.8102744916033725E-2</v>
      </c>
    </row>
    <row r="2666" spans="1:3" x14ac:dyDescent="0.2">
      <c r="A2666" s="1">
        <v>42201</v>
      </c>
      <c r="B2666">
        <v>22.296700000000001</v>
      </c>
      <c r="C2666" s="2">
        <f t="shared" si="41"/>
        <v>-5.9606630792498876E-3</v>
      </c>
    </row>
    <row r="2667" spans="1:3" x14ac:dyDescent="0.2">
      <c r="A2667" s="1">
        <v>42200</v>
      </c>
      <c r="B2667">
        <v>22.43</v>
      </c>
      <c r="C2667" s="2">
        <f t="shared" si="41"/>
        <v>-3.346409532794041E-2</v>
      </c>
    </row>
    <row r="2668" spans="1:3" x14ac:dyDescent="0.2">
      <c r="A2668" s="1">
        <v>42199</v>
      </c>
      <c r="B2668">
        <v>23.193300000000001</v>
      </c>
      <c r="C2668" s="2">
        <f t="shared" si="41"/>
        <v>-2.1534746007554626E-3</v>
      </c>
    </row>
    <row r="2669" spans="1:3" x14ac:dyDescent="0.2">
      <c r="A2669" s="1">
        <v>42198</v>
      </c>
      <c r="B2669">
        <v>23.243300000000001</v>
      </c>
      <c r="C2669" s="2">
        <f t="shared" si="41"/>
        <v>1.2119629114362131E-2</v>
      </c>
    </row>
    <row r="2670" spans="1:3" x14ac:dyDescent="0.2">
      <c r="A2670" s="1">
        <v>42195</v>
      </c>
      <c r="B2670">
        <v>22.9633</v>
      </c>
      <c r="C2670" s="2">
        <f t="shared" si="41"/>
        <v>1.7434288063098856E-3</v>
      </c>
    </row>
    <row r="2671" spans="1:3" x14ac:dyDescent="0.2">
      <c r="A2671" s="1">
        <v>42194</v>
      </c>
      <c r="B2671">
        <v>22.923300000000001</v>
      </c>
      <c r="C2671" s="2">
        <f t="shared" si="41"/>
        <v>-1.0272792164653721E-2</v>
      </c>
    </row>
    <row r="2672" spans="1:3" x14ac:dyDescent="0.2">
      <c r="A2672" s="1">
        <v>42193</v>
      </c>
      <c r="B2672">
        <v>23.16</v>
      </c>
      <c r="C2672" s="2">
        <f t="shared" si="41"/>
        <v>-2.164234411812355E-2</v>
      </c>
    </row>
    <row r="2673" spans="1:3" x14ac:dyDescent="0.2">
      <c r="A2673" s="1">
        <v>42192</v>
      </c>
      <c r="B2673">
        <v>23.666699999999999</v>
      </c>
      <c r="C2673" s="2">
        <f t="shared" si="41"/>
        <v>2.6824640582534466E-3</v>
      </c>
    </row>
    <row r="2674" spans="1:3" x14ac:dyDescent="0.2">
      <c r="A2674" s="1">
        <v>42191</v>
      </c>
      <c r="B2674">
        <v>23.603300000000001</v>
      </c>
      <c r="C2674" s="2">
        <f t="shared" si="41"/>
        <v>-4.5103673126493981E-3</v>
      </c>
    </row>
    <row r="2675" spans="1:3" x14ac:dyDescent="0.2">
      <c r="A2675" s="1">
        <v>42187</v>
      </c>
      <c r="B2675">
        <v>23.71</v>
      </c>
      <c r="C2675" s="2">
        <f t="shared" si="41"/>
        <v>-2.9479911853217207E-3</v>
      </c>
    </row>
    <row r="2676" spans="1:3" x14ac:dyDescent="0.2">
      <c r="A2676" s="1">
        <v>42186</v>
      </c>
      <c r="B2676">
        <v>23.78</v>
      </c>
      <c r="C2676" s="2">
        <f t="shared" si="41"/>
        <v>4.3534490661823882E-3</v>
      </c>
    </row>
    <row r="2677" spans="1:3" x14ac:dyDescent="0.2">
      <c r="A2677" s="1">
        <v>42185</v>
      </c>
      <c r="B2677">
        <v>23.6767</v>
      </c>
      <c r="C2677" s="2">
        <f t="shared" si="41"/>
        <v>6.0750027969647376E-3</v>
      </c>
    </row>
    <row r="2678" spans="1:3" x14ac:dyDescent="0.2">
      <c r="A2678" s="1">
        <v>42184</v>
      </c>
      <c r="B2678">
        <v>23.533300000000001</v>
      </c>
      <c r="C2678" s="2">
        <f t="shared" si="41"/>
        <v>-2.5590469495303369E-2</v>
      </c>
    </row>
    <row r="2679" spans="1:3" x14ac:dyDescent="0.2">
      <c r="A2679" s="1">
        <v>42181</v>
      </c>
      <c r="B2679">
        <v>24.1433</v>
      </c>
      <c r="C2679" s="2">
        <f t="shared" si="41"/>
        <v>8.5940628779354097E-3</v>
      </c>
    </row>
    <row r="2680" spans="1:3" x14ac:dyDescent="0.2">
      <c r="A2680" s="1">
        <v>42180</v>
      </c>
      <c r="B2680">
        <v>23.936699999999998</v>
      </c>
      <c r="C2680" s="2">
        <f t="shared" si="41"/>
        <v>-1.5278650436165197E-3</v>
      </c>
    </row>
    <row r="2681" spans="1:3" x14ac:dyDescent="0.2">
      <c r="A2681" s="1">
        <v>42179</v>
      </c>
      <c r="B2681">
        <v>23.973299999999998</v>
      </c>
      <c r="C2681" s="2">
        <f t="shared" si="41"/>
        <v>1.3766261418001247E-4</v>
      </c>
    </row>
    <row r="2682" spans="1:3" x14ac:dyDescent="0.2">
      <c r="A2682" s="1">
        <v>42178</v>
      </c>
      <c r="B2682">
        <v>23.97</v>
      </c>
      <c r="C2682" s="2">
        <f t="shared" si="41"/>
        <v>-5.5470636394304646E-4</v>
      </c>
    </row>
    <row r="2683" spans="1:3" x14ac:dyDescent="0.2">
      <c r="A2683" s="1">
        <v>42177</v>
      </c>
      <c r="B2683">
        <v>23.9833</v>
      </c>
      <c r="C2683" s="2">
        <f t="shared" si="41"/>
        <v>1.3894309533117437E-3</v>
      </c>
    </row>
    <row r="2684" spans="1:3" x14ac:dyDescent="0.2">
      <c r="A2684" s="1">
        <v>42174</v>
      </c>
      <c r="B2684">
        <v>23.95</v>
      </c>
      <c r="C2684" s="2">
        <f t="shared" si="41"/>
        <v>-6.795231636889716E-3</v>
      </c>
    </row>
    <row r="2685" spans="1:3" x14ac:dyDescent="0.2">
      <c r="A2685" s="1">
        <v>42173</v>
      </c>
      <c r="B2685">
        <v>24.113299999999999</v>
      </c>
      <c r="C2685" s="2">
        <f t="shared" si="41"/>
        <v>7.4927608663753406E-3</v>
      </c>
    </row>
    <row r="2686" spans="1:3" x14ac:dyDescent="0.2">
      <c r="A2686" s="1">
        <v>42172</v>
      </c>
      <c r="B2686">
        <v>23.933299999999999</v>
      </c>
      <c r="C2686" s="2">
        <f t="shared" si="41"/>
        <v>-1.4205138941781966E-4</v>
      </c>
    </row>
    <row r="2687" spans="1:3" x14ac:dyDescent="0.2">
      <c r="A2687" s="1">
        <v>42171</v>
      </c>
      <c r="B2687">
        <v>23.936699999999998</v>
      </c>
      <c r="C2687" s="2">
        <f t="shared" si="41"/>
        <v>0</v>
      </c>
    </row>
    <row r="2688" spans="1:3" x14ac:dyDescent="0.2">
      <c r="A2688" s="1">
        <v>42170</v>
      </c>
      <c r="B2688">
        <v>23.936699999999998</v>
      </c>
      <c r="C2688" s="2">
        <f t="shared" si="41"/>
        <v>-1.0939787145784153E-2</v>
      </c>
    </row>
    <row r="2689" spans="1:3" x14ac:dyDescent="0.2">
      <c r="A2689" s="1">
        <v>42167</v>
      </c>
      <c r="B2689">
        <v>24.2</v>
      </c>
      <c r="C2689" s="2">
        <f t="shared" si="41"/>
        <v>-1.191223780143558E-2</v>
      </c>
    </row>
    <row r="2690" spans="1:3" x14ac:dyDescent="0.2">
      <c r="A2690" s="1">
        <v>42166</v>
      </c>
      <c r="B2690">
        <v>24.49</v>
      </c>
      <c r="C2690" s="2">
        <f t="shared" si="41"/>
        <v>7.1015138624117716E-3</v>
      </c>
    </row>
    <row r="2691" spans="1:3" x14ac:dyDescent="0.2">
      <c r="A2691" s="1">
        <v>42165</v>
      </c>
      <c r="B2691">
        <v>24.316700000000001</v>
      </c>
      <c r="C2691" s="2">
        <f t="shared" ref="C2691:C2754" si="42">+LN(B2691/B2692)</f>
        <v>7.1564482068725869E-3</v>
      </c>
    </row>
    <row r="2692" spans="1:3" x14ac:dyDescent="0.2">
      <c r="A2692" s="1">
        <v>42164</v>
      </c>
      <c r="B2692">
        <v>24.1433</v>
      </c>
      <c r="C2692" s="2">
        <f t="shared" si="42"/>
        <v>2.7340513840551605E-4</v>
      </c>
    </row>
    <row r="2693" spans="1:3" x14ac:dyDescent="0.2">
      <c r="A2693" s="1">
        <v>42163</v>
      </c>
      <c r="B2693">
        <v>24.136700000000001</v>
      </c>
      <c r="C2693" s="2">
        <f t="shared" si="42"/>
        <v>-2.7340513840557227E-4</v>
      </c>
    </row>
    <row r="2694" spans="1:3" x14ac:dyDescent="0.2">
      <c r="A2694" s="1">
        <v>42160</v>
      </c>
      <c r="B2694">
        <v>24.1433</v>
      </c>
      <c r="C2694" s="2">
        <f t="shared" si="42"/>
        <v>-2.0688264310486115E-3</v>
      </c>
    </row>
    <row r="2695" spans="1:3" x14ac:dyDescent="0.2">
      <c r="A2695" s="1">
        <v>42159</v>
      </c>
      <c r="B2695">
        <v>24.193300000000001</v>
      </c>
      <c r="C2695" s="2">
        <f t="shared" si="42"/>
        <v>-5.2233217721256234E-3</v>
      </c>
    </row>
    <row r="2696" spans="1:3" x14ac:dyDescent="0.2">
      <c r="A2696" s="1">
        <v>42158</v>
      </c>
      <c r="B2696">
        <v>24.32</v>
      </c>
      <c r="C2696" s="2">
        <f t="shared" si="42"/>
        <v>2.4701535820621169E-3</v>
      </c>
    </row>
    <row r="2697" spans="1:3" x14ac:dyDescent="0.2">
      <c r="A2697" s="1">
        <v>42157</v>
      </c>
      <c r="B2697">
        <v>24.26</v>
      </c>
      <c r="C2697" s="2">
        <f t="shared" si="42"/>
        <v>5.5097924522456571E-3</v>
      </c>
    </row>
    <row r="2698" spans="1:3" x14ac:dyDescent="0.2">
      <c r="A2698" s="1">
        <v>42156</v>
      </c>
      <c r="B2698">
        <v>24.1267</v>
      </c>
      <c r="C2698" s="2">
        <f t="shared" si="42"/>
        <v>-2.8971491642525273E-3</v>
      </c>
    </row>
    <row r="2699" spans="1:3" x14ac:dyDescent="0.2">
      <c r="A2699" s="1">
        <v>42153</v>
      </c>
      <c r="B2699">
        <v>24.1967</v>
      </c>
      <c r="C2699" s="2">
        <f t="shared" si="42"/>
        <v>-9.7306957391741795E-3</v>
      </c>
    </row>
    <row r="2700" spans="1:3" x14ac:dyDescent="0.2">
      <c r="A2700" s="1">
        <v>42152</v>
      </c>
      <c r="B2700">
        <v>24.433299999999999</v>
      </c>
      <c r="C2700" s="2">
        <f t="shared" si="42"/>
        <v>-5.4828151946336627E-4</v>
      </c>
    </row>
    <row r="2701" spans="1:3" x14ac:dyDescent="0.2">
      <c r="A2701" s="1">
        <v>42151</v>
      </c>
      <c r="B2701">
        <v>24.4467</v>
      </c>
      <c r="C2701" s="2">
        <f t="shared" si="42"/>
        <v>4.9207249088741405E-3</v>
      </c>
    </row>
    <row r="2702" spans="1:3" x14ac:dyDescent="0.2">
      <c r="A2702" s="1">
        <v>42150</v>
      </c>
      <c r="B2702">
        <v>24.326699999999999</v>
      </c>
      <c r="C2702" s="2">
        <f t="shared" si="42"/>
        <v>-7.9145984903360861E-3</v>
      </c>
    </row>
    <row r="2703" spans="1:3" x14ac:dyDescent="0.2">
      <c r="A2703" s="1">
        <v>42146</v>
      </c>
      <c r="B2703">
        <v>24.52</v>
      </c>
      <c r="C2703" s="2">
        <f t="shared" si="42"/>
        <v>-7.1805204013467693E-3</v>
      </c>
    </row>
    <row r="2704" spans="1:3" x14ac:dyDescent="0.2">
      <c r="A2704" s="1">
        <v>42145</v>
      </c>
      <c r="B2704">
        <v>24.6967</v>
      </c>
      <c r="C2704" s="2">
        <f t="shared" si="42"/>
        <v>3.6508678900948189E-3</v>
      </c>
    </row>
    <row r="2705" spans="1:3" x14ac:dyDescent="0.2">
      <c r="A2705" s="1">
        <v>42144</v>
      </c>
      <c r="B2705">
        <v>24.6067</v>
      </c>
      <c r="C2705" s="2">
        <f t="shared" si="42"/>
        <v>1.4925770461747122E-3</v>
      </c>
    </row>
    <row r="2706" spans="1:3" x14ac:dyDescent="0.2">
      <c r="A2706" s="1">
        <v>42143</v>
      </c>
      <c r="B2706">
        <v>24.57</v>
      </c>
      <c r="C2706" s="2">
        <f t="shared" si="42"/>
        <v>-5.9529419995011205E-3</v>
      </c>
    </row>
    <row r="2707" spans="1:3" x14ac:dyDescent="0.2">
      <c r="A2707" s="1">
        <v>42142</v>
      </c>
      <c r="B2707">
        <v>24.716699999999999</v>
      </c>
      <c r="C2707" s="2">
        <f t="shared" si="42"/>
        <v>2.2966307963906652E-3</v>
      </c>
    </row>
    <row r="2708" spans="1:3" x14ac:dyDescent="0.2">
      <c r="A2708" s="1">
        <v>42139</v>
      </c>
      <c r="B2708">
        <v>24.66</v>
      </c>
      <c r="C2708" s="2">
        <f t="shared" si="42"/>
        <v>-3.6429912785010919E-3</v>
      </c>
    </row>
    <row r="2709" spans="1:3" x14ac:dyDescent="0.2">
      <c r="A2709" s="1">
        <v>42138</v>
      </c>
      <c r="B2709">
        <v>24.75</v>
      </c>
      <c r="C2709" s="2">
        <f t="shared" si="42"/>
        <v>1.3558164598850987E-2</v>
      </c>
    </row>
    <row r="2710" spans="1:3" x14ac:dyDescent="0.2">
      <c r="A2710" s="1">
        <v>42137</v>
      </c>
      <c r="B2710">
        <v>24.416699999999999</v>
      </c>
      <c r="C2710" s="2">
        <f t="shared" si="42"/>
        <v>7.2631632147347148E-3</v>
      </c>
    </row>
    <row r="2711" spans="1:3" x14ac:dyDescent="0.2">
      <c r="A2711" s="1">
        <v>42136</v>
      </c>
      <c r="B2711">
        <v>24.24</v>
      </c>
      <c r="C2711" s="2">
        <f t="shared" si="42"/>
        <v>9.6168339138738687E-4</v>
      </c>
    </row>
    <row r="2712" spans="1:3" x14ac:dyDescent="0.2">
      <c r="A2712" s="1">
        <v>42135</v>
      </c>
      <c r="B2712">
        <v>24.216699999999999</v>
      </c>
      <c r="C2712" s="2">
        <f t="shared" si="42"/>
        <v>1.5166326230796636E-3</v>
      </c>
    </row>
    <row r="2713" spans="1:3" x14ac:dyDescent="0.2">
      <c r="A2713" s="1">
        <v>42132</v>
      </c>
      <c r="B2713">
        <v>24.18</v>
      </c>
      <c r="C2713" s="2">
        <f t="shared" si="42"/>
        <v>6.3601332082442825E-3</v>
      </c>
    </row>
    <row r="2714" spans="1:3" x14ac:dyDescent="0.2">
      <c r="A2714" s="1">
        <v>42131</v>
      </c>
      <c r="B2714">
        <v>24.026700000000002</v>
      </c>
      <c r="C2714" s="2">
        <f t="shared" si="42"/>
        <v>-4.2901676585380818E-3</v>
      </c>
    </row>
    <row r="2715" spans="1:3" x14ac:dyDescent="0.2">
      <c r="A2715" s="1">
        <v>42130</v>
      </c>
      <c r="B2715">
        <v>24.13</v>
      </c>
      <c r="C2715" s="2">
        <f t="shared" si="42"/>
        <v>2.2113117769646602E-3</v>
      </c>
    </row>
    <row r="2716" spans="1:3" x14ac:dyDescent="0.2">
      <c r="A2716" s="1">
        <v>42129</v>
      </c>
      <c r="B2716">
        <v>24.076699999999999</v>
      </c>
      <c r="C2716" s="2">
        <f t="shared" si="42"/>
        <v>-7.3081227393634552E-3</v>
      </c>
    </row>
    <row r="2717" spans="1:3" x14ac:dyDescent="0.2">
      <c r="A2717" s="1">
        <v>42128</v>
      </c>
      <c r="B2717">
        <v>24.253299999999999</v>
      </c>
      <c r="C2717" s="2">
        <f t="shared" si="42"/>
        <v>2.749795291726794E-3</v>
      </c>
    </row>
    <row r="2718" spans="1:3" x14ac:dyDescent="0.2">
      <c r="A2718" s="1">
        <v>42125</v>
      </c>
      <c r="B2718">
        <v>24.186699999999998</v>
      </c>
      <c r="C2718" s="2">
        <f t="shared" si="42"/>
        <v>1.3042215664438606E-2</v>
      </c>
    </row>
    <row r="2719" spans="1:3" x14ac:dyDescent="0.2">
      <c r="A2719" s="1">
        <v>42124</v>
      </c>
      <c r="B2719">
        <v>23.8733</v>
      </c>
      <c r="C2719" s="2">
        <f t="shared" si="42"/>
        <v>-1.0695199993766618E-2</v>
      </c>
    </row>
    <row r="2720" spans="1:3" x14ac:dyDescent="0.2">
      <c r="A2720" s="1">
        <v>42123</v>
      </c>
      <c r="B2720">
        <v>24.13</v>
      </c>
      <c r="C2720" s="2">
        <f t="shared" si="42"/>
        <v>4.7064579354300674E-3</v>
      </c>
    </row>
    <row r="2721" spans="1:3" x14ac:dyDescent="0.2">
      <c r="A2721" s="1">
        <v>42122</v>
      </c>
      <c r="B2721">
        <v>24.0167</v>
      </c>
      <c r="C2721" s="2">
        <f t="shared" si="42"/>
        <v>3.3365756846536498E-3</v>
      </c>
    </row>
    <row r="2722" spans="1:3" x14ac:dyDescent="0.2">
      <c r="A2722" s="1">
        <v>42121</v>
      </c>
      <c r="B2722">
        <v>23.936699999999998</v>
      </c>
      <c r="C2722" s="2">
        <f t="shared" si="42"/>
        <v>9.798567062501486E-3</v>
      </c>
    </row>
    <row r="2723" spans="1:3" x14ac:dyDescent="0.2">
      <c r="A2723" s="1">
        <v>42118</v>
      </c>
      <c r="B2723">
        <v>23.703299999999999</v>
      </c>
      <c r="C2723" s="2">
        <f t="shared" si="42"/>
        <v>-1.5214863316907953E-2</v>
      </c>
    </row>
    <row r="2724" spans="1:3" x14ac:dyDescent="0.2">
      <c r="A2724" s="1">
        <v>42117</v>
      </c>
      <c r="B2724">
        <v>24.066700000000001</v>
      </c>
      <c r="C2724" s="2">
        <f t="shared" si="42"/>
        <v>1.6634302928606563E-3</v>
      </c>
    </row>
    <row r="2725" spans="1:3" x14ac:dyDescent="0.2">
      <c r="A2725" s="1">
        <v>42116</v>
      </c>
      <c r="B2725">
        <v>24.026700000000002</v>
      </c>
      <c r="C2725" s="2">
        <f t="shared" si="42"/>
        <v>3.6150118485750839E-3</v>
      </c>
    </row>
    <row r="2726" spans="1:3" x14ac:dyDescent="0.2">
      <c r="A2726" s="1">
        <v>42115</v>
      </c>
      <c r="B2726">
        <v>23.94</v>
      </c>
      <c r="C2726" s="2">
        <f t="shared" si="42"/>
        <v>-5.0000104167056405E-3</v>
      </c>
    </row>
    <row r="2727" spans="1:3" x14ac:dyDescent="0.2">
      <c r="A2727" s="1">
        <v>42114</v>
      </c>
      <c r="B2727">
        <v>24.06</v>
      </c>
      <c r="C2727" s="2">
        <f t="shared" si="42"/>
        <v>1.1844600991008545E-2</v>
      </c>
    </row>
    <row r="2728" spans="1:3" x14ac:dyDescent="0.2">
      <c r="A2728" s="1">
        <v>42111</v>
      </c>
      <c r="B2728">
        <v>23.776700000000002</v>
      </c>
      <c r="C2728" s="2">
        <f t="shared" si="42"/>
        <v>-1.6542608732115296E-2</v>
      </c>
    </row>
    <row r="2729" spans="1:3" x14ac:dyDescent="0.2">
      <c r="A2729" s="1">
        <v>42110</v>
      </c>
      <c r="B2729">
        <v>24.173300000000001</v>
      </c>
      <c r="C2729" s="2">
        <f t="shared" si="42"/>
        <v>1.2069248355954892E-2</v>
      </c>
    </row>
    <row r="2730" spans="1:3" x14ac:dyDescent="0.2">
      <c r="A2730" s="1">
        <v>42109</v>
      </c>
      <c r="B2730">
        <v>23.883299999999998</v>
      </c>
      <c r="C2730" s="2">
        <f t="shared" si="42"/>
        <v>8.8316391399130573E-3</v>
      </c>
    </row>
    <row r="2731" spans="1:3" x14ac:dyDescent="0.2">
      <c r="A2731" s="1">
        <v>42108</v>
      </c>
      <c r="B2731">
        <v>23.673300000000001</v>
      </c>
      <c r="C2731" s="2">
        <f t="shared" si="42"/>
        <v>2.5377181780912189E-3</v>
      </c>
    </row>
    <row r="2732" spans="1:3" x14ac:dyDescent="0.2">
      <c r="A2732" s="1">
        <v>42107</v>
      </c>
      <c r="B2732">
        <v>23.613299999999999</v>
      </c>
      <c r="C2732" s="2">
        <f t="shared" si="42"/>
        <v>-2.2588842092377301E-3</v>
      </c>
    </row>
    <row r="2733" spans="1:3" x14ac:dyDescent="0.2">
      <c r="A2733" s="1">
        <v>42104</v>
      </c>
      <c r="B2733">
        <v>23.666699999999999</v>
      </c>
      <c r="C2733" s="2">
        <f t="shared" si="42"/>
        <v>2.8313827267732213E-4</v>
      </c>
    </row>
    <row r="2734" spans="1:3" x14ac:dyDescent="0.2">
      <c r="A2734" s="1">
        <v>42103</v>
      </c>
      <c r="B2734">
        <v>23.66</v>
      </c>
      <c r="C2734" s="2">
        <f t="shared" si="42"/>
        <v>-7.2979038792349415E-3</v>
      </c>
    </row>
    <row r="2735" spans="1:3" x14ac:dyDescent="0.2">
      <c r="A2735" s="1">
        <v>42102</v>
      </c>
      <c r="B2735">
        <v>23.833300000000001</v>
      </c>
      <c r="C2735" s="2">
        <f t="shared" si="42"/>
        <v>-4.3290835873808957E-3</v>
      </c>
    </row>
    <row r="2736" spans="1:3" x14ac:dyDescent="0.2">
      <c r="A2736" s="1">
        <v>42101</v>
      </c>
      <c r="B2736">
        <v>23.936699999999998</v>
      </c>
      <c r="C2736" s="2">
        <f t="shared" si="42"/>
        <v>-1.4516029389705901E-2</v>
      </c>
    </row>
    <row r="2737" spans="1:3" x14ac:dyDescent="0.2">
      <c r="A2737" s="1">
        <v>42100</v>
      </c>
      <c r="B2737">
        <v>24.2867</v>
      </c>
      <c r="C2737" s="2">
        <f t="shared" si="42"/>
        <v>7.024328828127477E-3</v>
      </c>
    </row>
    <row r="2738" spans="1:3" x14ac:dyDescent="0.2">
      <c r="A2738" s="1">
        <v>42096</v>
      </c>
      <c r="B2738">
        <v>24.116700000000002</v>
      </c>
      <c r="C2738" s="2">
        <f t="shared" si="42"/>
        <v>6.7984451569078411E-3</v>
      </c>
    </row>
    <row r="2739" spans="1:3" x14ac:dyDescent="0.2">
      <c r="A2739" s="1">
        <v>42095</v>
      </c>
      <c r="B2739">
        <v>23.953299999999999</v>
      </c>
      <c r="C2739" s="2">
        <f t="shared" si="42"/>
        <v>-4.1660998544585503E-3</v>
      </c>
    </row>
    <row r="2740" spans="1:3" x14ac:dyDescent="0.2">
      <c r="A2740" s="1">
        <v>42094</v>
      </c>
      <c r="B2740">
        <v>24.0533</v>
      </c>
      <c r="C2740" s="2">
        <f t="shared" si="42"/>
        <v>7.0927313443010119E-3</v>
      </c>
    </row>
    <row r="2741" spans="1:3" x14ac:dyDescent="0.2">
      <c r="A2741" s="1">
        <v>42093</v>
      </c>
      <c r="B2741">
        <v>23.883299999999998</v>
      </c>
      <c r="C2741" s="2">
        <f t="shared" si="42"/>
        <v>7.2825698543704893E-3</v>
      </c>
    </row>
    <row r="2742" spans="1:3" x14ac:dyDescent="0.2">
      <c r="A2742" s="1">
        <v>42090</v>
      </c>
      <c r="B2742">
        <v>23.71</v>
      </c>
      <c r="C2742" s="2">
        <f t="shared" si="42"/>
        <v>3.6633869585427506E-3</v>
      </c>
    </row>
    <row r="2743" spans="1:3" x14ac:dyDescent="0.2">
      <c r="A2743" s="1">
        <v>42089</v>
      </c>
      <c r="B2743">
        <v>23.6233</v>
      </c>
      <c r="C2743" s="2">
        <f t="shared" si="42"/>
        <v>1.3970234955492072E-4</v>
      </c>
    </row>
    <row r="2744" spans="1:3" x14ac:dyDescent="0.2">
      <c r="A2744" s="1">
        <v>42088</v>
      </c>
      <c r="B2744">
        <v>23.62</v>
      </c>
      <c r="C2744" s="2">
        <f t="shared" si="42"/>
        <v>-9.8287617734849706E-3</v>
      </c>
    </row>
    <row r="2745" spans="1:3" x14ac:dyDescent="0.2">
      <c r="A2745" s="1">
        <v>42087</v>
      </c>
      <c r="B2745">
        <v>23.853300000000001</v>
      </c>
      <c r="C2745" s="2">
        <f t="shared" si="42"/>
        <v>-5.5769375314785718E-3</v>
      </c>
    </row>
    <row r="2746" spans="1:3" x14ac:dyDescent="0.2">
      <c r="A2746" s="1">
        <v>42086</v>
      </c>
      <c r="B2746">
        <v>23.986699999999999</v>
      </c>
      <c r="C2746" s="2">
        <f t="shared" si="42"/>
        <v>-3.0512004723529341E-3</v>
      </c>
    </row>
    <row r="2747" spans="1:3" x14ac:dyDescent="0.2">
      <c r="A2747" s="1">
        <v>42083</v>
      </c>
      <c r="B2747">
        <v>24.06</v>
      </c>
      <c r="C2747" s="2">
        <f t="shared" si="42"/>
        <v>-1.5126085779122198E-2</v>
      </c>
    </row>
    <row r="2748" spans="1:3" x14ac:dyDescent="0.2">
      <c r="A2748" s="1">
        <v>42082</v>
      </c>
      <c r="B2748">
        <v>24.4267</v>
      </c>
      <c r="C2748" s="2">
        <f t="shared" si="42"/>
        <v>-4.0855237469034165E-3</v>
      </c>
    </row>
    <row r="2749" spans="1:3" x14ac:dyDescent="0.2">
      <c r="A2749" s="1">
        <v>42081</v>
      </c>
      <c r="B2749">
        <v>24.526700000000002</v>
      </c>
      <c r="C2749" s="2">
        <f t="shared" si="42"/>
        <v>1.6720948213573662E-2</v>
      </c>
    </row>
    <row r="2750" spans="1:3" x14ac:dyDescent="0.2">
      <c r="A2750" s="1">
        <v>42080</v>
      </c>
      <c r="B2750">
        <v>24.12</v>
      </c>
      <c r="C2750" s="2">
        <f t="shared" si="42"/>
        <v>-1.3453865627563904E-2</v>
      </c>
    </row>
    <row r="2751" spans="1:3" x14ac:dyDescent="0.2">
      <c r="A2751" s="1">
        <v>42079</v>
      </c>
      <c r="B2751">
        <v>24.4467</v>
      </c>
      <c r="C2751" s="2">
        <f t="shared" si="42"/>
        <v>2.5967657434581163E-3</v>
      </c>
    </row>
    <row r="2752" spans="1:3" x14ac:dyDescent="0.2">
      <c r="A2752" s="1">
        <v>42076</v>
      </c>
      <c r="B2752">
        <v>24.383299999999998</v>
      </c>
      <c r="C2752" s="2">
        <f t="shared" si="42"/>
        <v>-1.9228862165462771E-2</v>
      </c>
    </row>
    <row r="2753" spans="1:3" x14ac:dyDescent="0.2">
      <c r="A2753" s="1">
        <v>42075</v>
      </c>
      <c r="B2753">
        <v>24.8567</v>
      </c>
      <c r="C2753" s="2">
        <f t="shared" si="42"/>
        <v>1.0921687580870454E-2</v>
      </c>
    </row>
    <row r="2754" spans="1:3" x14ac:dyDescent="0.2">
      <c r="A2754" s="1">
        <v>42074</v>
      </c>
      <c r="B2754">
        <v>24.5867</v>
      </c>
      <c r="C2754" s="2">
        <f t="shared" si="42"/>
        <v>7.7577690767176421E-3</v>
      </c>
    </row>
    <row r="2755" spans="1:3" x14ac:dyDescent="0.2">
      <c r="A2755" s="1">
        <v>42073</v>
      </c>
      <c r="B2755">
        <v>24.396699999999999</v>
      </c>
      <c r="C2755" s="2">
        <f t="shared" ref="C2755:C2818" si="43">+LN(B2755/B2756)</f>
        <v>-2.2157371809877872E-2</v>
      </c>
    </row>
    <row r="2756" spans="1:3" x14ac:dyDescent="0.2">
      <c r="A2756" s="1">
        <v>42072</v>
      </c>
      <c r="B2756">
        <v>24.943300000000001</v>
      </c>
      <c r="C2756" s="2">
        <f t="shared" si="43"/>
        <v>8.1838820965012184E-3</v>
      </c>
    </row>
    <row r="2757" spans="1:3" x14ac:dyDescent="0.2">
      <c r="A2757" s="1">
        <v>42069</v>
      </c>
      <c r="B2757">
        <v>24.74</v>
      </c>
      <c r="C2757" s="2">
        <f t="shared" si="43"/>
        <v>-1.5772293120632372E-2</v>
      </c>
    </row>
    <row r="2758" spans="1:3" x14ac:dyDescent="0.2">
      <c r="A2758" s="1">
        <v>42068</v>
      </c>
      <c r="B2758">
        <v>25.133299999999998</v>
      </c>
      <c r="C2758" s="2">
        <f t="shared" si="43"/>
        <v>-3.9708906854836043E-3</v>
      </c>
    </row>
    <row r="2759" spans="1:3" x14ac:dyDescent="0.2">
      <c r="A2759" s="1">
        <v>42067</v>
      </c>
      <c r="B2759">
        <v>25.2333</v>
      </c>
      <c r="C2759" s="2">
        <f t="shared" si="43"/>
        <v>-1.676880841703253E-2</v>
      </c>
    </row>
    <row r="2760" spans="1:3" x14ac:dyDescent="0.2">
      <c r="A2760" s="1">
        <v>42066</v>
      </c>
      <c r="B2760">
        <v>25.66</v>
      </c>
      <c r="C2760" s="2">
        <f t="shared" si="43"/>
        <v>-5.4411327400814479E-3</v>
      </c>
    </row>
    <row r="2761" spans="1:3" x14ac:dyDescent="0.2">
      <c r="A2761" s="1">
        <v>42065</v>
      </c>
      <c r="B2761">
        <v>25.8</v>
      </c>
      <c r="C2761" s="2">
        <f t="shared" si="43"/>
        <v>2.1152375005226761E-2</v>
      </c>
    </row>
    <row r="2762" spans="1:3" x14ac:dyDescent="0.2">
      <c r="A2762" s="1">
        <v>42062</v>
      </c>
      <c r="B2762">
        <v>25.26</v>
      </c>
      <c r="C2762" s="2">
        <f t="shared" si="43"/>
        <v>-1.1415199727368311E-2</v>
      </c>
    </row>
    <row r="2763" spans="1:3" x14ac:dyDescent="0.2">
      <c r="A2763" s="1">
        <v>42061</v>
      </c>
      <c r="B2763">
        <v>25.55</v>
      </c>
      <c r="C2763" s="2">
        <f t="shared" si="43"/>
        <v>-1.9550348358033506E-3</v>
      </c>
    </row>
    <row r="2764" spans="1:3" x14ac:dyDescent="0.2">
      <c r="A2764" s="1">
        <v>42060</v>
      </c>
      <c r="B2764">
        <v>25.6</v>
      </c>
      <c r="C2764" s="2">
        <f t="shared" si="43"/>
        <v>1.1918399042007016E-2</v>
      </c>
    </row>
    <row r="2765" spans="1:3" x14ac:dyDescent="0.2">
      <c r="A2765" s="1">
        <v>42059</v>
      </c>
      <c r="B2765">
        <v>25.296700000000001</v>
      </c>
      <c r="C2765" s="2">
        <f t="shared" si="43"/>
        <v>2.9057819337486644E-3</v>
      </c>
    </row>
    <row r="2766" spans="1:3" x14ac:dyDescent="0.2">
      <c r="A2766" s="1">
        <v>42058</v>
      </c>
      <c r="B2766">
        <v>25.223299999999998</v>
      </c>
      <c r="C2766" s="2">
        <f t="shared" si="43"/>
        <v>-1.5733923284704212E-2</v>
      </c>
    </row>
    <row r="2767" spans="1:3" x14ac:dyDescent="0.2">
      <c r="A2767" s="1">
        <v>42055</v>
      </c>
      <c r="B2767">
        <v>25.6233</v>
      </c>
      <c r="C2767" s="2">
        <f t="shared" si="43"/>
        <v>1.6658099277087845E-2</v>
      </c>
    </row>
    <row r="2768" spans="1:3" x14ac:dyDescent="0.2">
      <c r="A2768" s="1">
        <v>42054</v>
      </c>
      <c r="B2768">
        <v>25.2</v>
      </c>
      <c r="C2768" s="2">
        <f t="shared" si="43"/>
        <v>4.5061692939993648E-3</v>
      </c>
    </row>
    <row r="2769" spans="1:3" x14ac:dyDescent="0.2">
      <c r="A2769" s="1">
        <v>42053</v>
      </c>
      <c r="B2769">
        <v>25.0867</v>
      </c>
      <c r="C2769" s="2">
        <f t="shared" si="43"/>
        <v>5.3429028384264241E-4</v>
      </c>
    </row>
    <row r="2770" spans="1:3" x14ac:dyDescent="0.2">
      <c r="A2770" s="1">
        <v>42052</v>
      </c>
      <c r="B2770">
        <v>25.0733</v>
      </c>
      <c r="C2770" s="2">
        <f t="shared" si="43"/>
        <v>3.9891018268514516E-4</v>
      </c>
    </row>
    <row r="2771" spans="1:3" x14ac:dyDescent="0.2">
      <c r="A2771" s="1">
        <v>42048</v>
      </c>
      <c r="B2771">
        <v>25.063300000000002</v>
      </c>
      <c r="C2771" s="2">
        <f t="shared" si="43"/>
        <v>1.083116937637211E-2</v>
      </c>
    </row>
    <row r="2772" spans="1:3" x14ac:dyDescent="0.2">
      <c r="A2772" s="1">
        <v>42047</v>
      </c>
      <c r="B2772">
        <v>24.793299999999999</v>
      </c>
      <c r="C2772" s="2">
        <f t="shared" si="43"/>
        <v>9.588725950144799E-3</v>
      </c>
    </row>
    <row r="2773" spans="1:3" x14ac:dyDescent="0.2">
      <c r="A2773" s="1">
        <v>42046</v>
      </c>
      <c r="B2773">
        <v>24.556699999999999</v>
      </c>
      <c r="C2773" s="2">
        <f t="shared" si="43"/>
        <v>-3.658287857058786E-3</v>
      </c>
    </row>
    <row r="2774" spans="1:3" x14ac:dyDescent="0.2">
      <c r="A2774" s="1">
        <v>42045</v>
      </c>
      <c r="B2774">
        <v>24.646699999999999</v>
      </c>
      <c r="C2774" s="2">
        <f t="shared" si="43"/>
        <v>2.7099131495036031E-3</v>
      </c>
    </row>
    <row r="2775" spans="1:3" x14ac:dyDescent="0.2">
      <c r="A2775" s="1">
        <v>42044</v>
      </c>
      <c r="B2775">
        <v>24.58</v>
      </c>
      <c r="C2775" s="2">
        <f t="shared" si="43"/>
        <v>1.0769747036224152E-2</v>
      </c>
    </row>
    <row r="2776" spans="1:3" x14ac:dyDescent="0.2">
      <c r="A2776" s="1">
        <v>42041</v>
      </c>
      <c r="B2776">
        <v>24.316700000000001</v>
      </c>
      <c r="C2776" s="2">
        <f t="shared" si="43"/>
        <v>7.9851786807262348E-3</v>
      </c>
    </row>
    <row r="2777" spans="1:3" x14ac:dyDescent="0.2">
      <c r="A2777" s="1">
        <v>42040</v>
      </c>
      <c r="B2777">
        <v>24.1233</v>
      </c>
      <c r="C2777" s="2">
        <f t="shared" si="43"/>
        <v>1.1113078106040342E-2</v>
      </c>
    </row>
    <row r="2778" spans="1:3" x14ac:dyDescent="0.2">
      <c r="A2778" s="1">
        <v>42039</v>
      </c>
      <c r="B2778">
        <v>23.8567</v>
      </c>
      <c r="C2778" s="2">
        <f t="shared" si="43"/>
        <v>-1.1143696167866498E-3</v>
      </c>
    </row>
    <row r="2779" spans="1:3" x14ac:dyDescent="0.2">
      <c r="A2779" s="1">
        <v>42038</v>
      </c>
      <c r="B2779">
        <v>23.883299999999998</v>
      </c>
      <c r="C2779" s="2">
        <f t="shared" si="43"/>
        <v>9.110473108766776E-3</v>
      </c>
    </row>
    <row r="2780" spans="1:3" x14ac:dyDescent="0.2">
      <c r="A2780" s="1">
        <v>42037</v>
      </c>
      <c r="B2780">
        <v>23.666699999999999</v>
      </c>
      <c r="C2780" s="2">
        <f t="shared" si="43"/>
        <v>-3.3745766352313066E-3</v>
      </c>
    </row>
    <row r="2781" spans="1:3" x14ac:dyDescent="0.2">
      <c r="A2781" s="1">
        <v>42034</v>
      </c>
      <c r="B2781">
        <v>23.746700000000001</v>
      </c>
      <c r="C2781" s="2">
        <f t="shared" si="43"/>
        <v>-1.033105124886215E-2</v>
      </c>
    </row>
    <row r="2782" spans="1:3" x14ac:dyDescent="0.2">
      <c r="A2782" s="1">
        <v>42033</v>
      </c>
      <c r="B2782">
        <v>23.993300000000001</v>
      </c>
      <c r="C2782" s="2">
        <f t="shared" si="43"/>
        <v>2.9217452739468005E-3</v>
      </c>
    </row>
    <row r="2783" spans="1:3" x14ac:dyDescent="0.2">
      <c r="A2783" s="1">
        <v>42032</v>
      </c>
      <c r="B2783">
        <v>23.923300000000001</v>
      </c>
      <c r="C2783" s="2">
        <f t="shared" si="43"/>
        <v>2.6494627632946549E-3</v>
      </c>
    </row>
    <row r="2784" spans="1:3" x14ac:dyDescent="0.2">
      <c r="A2784" s="1">
        <v>42031</v>
      </c>
      <c r="B2784">
        <v>23.86</v>
      </c>
      <c r="C2784" s="2">
        <f t="shared" si="43"/>
        <v>-7.5193779290439841E-2</v>
      </c>
    </row>
    <row r="2785" spans="1:3" x14ac:dyDescent="0.2">
      <c r="A2785" s="1">
        <v>42030</v>
      </c>
      <c r="B2785">
        <v>25.723299999999998</v>
      </c>
      <c r="C2785" s="2">
        <f t="shared" si="43"/>
        <v>-1.6857646252807783E-3</v>
      </c>
    </row>
    <row r="2786" spans="1:3" x14ac:dyDescent="0.2">
      <c r="A2786" s="1">
        <v>42027</v>
      </c>
      <c r="B2786">
        <v>25.7667</v>
      </c>
      <c r="C2786" s="2">
        <f t="shared" si="43"/>
        <v>-8.6288880679082497E-3</v>
      </c>
    </row>
    <row r="2787" spans="1:3" x14ac:dyDescent="0.2">
      <c r="A2787" s="1">
        <v>42026</v>
      </c>
      <c r="B2787">
        <v>25.99</v>
      </c>
      <c r="C2787" s="2">
        <f t="shared" si="43"/>
        <v>1.0703480886576014E-2</v>
      </c>
    </row>
    <row r="2788" spans="1:3" x14ac:dyDescent="0.2">
      <c r="A2788" s="1">
        <v>42025</v>
      </c>
      <c r="B2788">
        <v>25.7133</v>
      </c>
      <c r="C2788" s="2">
        <f t="shared" si="43"/>
        <v>2.1224458751106165E-2</v>
      </c>
    </row>
    <row r="2789" spans="1:3" x14ac:dyDescent="0.2">
      <c r="A2789" s="1">
        <v>42024</v>
      </c>
      <c r="B2789">
        <v>25.173300000000001</v>
      </c>
      <c r="C2789" s="2">
        <f t="shared" si="43"/>
        <v>-4.4946567938274036E-3</v>
      </c>
    </row>
    <row r="2790" spans="1:3" x14ac:dyDescent="0.2">
      <c r="A2790" s="1">
        <v>42020</v>
      </c>
      <c r="B2790">
        <v>25.2867</v>
      </c>
      <c r="C2790" s="2">
        <f t="shared" si="43"/>
        <v>-4.7343529588031305E-3</v>
      </c>
    </row>
    <row r="2791" spans="1:3" x14ac:dyDescent="0.2">
      <c r="A2791" s="1">
        <v>42019</v>
      </c>
      <c r="B2791">
        <v>25.406700000000001</v>
      </c>
      <c r="C2791" s="2">
        <f t="shared" si="43"/>
        <v>-7.708330659473038E-3</v>
      </c>
    </row>
    <row r="2792" spans="1:3" x14ac:dyDescent="0.2">
      <c r="A2792" s="1">
        <v>42018</v>
      </c>
      <c r="B2792">
        <v>25.603300000000001</v>
      </c>
      <c r="C2792" s="2">
        <f t="shared" si="43"/>
        <v>-1.280660774054636E-2</v>
      </c>
    </row>
    <row r="2793" spans="1:3" x14ac:dyDescent="0.2">
      <c r="A2793" s="1">
        <v>42017</v>
      </c>
      <c r="B2793">
        <v>25.933299999999999</v>
      </c>
      <c r="C2793" s="2">
        <f t="shared" si="43"/>
        <v>-1.1757106907521854E-2</v>
      </c>
    </row>
    <row r="2794" spans="1:3" x14ac:dyDescent="0.2">
      <c r="A2794" s="1">
        <v>42016</v>
      </c>
      <c r="B2794">
        <v>26.24</v>
      </c>
      <c r="C2794" s="2">
        <f t="shared" si="43"/>
        <v>-7.7178540119529505E-3</v>
      </c>
    </row>
    <row r="2795" spans="1:3" x14ac:dyDescent="0.2">
      <c r="A2795" s="1">
        <v>42013</v>
      </c>
      <c r="B2795">
        <v>26.443300000000001</v>
      </c>
      <c r="C2795" s="2">
        <f t="shared" si="43"/>
        <v>-1.265252217518536E-2</v>
      </c>
    </row>
    <row r="2796" spans="1:3" x14ac:dyDescent="0.2">
      <c r="A2796" s="1">
        <v>42012</v>
      </c>
      <c r="B2796">
        <v>26.78</v>
      </c>
      <c r="C2796" s="2">
        <f t="shared" si="43"/>
        <v>1.6312310310137971E-2</v>
      </c>
    </row>
    <row r="2797" spans="1:3" x14ac:dyDescent="0.2">
      <c r="A2797" s="1">
        <v>42011</v>
      </c>
      <c r="B2797">
        <v>26.346699999999998</v>
      </c>
      <c r="C2797" s="2">
        <f t="shared" si="43"/>
        <v>1.209331094641451E-2</v>
      </c>
    </row>
    <row r="2798" spans="1:3" x14ac:dyDescent="0.2">
      <c r="A2798" s="1">
        <v>42010</v>
      </c>
      <c r="B2798">
        <v>26.03</v>
      </c>
      <c r="C2798" s="2">
        <f t="shared" si="43"/>
        <v>-1.2723172473593487E-2</v>
      </c>
    </row>
    <row r="2799" spans="1:3" x14ac:dyDescent="0.2">
      <c r="A2799" s="1">
        <v>42009</v>
      </c>
      <c r="B2799">
        <v>26.363299999999999</v>
      </c>
      <c r="C2799" s="2">
        <f t="shared" si="43"/>
        <v>-1.5805667479498353E-2</v>
      </c>
    </row>
    <row r="2800" spans="1:3" x14ac:dyDescent="0.2">
      <c r="A2800" s="1">
        <v>42006</v>
      </c>
      <c r="B2800">
        <v>26.783300000000001</v>
      </c>
      <c r="C2800" s="2">
        <f t="shared" si="43"/>
        <v>2.1154932202785671E-3</v>
      </c>
    </row>
    <row r="2801" spans="1:3" x14ac:dyDescent="0.2">
      <c r="A2801" s="1">
        <v>42004</v>
      </c>
      <c r="B2801">
        <v>26.726700000000001</v>
      </c>
      <c r="C2801" s="2">
        <f t="shared" si="43"/>
        <v>-7.2064390372397176E-3</v>
      </c>
    </row>
    <row r="2802" spans="1:3" x14ac:dyDescent="0.2">
      <c r="A2802" s="1">
        <v>42003</v>
      </c>
      <c r="B2802">
        <v>26.92</v>
      </c>
      <c r="C2802" s="2">
        <f t="shared" si="43"/>
        <v>-7.1548776262602377E-3</v>
      </c>
    </row>
    <row r="2803" spans="1:3" x14ac:dyDescent="0.2">
      <c r="A2803" s="1">
        <v>42002</v>
      </c>
      <c r="B2803">
        <v>27.113299999999999</v>
      </c>
      <c r="C2803" s="2">
        <f t="shared" si="43"/>
        <v>-1.1058563587581045E-3</v>
      </c>
    </row>
    <row r="2804" spans="1:3" x14ac:dyDescent="0.2">
      <c r="A2804" s="1">
        <v>41999</v>
      </c>
      <c r="B2804">
        <v>27.1433</v>
      </c>
      <c r="C2804" s="2">
        <f t="shared" si="43"/>
        <v>8.1381560596634813E-3</v>
      </c>
    </row>
    <row r="2805" spans="1:3" x14ac:dyDescent="0.2">
      <c r="A2805" s="1">
        <v>41997</v>
      </c>
      <c r="B2805">
        <v>26.923300000000001</v>
      </c>
      <c r="C2805" s="2">
        <f t="shared" si="43"/>
        <v>-2.4882412162549101E-4</v>
      </c>
    </row>
    <row r="2806" spans="1:3" x14ac:dyDescent="0.2">
      <c r="A2806" s="1">
        <v>41996</v>
      </c>
      <c r="B2806">
        <v>26.93</v>
      </c>
      <c r="C2806" s="2">
        <f t="shared" si="43"/>
        <v>1.3958836922522729E-2</v>
      </c>
    </row>
    <row r="2807" spans="1:3" x14ac:dyDescent="0.2">
      <c r="A2807" s="1">
        <v>41995</v>
      </c>
      <c r="B2807">
        <v>26.556699999999999</v>
      </c>
      <c r="C2807" s="2">
        <f t="shared" si="43"/>
        <v>8.9529634438683826E-3</v>
      </c>
    </row>
    <row r="2808" spans="1:3" x14ac:dyDescent="0.2">
      <c r="A2808" s="1">
        <v>41992</v>
      </c>
      <c r="B2808">
        <v>26.32</v>
      </c>
      <c r="C2808" s="2">
        <f t="shared" si="43"/>
        <v>-1.2643978803834079E-3</v>
      </c>
    </row>
    <row r="2809" spans="1:3" x14ac:dyDescent="0.2">
      <c r="A2809" s="1">
        <v>41991</v>
      </c>
      <c r="B2809">
        <v>26.353300000000001</v>
      </c>
      <c r="C2809" s="2">
        <f t="shared" si="43"/>
        <v>3.0827037515308835E-2</v>
      </c>
    </row>
    <row r="2810" spans="1:3" x14ac:dyDescent="0.2">
      <c r="A2810" s="1">
        <v>41990</v>
      </c>
      <c r="B2810">
        <v>25.5533</v>
      </c>
      <c r="C2810" s="2">
        <f t="shared" si="43"/>
        <v>5.493807792643364E-3</v>
      </c>
    </row>
    <row r="2811" spans="1:3" x14ac:dyDescent="0.2">
      <c r="A2811" s="1">
        <v>41989</v>
      </c>
      <c r="B2811">
        <v>25.4133</v>
      </c>
      <c r="C2811" s="2">
        <f t="shared" si="43"/>
        <v>-1.0568316209091841E-2</v>
      </c>
    </row>
    <row r="2812" spans="1:3" x14ac:dyDescent="0.2">
      <c r="A2812" s="1">
        <v>41988</v>
      </c>
      <c r="B2812">
        <v>25.683299999999999</v>
      </c>
      <c r="C2812" s="2">
        <f t="shared" si="43"/>
        <v>-4.5335166889323448E-3</v>
      </c>
    </row>
    <row r="2813" spans="1:3" x14ac:dyDescent="0.2">
      <c r="A2813" s="1">
        <v>41985</v>
      </c>
      <c r="B2813">
        <v>25.8</v>
      </c>
      <c r="C2813" s="2">
        <f t="shared" si="43"/>
        <v>-1.9700022853317352E-2</v>
      </c>
    </row>
    <row r="2814" spans="1:3" x14ac:dyDescent="0.2">
      <c r="A2814" s="1">
        <v>41984</v>
      </c>
      <c r="B2814">
        <v>26.313300000000002</v>
      </c>
      <c r="C2814" s="2">
        <f t="shared" si="43"/>
        <v>5.7168493587374126E-3</v>
      </c>
    </row>
    <row r="2815" spans="1:3" x14ac:dyDescent="0.2">
      <c r="A2815" s="1">
        <v>41983</v>
      </c>
      <c r="B2815">
        <v>26.1633</v>
      </c>
      <c r="C2815" s="2">
        <f t="shared" si="43"/>
        <v>-2.590815553272215E-2</v>
      </c>
    </row>
    <row r="2816" spans="1:3" x14ac:dyDescent="0.2">
      <c r="A2816" s="1">
        <v>41982</v>
      </c>
      <c r="B2816">
        <v>26.85</v>
      </c>
      <c r="C2816" s="2">
        <f t="shared" si="43"/>
        <v>6.7264827609508126E-3</v>
      </c>
    </row>
    <row r="2817" spans="1:3" x14ac:dyDescent="0.2">
      <c r="A2817" s="1">
        <v>41981</v>
      </c>
      <c r="B2817">
        <v>26.67</v>
      </c>
      <c r="C2817" s="2">
        <f t="shared" si="43"/>
        <v>-1.1063433295592518E-2</v>
      </c>
    </row>
    <row r="2818" spans="1:3" x14ac:dyDescent="0.2">
      <c r="A2818" s="1">
        <v>41978</v>
      </c>
      <c r="B2818">
        <v>26.966699999999999</v>
      </c>
      <c r="C2818" s="2">
        <f t="shared" si="43"/>
        <v>-2.8365136589179399E-3</v>
      </c>
    </row>
    <row r="2819" spans="1:3" x14ac:dyDescent="0.2">
      <c r="A2819" s="1">
        <v>41977</v>
      </c>
      <c r="B2819">
        <v>27.043299999999999</v>
      </c>
      <c r="C2819" s="2">
        <f t="shared" ref="C2819:C2882" si="44">+LN(B2819/B2820)</f>
        <v>8.6195261638060989E-4</v>
      </c>
    </row>
    <row r="2820" spans="1:3" x14ac:dyDescent="0.2">
      <c r="A2820" s="1">
        <v>41976</v>
      </c>
      <c r="B2820">
        <v>27.02</v>
      </c>
      <c r="C2820" s="2">
        <f t="shared" si="44"/>
        <v>1.5414268761516976E-2</v>
      </c>
    </row>
    <row r="2821" spans="1:3" x14ac:dyDescent="0.2">
      <c r="A2821" s="1">
        <v>41975</v>
      </c>
      <c r="B2821">
        <v>26.6067</v>
      </c>
      <c r="C2821" s="2">
        <f t="shared" si="44"/>
        <v>-2.252532234454914E-3</v>
      </c>
    </row>
    <row r="2822" spans="1:3" x14ac:dyDescent="0.2">
      <c r="A2822" s="1">
        <v>41974</v>
      </c>
      <c r="B2822">
        <v>26.666699999999999</v>
      </c>
      <c r="C2822" s="2">
        <f t="shared" si="44"/>
        <v>-1.2479694012131565E-3</v>
      </c>
    </row>
    <row r="2823" spans="1:3" x14ac:dyDescent="0.2">
      <c r="A2823" s="1">
        <v>41971</v>
      </c>
      <c r="B2823">
        <v>26.7</v>
      </c>
      <c r="C2823" s="2">
        <f t="shared" si="44"/>
        <v>-3.2419302718450079E-3</v>
      </c>
    </row>
    <row r="2824" spans="1:3" x14ac:dyDescent="0.2">
      <c r="A2824" s="1">
        <v>41969</v>
      </c>
      <c r="B2824">
        <v>26.7867</v>
      </c>
      <c r="C2824" s="2">
        <f t="shared" si="44"/>
        <v>-6.0778016769573876E-3</v>
      </c>
    </row>
    <row r="2825" spans="1:3" x14ac:dyDescent="0.2">
      <c r="A2825" s="1">
        <v>41968</v>
      </c>
      <c r="B2825">
        <v>26.95</v>
      </c>
      <c r="C2825" s="2">
        <f t="shared" si="44"/>
        <v>1.0695209319436381E-2</v>
      </c>
    </row>
    <row r="2826" spans="1:3" x14ac:dyDescent="0.2">
      <c r="A2826" s="1">
        <v>41967</v>
      </c>
      <c r="B2826">
        <v>26.6633</v>
      </c>
      <c r="C2826" s="2">
        <f t="shared" si="44"/>
        <v>6.2678910995728893E-3</v>
      </c>
    </row>
    <row r="2827" spans="1:3" x14ac:dyDescent="0.2">
      <c r="A2827" s="1">
        <v>41964</v>
      </c>
      <c r="B2827">
        <v>26.496700000000001</v>
      </c>
      <c r="C2827" s="2">
        <f t="shared" si="44"/>
        <v>1.3427253402657274E-2</v>
      </c>
    </row>
    <row r="2828" spans="1:3" x14ac:dyDescent="0.2">
      <c r="A2828" s="1">
        <v>41963</v>
      </c>
      <c r="B2828">
        <v>26.1433</v>
      </c>
      <c r="C2828" s="2">
        <f t="shared" si="44"/>
        <v>2.1673376280238223E-3</v>
      </c>
    </row>
    <row r="2829" spans="1:3" x14ac:dyDescent="0.2">
      <c r="A2829" s="1">
        <v>41962</v>
      </c>
      <c r="B2829">
        <v>26.0867</v>
      </c>
      <c r="C2829" s="2">
        <f t="shared" si="44"/>
        <v>-1.029690621077309E-2</v>
      </c>
    </row>
    <row r="2830" spans="1:3" x14ac:dyDescent="0.2">
      <c r="A2830" s="1">
        <v>41961</v>
      </c>
      <c r="B2830">
        <v>26.3567</v>
      </c>
      <c r="C2830" s="2">
        <f t="shared" si="44"/>
        <v>7.5910838778317047E-4</v>
      </c>
    </row>
    <row r="2831" spans="1:3" x14ac:dyDescent="0.2">
      <c r="A2831" s="1">
        <v>41960</v>
      </c>
      <c r="B2831">
        <v>26.3367</v>
      </c>
      <c r="C2831" s="2">
        <f t="shared" si="44"/>
        <v>6.2235965498421862E-3</v>
      </c>
    </row>
    <row r="2832" spans="1:3" x14ac:dyDescent="0.2">
      <c r="A2832" s="1">
        <v>41957</v>
      </c>
      <c r="B2832">
        <v>26.173300000000001</v>
      </c>
      <c r="C2832" s="2">
        <f t="shared" si="44"/>
        <v>-3.6877965189850469E-3</v>
      </c>
    </row>
    <row r="2833" spans="1:3" x14ac:dyDescent="0.2">
      <c r="A2833" s="1">
        <v>41956</v>
      </c>
      <c r="B2833">
        <v>26.27</v>
      </c>
      <c r="C2833" s="2">
        <f t="shared" si="44"/>
        <v>-8.3396995865298394E-3</v>
      </c>
    </row>
    <row r="2834" spans="1:3" x14ac:dyDescent="0.2">
      <c r="A2834" s="1">
        <v>41955</v>
      </c>
      <c r="B2834">
        <v>26.49</v>
      </c>
      <c r="C2834" s="2">
        <f t="shared" si="44"/>
        <v>-4.3957604865574517E-3</v>
      </c>
    </row>
    <row r="2835" spans="1:3" x14ac:dyDescent="0.2">
      <c r="A2835" s="1">
        <v>41954</v>
      </c>
      <c r="B2835">
        <v>26.6067</v>
      </c>
      <c r="C2835" s="2">
        <f t="shared" si="44"/>
        <v>3.1394718050501221E-3</v>
      </c>
    </row>
    <row r="2836" spans="1:3" x14ac:dyDescent="0.2">
      <c r="A2836" s="1">
        <v>41953</v>
      </c>
      <c r="B2836">
        <v>26.523299999999999</v>
      </c>
      <c r="C2836" s="2">
        <f t="shared" si="44"/>
        <v>7.060188237179861E-3</v>
      </c>
    </row>
    <row r="2837" spans="1:3" x14ac:dyDescent="0.2">
      <c r="A2837" s="1">
        <v>41950</v>
      </c>
      <c r="B2837">
        <v>26.3367</v>
      </c>
      <c r="C2837" s="2">
        <f t="shared" si="44"/>
        <v>-1.252925868293204E-4</v>
      </c>
    </row>
    <row r="2838" spans="1:3" x14ac:dyDescent="0.2">
      <c r="A2838" s="1">
        <v>41949</v>
      </c>
      <c r="B2838">
        <v>26.34</v>
      </c>
      <c r="C2838" s="2">
        <f t="shared" si="44"/>
        <v>7.8783331379000659E-3</v>
      </c>
    </row>
    <row r="2839" spans="1:3" x14ac:dyDescent="0.2">
      <c r="A2839" s="1">
        <v>41948</v>
      </c>
      <c r="B2839">
        <v>26.133299999999998</v>
      </c>
      <c r="C2839" s="2">
        <f t="shared" si="44"/>
        <v>3.0659235384525902E-3</v>
      </c>
    </row>
    <row r="2840" spans="1:3" x14ac:dyDescent="0.2">
      <c r="A2840" s="1">
        <v>41947</v>
      </c>
      <c r="B2840">
        <v>26.0533</v>
      </c>
      <c r="C2840" s="2">
        <f t="shared" si="44"/>
        <v>-5.6149711282687453E-3</v>
      </c>
    </row>
    <row r="2841" spans="1:3" x14ac:dyDescent="0.2">
      <c r="A2841" s="1">
        <v>41946</v>
      </c>
      <c r="B2841">
        <v>26.2</v>
      </c>
      <c r="C2841" s="2">
        <f t="shared" si="44"/>
        <v>1.2718007622592388E-3</v>
      </c>
    </row>
    <row r="2842" spans="1:3" x14ac:dyDescent="0.2">
      <c r="A2842" s="1">
        <v>41943</v>
      </c>
      <c r="B2842">
        <v>26.166699999999999</v>
      </c>
      <c r="C2842" s="2">
        <f t="shared" si="44"/>
        <v>1.9293178118762414E-2</v>
      </c>
    </row>
    <row r="2843" spans="1:3" x14ac:dyDescent="0.2">
      <c r="A2843" s="1">
        <v>41942</v>
      </c>
      <c r="B2843">
        <v>25.666699999999999</v>
      </c>
      <c r="C2843" s="2">
        <f t="shared" si="44"/>
        <v>-1.2856299701960843E-4</v>
      </c>
    </row>
    <row r="2844" spans="1:3" x14ac:dyDescent="0.2">
      <c r="A2844" s="1">
        <v>41941</v>
      </c>
      <c r="B2844">
        <v>25.67</v>
      </c>
      <c r="C2844" s="2">
        <f t="shared" si="44"/>
        <v>-1.763478505518503E-2</v>
      </c>
    </row>
    <row r="2845" spans="1:3" x14ac:dyDescent="0.2">
      <c r="A2845" s="1">
        <v>41940</v>
      </c>
      <c r="B2845">
        <v>26.1267</v>
      </c>
      <c r="C2845" s="2">
        <f t="shared" si="44"/>
        <v>3.4793229167776399E-2</v>
      </c>
    </row>
    <row r="2846" spans="1:3" x14ac:dyDescent="0.2">
      <c r="A2846" s="1">
        <v>41939</v>
      </c>
      <c r="B2846">
        <v>25.2333</v>
      </c>
      <c r="C2846" s="2">
        <f t="shared" si="44"/>
        <v>-3.1653985351461759E-3</v>
      </c>
    </row>
    <row r="2847" spans="1:3" x14ac:dyDescent="0.2">
      <c r="A2847" s="1">
        <v>41936</v>
      </c>
      <c r="B2847">
        <v>25.313300000000002</v>
      </c>
      <c r="C2847" s="2">
        <f t="shared" si="44"/>
        <v>-4.3361270700674618E-3</v>
      </c>
    </row>
    <row r="2848" spans="1:3" x14ac:dyDescent="0.2">
      <c r="A2848" s="1">
        <v>41935</v>
      </c>
      <c r="B2848">
        <v>25.423300000000001</v>
      </c>
      <c r="C2848" s="2">
        <f t="shared" si="44"/>
        <v>3.7809618731546125E-2</v>
      </c>
    </row>
    <row r="2849" spans="1:3" x14ac:dyDescent="0.2">
      <c r="A2849" s="1">
        <v>41934</v>
      </c>
      <c r="B2849">
        <v>24.48</v>
      </c>
      <c r="C2849" s="2">
        <f t="shared" si="44"/>
        <v>-2.3815454526076713E-2</v>
      </c>
    </row>
    <row r="2850" spans="1:3" x14ac:dyDescent="0.2">
      <c r="A2850" s="1">
        <v>41933</v>
      </c>
      <c r="B2850">
        <v>25.07</v>
      </c>
      <c r="C2850" s="2">
        <f t="shared" si="44"/>
        <v>2.5585811533360939E-2</v>
      </c>
    </row>
    <row r="2851" spans="1:3" x14ac:dyDescent="0.2">
      <c r="A2851" s="1">
        <v>41932</v>
      </c>
      <c r="B2851">
        <v>24.436699999999998</v>
      </c>
      <c r="C2851" s="2">
        <f t="shared" si="44"/>
        <v>1.0560255450194558E-2</v>
      </c>
    </row>
    <row r="2852" spans="1:3" x14ac:dyDescent="0.2">
      <c r="A2852" s="1">
        <v>41929</v>
      </c>
      <c r="B2852">
        <v>24.18</v>
      </c>
      <c r="C2852" s="2">
        <f t="shared" si="44"/>
        <v>-1.3646711473869774E-4</v>
      </c>
    </row>
    <row r="2853" spans="1:3" x14ac:dyDescent="0.2">
      <c r="A2853" s="1">
        <v>41928</v>
      </c>
      <c r="B2853">
        <v>24.183299999999999</v>
      </c>
      <c r="C2853" s="2">
        <f t="shared" si="44"/>
        <v>2.3005577869643398E-2</v>
      </c>
    </row>
    <row r="2854" spans="1:3" x14ac:dyDescent="0.2">
      <c r="A2854" s="1">
        <v>41927</v>
      </c>
      <c r="B2854">
        <v>23.633299999999998</v>
      </c>
      <c r="C2854" s="2">
        <f t="shared" si="44"/>
        <v>1.277520962294142E-2</v>
      </c>
    </row>
    <row r="2855" spans="1:3" x14ac:dyDescent="0.2">
      <c r="A2855" s="1">
        <v>41926</v>
      </c>
      <c r="B2855">
        <v>23.333300000000001</v>
      </c>
      <c r="C2855" s="2">
        <f t="shared" si="44"/>
        <v>3.1343296050952679E-2</v>
      </c>
    </row>
    <row r="2856" spans="1:3" x14ac:dyDescent="0.2">
      <c r="A2856" s="1">
        <v>41925</v>
      </c>
      <c r="B2856">
        <v>22.613299999999999</v>
      </c>
      <c r="C2856" s="2">
        <f t="shared" si="44"/>
        <v>-3.0907421627229697E-3</v>
      </c>
    </row>
    <row r="2857" spans="1:3" x14ac:dyDescent="0.2">
      <c r="A2857" s="1">
        <v>41922</v>
      </c>
      <c r="B2857">
        <v>22.683299999999999</v>
      </c>
      <c r="C2857" s="2">
        <f t="shared" si="44"/>
        <v>-6.0083735133588927E-3</v>
      </c>
    </row>
    <row r="2858" spans="1:3" x14ac:dyDescent="0.2">
      <c r="A2858" s="1">
        <v>41921</v>
      </c>
      <c r="B2858">
        <v>22.82</v>
      </c>
      <c r="C2858" s="2">
        <f t="shared" si="44"/>
        <v>-3.5302848103967881E-2</v>
      </c>
    </row>
    <row r="2859" spans="1:3" x14ac:dyDescent="0.2">
      <c r="A2859" s="1">
        <v>41920</v>
      </c>
      <c r="B2859">
        <v>23.64</v>
      </c>
      <c r="C2859" s="2">
        <f t="shared" si="44"/>
        <v>1.2056311680298689E-2</v>
      </c>
    </row>
    <row r="2860" spans="1:3" x14ac:dyDescent="0.2">
      <c r="A2860" s="1">
        <v>41919</v>
      </c>
      <c r="B2860">
        <v>23.3567</v>
      </c>
      <c r="C2860" s="2">
        <f t="shared" si="44"/>
        <v>-2.5781486020909464E-2</v>
      </c>
    </row>
    <row r="2861" spans="1:3" x14ac:dyDescent="0.2">
      <c r="A2861" s="1">
        <v>41918</v>
      </c>
      <c r="B2861">
        <v>23.966699999999999</v>
      </c>
      <c r="C2861" s="2">
        <f t="shared" si="44"/>
        <v>1.8124874454435982E-3</v>
      </c>
    </row>
    <row r="2862" spans="1:3" x14ac:dyDescent="0.2">
      <c r="A2862" s="1">
        <v>41915</v>
      </c>
      <c r="B2862">
        <v>23.923300000000001</v>
      </c>
      <c r="C2862" s="2">
        <f t="shared" si="44"/>
        <v>4.8858257678319663E-3</v>
      </c>
    </row>
    <row r="2863" spans="1:3" x14ac:dyDescent="0.2">
      <c r="A2863" s="1">
        <v>41914</v>
      </c>
      <c r="B2863">
        <v>23.806699999999999</v>
      </c>
      <c r="C2863" s="2">
        <f t="shared" si="44"/>
        <v>1.6816123895313402E-3</v>
      </c>
    </row>
    <row r="2864" spans="1:3" x14ac:dyDescent="0.2">
      <c r="A2864" s="1">
        <v>41913</v>
      </c>
      <c r="B2864">
        <v>23.7667</v>
      </c>
      <c r="C2864" s="2">
        <f t="shared" si="44"/>
        <v>-2.3289071301973305E-2</v>
      </c>
    </row>
    <row r="2865" spans="1:3" x14ac:dyDescent="0.2">
      <c r="A2865" s="1">
        <v>41912</v>
      </c>
      <c r="B2865">
        <v>24.326699999999999</v>
      </c>
      <c r="C2865" s="2">
        <f t="shared" si="44"/>
        <v>-3.8279561048841881E-3</v>
      </c>
    </row>
    <row r="2866" spans="1:3" x14ac:dyDescent="0.2">
      <c r="A2866" s="1">
        <v>41911</v>
      </c>
      <c r="B2866">
        <v>24.42</v>
      </c>
      <c r="C2866" s="2">
        <f t="shared" si="44"/>
        <v>5.4735932759962819E-3</v>
      </c>
    </row>
    <row r="2867" spans="1:3" x14ac:dyDescent="0.2">
      <c r="A2867" s="1">
        <v>41908</v>
      </c>
      <c r="B2867">
        <v>24.2867</v>
      </c>
      <c r="C2867" s="2">
        <f t="shared" si="44"/>
        <v>6.8785566805232832E-4</v>
      </c>
    </row>
    <row r="2868" spans="1:3" x14ac:dyDescent="0.2">
      <c r="A2868" s="1">
        <v>41907</v>
      </c>
      <c r="B2868">
        <v>24.27</v>
      </c>
      <c r="C2868" s="2">
        <f t="shared" si="44"/>
        <v>-1.7833442173147925E-2</v>
      </c>
    </row>
    <row r="2869" spans="1:3" x14ac:dyDescent="0.2">
      <c r="A2869" s="1">
        <v>41906</v>
      </c>
      <c r="B2869">
        <v>24.706700000000001</v>
      </c>
      <c r="C2869" s="2">
        <f t="shared" si="44"/>
        <v>1.8919641754595673E-3</v>
      </c>
    </row>
    <row r="2870" spans="1:3" x14ac:dyDescent="0.2">
      <c r="A2870" s="1">
        <v>41905</v>
      </c>
      <c r="B2870">
        <v>24.66</v>
      </c>
      <c r="C2870" s="2">
        <f t="shared" si="44"/>
        <v>-2.4301348532917819E-3</v>
      </c>
    </row>
    <row r="2871" spans="1:3" x14ac:dyDescent="0.2">
      <c r="A2871" s="1">
        <v>41904</v>
      </c>
      <c r="B2871">
        <v>24.72</v>
      </c>
      <c r="C2871" s="2">
        <f t="shared" si="44"/>
        <v>-1.0194621560323063E-2</v>
      </c>
    </row>
    <row r="2872" spans="1:3" x14ac:dyDescent="0.2">
      <c r="A2872" s="1">
        <v>41901</v>
      </c>
      <c r="B2872">
        <v>24.973299999999998</v>
      </c>
      <c r="C2872" s="2">
        <f t="shared" si="44"/>
        <v>-4.6621062285179459E-3</v>
      </c>
    </row>
    <row r="2873" spans="1:3" x14ac:dyDescent="0.2">
      <c r="A2873" s="1">
        <v>41900</v>
      </c>
      <c r="B2873">
        <v>25.09</v>
      </c>
      <c r="C2873" s="2">
        <f t="shared" si="44"/>
        <v>1.7272780524215665E-3</v>
      </c>
    </row>
    <row r="2874" spans="1:3" x14ac:dyDescent="0.2">
      <c r="A2874" s="1">
        <v>41899</v>
      </c>
      <c r="B2874">
        <v>25.046700000000001</v>
      </c>
      <c r="C2874" s="2">
        <f t="shared" si="44"/>
        <v>-3.1889434559237801E-3</v>
      </c>
    </row>
    <row r="2875" spans="1:3" x14ac:dyDescent="0.2">
      <c r="A2875" s="1">
        <v>41898</v>
      </c>
      <c r="B2875">
        <v>25.1267</v>
      </c>
      <c r="C2875" s="2">
        <f t="shared" si="44"/>
        <v>-7.0037962283735558E-3</v>
      </c>
    </row>
    <row r="2876" spans="1:3" x14ac:dyDescent="0.2">
      <c r="A2876" s="1">
        <v>41897</v>
      </c>
      <c r="B2876">
        <v>25.3033</v>
      </c>
      <c r="C2876" s="2">
        <f t="shared" si="44"/>
        <v>-6.5664669811590082E-3</v>
      </c>
    </row>
    <row r="2877" spans="1:3" x14ac:dyDescent="0.2">
      <c r="A2877" s="1">
        <v>41894</v>
      </c>
      <c r="B2877">
        <v>25.47</v>
      </c>
      <c r="C2877" s="2">
        <f t="shared" si="44"/>
        <v>-8.0826769000647003E-3</v>
      </c>
    </row>
    <row r="2878" spans="1:3" x14ac:dyDescent="0.2">
      <c r="A2878" s="1">
        <v>41893</v>
      </c>
      <c r="B2878">
        <v>25.6767</v>
      </c>
      <c r="C2878" s="2">
        <f t="shared" si="44"/>
        <v>6.3840810692391576E-3</v>
      </c>
    </row>
    <row r="2879" spans="1:3" x14ac:dyDescent="0.2">
      <c r="A2879" s="1">
        <v>41892</v>
      </c>
      <c r="B2879">
        <v>25.513300000000001</v>
      </c>
      <c r="C2879" s="2">
        <f t="shared" si="44"/>
        <v>3.9272257926435995E-3</v>
      </c>
    </row>
    <row r="2880" spans="1:3" x14ac:dyDescent="0.2">
      <c r="A2880" s="1">
        <v>41891</v>
      </c>
      <c r="B2880">
        <v>25.4133</v>
      </c>
      <c r="C2880" s="2">
        <f t="shared" si="44"/>
        <v>-1.1867927286952476E-2</v>
      </c>
    </row>
    <row r="2881" spans="1:3" x14ac:dyDescent="0.2">
      <c r="A2881" s="1">
        <v>41890</v>
      </c>
      <c r="B2881">
        <v>25.716699999999999</v>
      </c>
      <c r="C2881" s="2">
        <f t="shared" si="44"/>
        <v>-6.4528670849415409E-4</v>
      </c>
    </row>
    <row r="2882" spans="1:3" x14ac:dyDescent="0.2">
      <c r="A2882" s="1">
        <v>41887</v>
      </c>
      <c r="B2882">
        <v>25.7333</v>
      </c>
      <c r="C2882" s="2">
        <f t="shared" si="44"/>
        <v>1.2948811238201355E-3</v>
      </c>
    </row>
    <row r="2883" spans="1:3" x14ac:dyDescent="0.2">
      <c r="A2883" s="1">
        <v>41886</v>
      </c>
      <c r="B2883">
        <v>25.7</v>
      </c>
      <c r="C2883" s="2">
        <f t="shared" ref="C2883:C2946" si="45">+LN(B2883/B2884)</f>
        <v>-6.5930042967637381E-3</v>
      </c>
    </row>
    <row r="2884" spans="1:3" x14ac:dyDescent="0.2">
      <c r="A2884" s="1">
        <v>41885</v>
      </c>
      <c r="B2884">
        <v>25.87</v>
      </c>
      <c r="C2884" s="2">
        <f t="shared" si="45"/>
        <v>-1.0315512623990609E-3</v>
      </c>
    </row>
    <row r="2885" spans="1:3" x14ac:dyDescent="0.2">
      <c r="A2885" s="1">
        <v>41884</v>
      </c>
      <c r="B2885">
        <v>25.896699999999999</v>
      </c>
      <c r="C2885" s="2">
        <f t="shared" si="45"/>
        <v>1.0742250991748583E-2</v>
      </c>
    </row>
    <row r="2886" spans="1:3" x14ac:dyDescent="0.2">
      <c r="A2886" s="1">
        <v>41880</v>
      </c>
      <c r="B2886">
        <v>25.62</v>
      </c>
      <c r="C2886" s="2">
        <f t="shared" si="45"/>
        <v>2.6154864270693315E-4</v>
      </c>
    </row>
    <row r="2887" spans="1:3" x14ac:dyDescent="0.2">
      <c r="A2887" s="1">
        <v>41879</v>
      </c>
      <c r="B2887">
        <v>25.613299999999999</v>
      </c>
      <c r="C2887" s="2">
        <f t="shared" si="45"/>
        <v>-8.8119310885197005E-3</v>
      </c>
    </row>
    <row r="2888" spans="1:3" x14ac:dyDescent="0.2">
      <c r="A2888" s="1">
        <v>41878</v>
      </c>
      <c r="B2888">
        <v>25.84</v>
      </c>
      <c r="C2888" s="2">
        <f t="shared" si="45"/>
        <v>9.0210956488230717E-4</v>
      </c>
    </row>
    <row r="2889" spans="1:3" x14ac:dyDescent="0.2">
      <c r="A2889" s="1">
        <v>41877</v>
      </c>
      <c r="B2889">
        <v>25.816700000000001</v>
      </c>
      <c r="C2889" s="2">
        <f t="shared" si="45"/>
        <v>-1.5481856425005683E-3</v>
      </c>
    </row>
    <row r="2890" spans="1:3" x14ac:dyDescent="0.2">
      <c r="A2890" s="1">
        <v>41876</v>
      </c>
      <c r="B2890">
        <v>25.8567</v>
      </c>
      <c r="C2890" s="2">
        <f t="shared" si="45"/>
        <v>7.1182136382702014E-3</v>
      </c>
    </row>
    <row r="2891" spans="1:3" x14ac:dyDescent="0.2">
      <c r="A2891" s="1">
        <v>41873</v>
      </c>
      <c r="B2891">
        <v>25.673300000000001</v>
      </c>
      <c r="C2891" s="2">
        <f t="shared" si="45"/>
        <v>-4.795035416283646E-3</v>
      </c>
    </row>
    <row r="2892" spans="1:3" x14ac:dyDescent="0.2">
      <c r="A2892" s="1">
        <v>41872</v>
      </c>
      <c r="B2892">
        <v>25.796700000000001</v>
      </c>
      <c r="C2892" s="2">
        <f t="shared" si="45"/>
        <v>1.5517893301638737E-3</v>
      </c>
    </row>
    <row r="2893" spans="1:3" x14ac:dyDescent="0.2">
      <c r="A2893" s="1">
        <v>41871</v>
      </c>
      <c r="B2893">
        <v>25.756699999999999</v>
      </c>
      <c r="C2893" s="2">
        <f t="shared" si="45"/>
        <v>5.1926936454033011E-3</v>
      </c>
    </row>
    <row r="2894" spans="1:3" x14ac:dyDescent="0.2">
      <c r="A2894" s="1">
        <v>41870</v>
      </c>
      <c r="B2894">
        <v>25.6233</v>
      </c>
      <c r="C2894" s="2">
        <f t="shared" si="45"/>
        <v>4.8236416300849278E-3</v>
      </c>
    </row>
    <row r="2895" spans="1:3" x14ac:dyDescent="0.2">
      <c r="A2895" s="1">
        <v>41869</v>
      </c>
      <c r="B2895">
        <v>25.5</v>
      </c>
      <c r="C2895" s="2">
        <f t="shared" si="45"/>
        <v>1.6607736399660546E-2</v>
      </c>
    </row>
    <row r="2896" spans="1:3" x14ac:dyDescent="0.2">
      <c r="A2896" s="1">
        <v>41866</v>
      </c>
      <c r="B2896">
        <v>25.08</v>
      </c>
      <c r="C2896" s="2">
        <f t="shared" si="45"/>
        <v>-6.6247383462586735E-3</v>
      </c>
    </row>
    <row r="2897" spans="1:3" x14ac:dyDescent="0.2">
      <c r="A2897" s="1">
        <v>41865</v>
      </c>
      <c r="B2897">
        <v>25.246700000000001</v>
      </c>
      <c r="C2897" s="2">
        <f t="shared" si="45"/>
        <v>7.2908293541280424E-3</v>
      </c>
    </row>
    <row r="2898" spans="1:3" x14ac:dyDescent="0.2">
      <c r="A2898" s="1">
        <v>41864</v>
      </c>
      <c r="B2898">
        <v>25.063300000000002</v>
      </c>
      <c r="C2898" s="2">
        <f t="shared" si="45"/>
        <v>8.5468722142127383E-3</v>
      </c>
    </row>
    <row r="2899" spans="1:3" x14ac:dyDescent="0.2">
      <c r="A2899" s="1">
        <v>41863</v>
      </c>
      <c r="B2899">
        <v>24.85</v>
      </c>
      <c r="C2899" s="2">
        <f t="shared" si="45"/>
        <v>-4.1483254377663471E-3</v>
      </c>
    </row>
    <row r="2900" spans="1:3" x14ac:dyDescent="0.2">
      <c r="A2900" s="1">
        <v>41862</v>
      </c>
      <c r="B2900">
        <v>24.953299999999999</v>
      </c>
      <c r="C2900" s="2">
        <f t="shared" si="45"/>
        <v>4.6836799820469729E-3</v>
      </c>
    </row>
    <row r="2901" spans="1:3" x14ac:dyDescent="0.2">
      <c r="A2901" s="1">
        <v>41859</v>
      </c>
      <c r="B2901">
        <v>24.8367</v>
      </c>
      <c r="C2901" s="2">
        <f t="shared" si="45"/>
        <v>1.2833286930346532E-2</v>
      </c>
    </row>
    <row r="2902" spans="1:3" x14ac:dyDescent="0.2">
      <c r="A2902" s="1">
        <v>41858</v>
      </c>
      <c r="B2902">
        <v>24.52</v>
      </c>
      <c r="C2902" s="2">
        <f t="shared" si="45"/>
        <v>-5.4216546996831696E-3</v>
      </c>
    </row>
    <row r="2903" spans="1:3" x14ac:dyDescent="0.2">
      <c r="A2903" s="1">
        <v>41857</v>
      </c>
      <c r="B2903">
        <v>24.653300000000002</v>
      </c>
      <c r="C2903" s="2">
        <f t="shared" si="45"/>
        <v>2.9776616298051021E-3</v>
      </c>
    </row>
    <row r="2904" spans="1:3" x14ac:dyDescent="0.2">
      <c r="A2904" s="1">
        <v>41856</v>
      </c>
      <c r="B2904">
        <v>24.58</v>
      </c>
      <c r="C2904" s="2">
        <f t="shared" si="45"/>
        <v>-5.2749158626300835E-3</v>
      </c>
    </row>
    <row r="2905" spans="1:3" x14ac:dyDescent="0.2">
      <c r="A2905" s="1">
        <v>41855</v>
      </c>
      <c r="B2905">
        <v>24.71</v>
      </c>
      <c r="C2905" s="2">
        <f t="shared" si="45"/>
        <v>7.4456999279602608E-3</v>
      </c>
    </row>
    <row r="2906" spans="1:3" x14ac:dyDescent="0.2">
      <c r="A2906" s="1">
        <v>41852</v>
      </c>
      <c r="B2906">
        <v>24.526700000000002</v>
      </c>
      <c r="C2906" s="2">
        <f t="shared" si="45"/>
        <v>-7.7168084600303909E-3</v>
      </c>
    </row>
    <row r="2907" spans="1:3" x14ac:dyDescent="0.2">
      <c r="A2907" s="1">
        <v>41851</v>
      </c>
      <c r="B2907">
        <v>24.716699999999999</v>
      </c>
      <c r="C2907" s="2">
        <f t="shared" si="45"/>
        <v>-3.1462034218382444E-2</v>
      </c>
    </row>
    <row r="2908" spans="1:3" x14ac:dyDescent="0.2">
      <c r="A2908" s="1">
        <v>41850</v>
      </c>
      <c r="B2908">
        <v>25.506699999999999</v>
      </c>
      <c r="C2908" s="2">
        <f t="shared" si="45"/>
        <v>-9.4934643587738128E-3</v>
      </c>
    </row>
    <row r="2909" spans="1:3" x14ac:dyDescent="0.2">
      <c r="A2909" s="1">
        <v>41849</v>
      </c>
      <c r="B2909">
        <v>25.75</v>
      </c>
      <c r="C2909" s="2">
        <f t="shared" si="45"/>
        <v>6.4875408475080314E-4</v>
      </c>
    </row>
    <row r="2910" spans="1:3" x14ac:dyDescent="0.2">
      <c r="A2910" s="1">
        <v>41848</v>
      </c>
      <c r="B2910">
        <v>25.7333</v>
      </c>
      <c r="C2910" s="2">
        <f t="shared" si="45"/>
        <v>4.2837792305288856E-3</v>
      </c>
    </row>
    <row r="2911" spans="1:3" x14ac:dyDescent="0.2">
      <c r="A2911" s="1">
        <v>41845</v>
      </c>
      <c r="B2911">
        <v>25.6233</v>
      </c>
      <c r="C2911" s="2">
        <f t="shared" si="45"/>
        <v>4.4315616407453072E-3</v>
      </c>
    </row>
    <row r="2912" spans="1:3" x14ac:dyDescent="0.2">
      <c r="A2912" s="1">
        <v>41844</v>
      </c>
      <c r="B2912">
        <v>25.51</v>
      </c>
      <c r="C2912" s="2">
        <f t="shared" si="45"/>
        <v>1.9127277191782151E-2</v>
      </c>
    </row>
    <row r="2913" spans="1:3" x14ac:dyDescent="0.2">
      <c r="A2913" s="1">
        <v>41843</v>
      </c>
      <c r="B2913">
        <v>25.026700000000002</v>
      </c>
      <c r="C2913" s="2">
        <f t="shared" si="45"/>
        <v>-3.5897085815894199E-3</v>
      </c>
    </row>
    <row r="2914" spans="1:3" x14ac:dyDescent="0.2">
      <c r="A2914" s="1">
        <v>41842</v>
      </c>
      <c r="B2914">
        <v>25.116700000000002</v>
      </c>
      <c r="C2914" s="2">
        <f t="shared" si="45"/>
        <v>5.5895732573680232E-3</v>
      </c>
    </row>
    <row r="2915" spans="1:3" x14ac:dyDescent="0.2">
      <c r="A2915" s="1">
        <v>41841</v>
      </c>
      <c r="B2915">
        <v>24.976700000000001</v>
      </c>
      <c r="C2915" s="2">
        <f t="shared" si="45"/>
        <v>-6.3855393434810344E-3</v>
      </c>
    </row>
    <row r="2916" spans="1:3" x14ac:dyDescent="0.2">
      <c r="A2916" s="1">
        <v>41838</v>
      </c>
      <c r="B2916">
        <v>25.136700000000001</v>
      </c>
      <c r="C2916" s="2">
        <f t="shared" si="45"/>
        <v>1.8874773743142233E-2</v>
      </c>
    </row>
    <row r="2917" spans="1:3" x14ac:dyDescent="0.2">
      <c r="A2917" s="1">
        <v>41837</v>
      </c>
      <c r="B2917">
        <v>24.666699999999999</v>
      </c>
      <c r="C2917" s="2">
        <f t="shared" si="45"/>
        <v>-2.0992934478020607E-2</v>
      </c>
    </row>
    <row r="2918" spans="1:3" x14ac:dyDescent="0.2">
      <c r="A2918" s="1">
        <v>41836</v>
      </c>
      <c r="B2918">
        <v>25.19</v>
      </c>
      <c r="C2918" s="2">
        <f t="shared" si="45"/>
        <v>-3.566478914137812E-3</v>
      </c>
    </row>
    <row r="2919" spans="1:3" x14ac:dyDescent="0.2">
      <c r="A2919" s="1">
        <v>41835</v>
      </c>
      <c r="B2919">
        <v>25.28</v>
      </c>
      <c r="C2919" s="2">
        <f t="shared" si="45"/>
        <v>-9.9699133158983998E-3</v>
      </c>
    </row>
    <row r="2920" spans="1:3" x14ac:dyDescent="0.2">
      <c r="A2920" s="1">
        <v>41834</v>
      </c>
      <c r="B2920">
        <v>25.533300000000001</v>
      </c>
      <c r="C2920" s="2">
        <f t="shared" si="45"/>
        <v>3.9241435891017671E-3</v>
      </c>
    </row>
    <row r="2921" spans="1:3" x14ac:dyDescent="0.2">
      <c r="A2921" s="1">
        <v>41831</v>
      </c>
      <c r="B2921">
        <v>25.433299999999999</v>
      </c>
      <c r="C2921" s="2">
        <f t="shared" si="45"/>
        <v>-7.8329484470728052E-3</v>
      </c>
    </row>
    <row r="2922" spans="1:3" x14ac:dyDescent="0.2">
      <c r="A2922" s="1">
        <v>41830</v>
      </c>
      <c r="B2922">
        <v>25.633299999999998</v>
      </c>
      <c r="C2922" s="2">
        <f t="shared" si="45"/>
        <v>-1.3692581226983237E-2</v>
      </c>
    </row>
    <row r="2923" spans="1:3" x14ac:dyDescent="0.2">
      <c r="A2923" s="1">
        <v>41829</v>
      </c>
      <c r="B2923">
        <v>25.986699999999999</v>
      </c>
      <c r="C2923" s="2">
        <f t="shared" si="45"/>
        <v>-7.6667796102049407E-3</v>
      </c>
    </row>
    <row r="2924" spans="1:3" x14ac:dyDescent="0.2">
      <c r="A2924" s="1">
        <v>41828</v>
      </c>
      <c r="B2924">
        <v>26.186699999999998</v>
      </c>
      <c r="C2924" s="2">
        <f t="shared" si="45"/>
        <v>-5.9623249159844131E-3</v>
      </c>
    </row>
    <row r="2925" spans="1:3" x14ac:dyDescent="0.2">
      <c r="A2925" s="1">
        <v>41827</v>
      </c>
      <c r="B2925">
        <v>26.343299999999999</v>
      </c>
      <c r="C2925" s="2">
        <f t="shared" si="45"/>
        <v>-1.0130271594967052E-3</v>
      </c>
    </row>
    <row r="2926" spans="1:3" x14ac:dyDescent="0.2">
      <c r="A2926" s="1">
        <v>41823</v>
      </c>
      <c r="B2926">
        <v>26.37</v>
      </c>
      <c r="C2926" s="2">
        <f t="shared" si="45"/>
        <v>4.9420362893071845E-3</v>
      </c>
    </row>
    <row r="2927" spans="1:3" x14ac:dyDescent="0.2">
      <c r="A2927" s="1">
        <v>41822</v>
      </c>
      <c r="B2927">
        <v>26.24</v>
      </c>
      <c r="C2927" s="2">
        <f t="shared" si="45"/>
        <v>-2.9187545812968735E-3</v>
      </c>
    </row>
    <row r="2928" spans="1:3" x14ac:dyDescent="0.2">
      <c r="A2928" s="1">
        <v>41821</v>
      </c>
      <c r="B2928">
        <v>26.316700000000001</v>
      </c>
      <c r="C2928" s="2">
        <f t="shared" si="45"/>
        <v>1.1080784483572951E-2</v>
      </c>
    </row>
    <row r="2929" spans="1:3" x14ac:dyDescent="0.2">
      <c r="A2929" s="1">
        <v>41820</v>
      </c>
      <c r="B2929">
        <v>26.026700000000002</v>
      </c>
      <c r="C2929" s="2">
        <f t="shared" si="45"/>
        <v>4.1080626895381748E-3</v>
      </c>
    </row>
    <row r="2930" spans="1:3" x14ac:dyDescent="0.2">
      <c r="A2930" s="1">
        <v>41817</v>
      </c>
      <c r="B2930">
        <v>25.92</v>
      </c>
      <c r="C2930" s="2">
        <f t="shared" si="45"/>
        <v>1.8562424443540594E-2</v>
      </c>
    </row>
    <row r="2931" spans="1:3" x14ac:dyDescent="0.2">
      <c r="A2931" s="1">
        <v>41816</v>
      </c>
      <c r="B2931">
        <v>25.443300000000001</v>
      </c>
      <c r="C2931" s="2">
        <f t="shared" si="45"/>
        <v>-5.3583491101632181E-3</v>
      </c>
    </row>
    <row r="2932" spans="1:3" x14ac:dyDescent="0.2">
      <c r="A2932" s="1">
        <v>41815</v>
      </c>
      <c r="B2932">
        <v>25.58</v>
      </c>
      <c r="C2932" s="2">
        <f t="shared" si="45"/>
        <v>1.0346539122196505E-2</v>
      </c>
    </row>
    <row r="2933" spans="1:3" x14ac:dyDescent="0.2">
      <c r="A2933" s="1">
        <v>41814</v>
      </c>
      <c r="B2933">
        <v>25.316700000000001</v>
      </c>
      <c r="C2933" s="2">
        <f t="shared" si="45"/>
        <v>-7.0847749967496744E-3</v>
      </c>
    </row>
    <row r="2934" spans="1:3" x14ac:dyDescent="0.2">
      <c r="A2934" s="1">
        <v>41813</v>
      </c>
      <c r="B2934">
        <v>25.496700000000001</v>
      </c>
      <c r="C2934" s="2">
        <f t="shared" si="45"/>
        <v>-2.2174347969414064E-3</v>
      </c>
    </row>
    <row r="2935" spans="1:3" x14ac:dyDescent="0.2">
      <c r="A2935" s="1">
        <v>41810</v>
      </c>
      <c r="B2935">
        <v>25.5533</v>
      </c>
      <c r="C2935" s="2">
        <f t="shared" si="45"/>
        <v>4.836887388162868E-3</v>
      </c>
    </row>
    <row r="2936" spans="1:3" x14ac:dyDescent="0.2">
      <c r="A2936" s="1">
        <v>41809</v>
      </c>
      <c r="B2936">
        <v>25.43</v>
      </c>
      <c r="C2936" s="2">
        <f t="shared" si="45"/>
        <v>3.2810353854571812E-3</v>
      </c>
    </row>
    <row r="2937" spans="1:3" x14ac:dyDescent="0.2">
      <c r="A2937" s="1">
        <v>41808</v>
      </c>
      <c r="B2937">
        <v>25.346699999999998</v>
      </c>
      <c r="C2937" s="2">
        <f t="shared" si="45"/>
        <v>-2.6035503105660253E-4</v>
      </c>
    </row>
    <row r="2938" spans="1:3" x14ac:dyDescent="0.2">
      <c r="A2938" s="1">
        <v>41807</v>
      </c>
      <c r="B2938">
        <v>25.353300000000001</v>
      </c>
      <c r="C2938" s="2">
        <f t="shared" si="45"/>
        <v>1.2035071548753818E-2</v>
      </c>
    </row>
    <row r="2939" spans="1:3" x14ac:dyDescent="0.2">
      <c r="A2939" s="1">
        <v>41806</v>
      </c>
      <c r="B2939">
        <v>25.05</v>
      </c>
      <c r="C2939" s="2">
        <f t="shared" si="45"/>
        <v>-2.6591360126536736E-3</v>
      </c>
    </row>
    <row r="2940" spans="1:3" x14ac:dyDescent="0.2">
      <c r="A2940" s="1">
        <v>41803</v>
      </c>
      <c r="B2940">
        <v>25.116700000000002</v>
      </c>
      <c r="C2940" s="2">
        <f t="shared" si="45"/>
        <v>1.0636031651965437E-3</v>
      </c>
    </row>
    <row r="2941" spans="1:3" x14ac:dyDescent="0.2">
      <c r="A2941" s="1">
        <v>41802</v>
      </c>
      <c r="B2941">
        <v>25.09</v>
      </c>
      <c r="C2941" s="2">
        <f t="shared" si="45"/>
        <v>-5.695190392126976E-3</v>
      </c>
    </row>
    <row r="2942" spans="1:3" x14ac:dyDescent="0.2">
      <c r="A2942" s="1">
        <v>41801</v>
      </c>
      <c r="B2942">
        <v>25.2333</v>
      </c>
      <c r="C2942" s="2">
        <f t="shared" si="45"/>
        <v>-6.7145360748397257E-3</v>
      </c>
    </row>
    <row r="2943" spans="1:3" x14ac:dyDescent="0.2">
      <c r="A2943" s="1">
        <v>41800</v>
      </c>
      <c r="B2943">
        <v>25.403300000000002</v>
      </c>
      <c r="C2943" s="2">
        <f t="shared" si="45"/>
        <v>3.1541663082126242E-3</v>
      </c>
    </row>
    <row r="2944" spans="1:3" x14ac:dyDescent="0.2">
      <c r="A2944" s="1">
        <v>41799</v>
      </c>
      <c r="B2944">
        <v>25.3233</v>
      </c>
      <c r="C2944" s="2">
        <f t="shared" si="45"/>
        <v>6.99824532413731E-3</v>
      </c>
    </row>
    <row r="2945" spans="1:3" x14ac:dyDescent="0.2">
      <c r="A2945" s="1">
        <v>41796</v>
      </c>
      <c r="B2945">
        <v>25.146699999999999</v>
      </c>
      <c r="C2945" s="2">
        <f t="shared" si="45"/>
        <v>8.6547776774811864E-3</v>
      </c>
    </row>
    <row r="2946" spans="1:3" x14ac:dyDescent="0.2">
      <c r="A2946" s="1">
        <v>41795</v>
      </c>
      <c r="B2946">
        <v>24.93</v>
      </c>
      <c r="C2946" s="2">
        <f t="shared" si="45"/>
        <v>1.3732041307365257E-2</v>
      </c>
    </row>
    <row r="2947" spans="1:3" x14ac:dyDescent="0.2">
      <c r="A2947" s="1">
        <v>41794</v>
      </c>
      <c r="B2947">
        <v>24.59</v>
      </c>
      <c r="C2947" s="2">
        <f t="shared" ref="C2947:C3010" si="46">+LN(B2947/B2948)</f>
        <v>3.5320538702746872E-3</v>
      </c>
    </row>
    <row r="2948" spans="1:3" x14ac:dyDescent="0.2">
      <c r="A2948" s="1">
        <v>41793</v>
      </c>
      <c r="B2948">
        <v>24.503299999999999</v>
      </c>
      <c r="C2948" s="2">
        <f t="shared" si="46"/>
        <v>1.3468480714520231E-4</v>
      </c>
    </row>
    <row r="2949" spans="1:3" x14ac:dyDescent="0.2">
      <c r="A2949" s="1">
        <v>41792</v>
      </c>
      <c r="B2949">
        <v>24.5</v>
      </c>
      <c r="C2949" s="2">
        <f t="shared" si="46"/>
        <v>7.0986049730066975E-3</v>
      </c>
    </row>
    <row r="2950" spans="1:3" x14ac:dyDescent="0.2">
      <c r="A2950" s="1">
        <v>41789</v>
      </c>
      <c r="B2950">
        <v>24.326699999999999</v>
      </c>
      <c r="C2950" s="2">
        <f t="shared" si="46"/>
        <v>4.1115547601006471E-4</v>
      </c>
    </row>
    <row r="2951" spans="1:3" x14ac:dyDescent="0.2">
      <c r="A2951" s="1">
        <v>41788</v>
      </c>
      <c r="B2951">
        <v>24.316700000000001</v>
      </c>
      <c r="C2951" s="2">
        <f t="shared" si="46"/>
        <v>-5.6018190368299411E-3</v>
      </c>
    </row>
    <row r="2952" spans="1:3" x14ac:dyDescent="0.2">
      <c r="A2952" s="1">
        <v>41787</v>
      </c>
      <c r="B2952">
        <v>24.453299999999999</v>
      </c>
      <c r="C2952" s="2">
        <f t="shared" si="46"/>
        <v>-3.8122495149826908E-3</v>
      </c>
    </row>
    <row r="2953" spans="1:3" x14ac:dyDescent="0.2">
      <c r="A2953" s="1">
        <v>41786</v>
      </c>
      <c r="B2953">
        <v>24.546700000000001</v>
      </c>
      <c r="C2953" s="2">
        <f t="shared" si="46"/>
        <v>1.3947971305224311E-2</v>
      </c>
    </row>
    <row r="2954" spans="1:3" x14ac:dyDescent="0.2">
      <c r="A2954" s="1">
        <v>41782</v>
      </c>
      <c r="B2954">
        <v>24.206700000000001</v>
      </c>
      <c r="C2954" s="2">
        <f t="shared" si="46"/>
        <v>1.3169493010534777E-2</v>
      </c>
    </row>
    <row r="2955" spans="1:3" x14ac:dyDescent="0.2">
      <c r="A2955" s="1">
        <v>41781</v>
      </c>
      <c r="B2955">
        <v>23.89</v>
      </c>
      <c r="C2955" s="2">
        <f t="shared" si="46"/>
        <v>3.2157132145997015E-3</v>
      </c>
    </row>
    <row r="2956" spans="1:3" x14ac:dyDescent="0.2">
      <c r="A2956" s="1">
        <v>41780</v>
      </c>
      <c r="B2956">
        <v>23.813300000000002</v>
      </c>
      <c r="C2956" s="2">
        <f t="shared" si="46"/>
        <v>7.4436592379869227E-3</v>
      </c>
    </row>
    <row r="2957" spans="1:3" x14ac:dyDescent="0.2">
      <c r="A2957" s="1">
        <v>41779</v>
      </c>
      <c r="B2957">
        <v>23.636700000000001</v>
      </c>
      <c r="C2957" s="2">
        <f t="shared" si="46"/>
        <v>-2.4378149239814611E-2</v>
      </c>
    </row>
    <row r="2958" spans="1:3" x14ac:dyDescent="0.2">
      <c r="A2958" s="1">
        <v>41778</v>
      </c>
      <c r="B2958">
        <v>24.22</v>
      </c>
      <c r="C2958" s="2">
        <f t="shared" si="46"/>
        <v>6.3495958536832426E-3</v>
      </c>
    </row>
    <row r="2959" spans="1:3" x14ac:dyDescent="0.2">
      <c r="A2959" s="1">
        <v>41775</v>
      </c>
      <c r="B2959">
        <v>24.066700000000001</v>
      </c>
      <c r="C2959" s="2">
        <f t="shared" si="46"/>
        <v>9.1832992900761582E-3</v>
      </c>
    </row>
    <row r="2960" spans="1:3" x14ac:dyDescent="0.2">
      <c r="A2960" s="1">
        <v>41774</v>
      </c>
      <c r="B2960">
        <v>23.846699999999998</v>
      </c>
      <c r="C2960" s="2">
        <f t="shared" si="46"/>
        <v>-1.0287950565196543E-2</v>
      </c>
    </row>
    <row r="2961" spans="1:3" x14ac:dyDescent="0.2">
      <c r="A2961" s="1">
        <v>41773</v>
      </c>
      <c r="B2961">
        <v>24.093299999999999</v>
      </c>
      <c r="C2961" s="2">
        <f t="shared" si="46"/>
        <v>-1.972669410221611E-2</v>
      </c>
    </row>
    <row r="2962" spans="1:3" x14ac:dyDescent="0.2">
      <c r="A2962" s="1">
        <v>41772</v>
      </c>
      <c r="B2962">
        <v>24.5733</v>
      </c>
      <c r="C2962" s="2">
        <f t="shared" si="46"/>
        <v>-9.989292127861843E-3</v>
      </c>
    </row>
    <row r="2963" spans="1:3" x14ac:dyDescent="0.2">
      <c r="A2963" s="1">
        <v>41771</v>
      </c>
      <c r="B2963">
        <v>24.82</v>
      </c>
      <c r="C2963" s="2">
        <f t="shared" si="46"/>
        <v>1.3928135140769637E-2</v>
      </c>
    </row>
    <row r="2964" spans="1:3" x14ac:dyDescent="0.2">
      <c r="A2964" s="1">
        <v>41768</v>
      </c>
      <c r="B2964">
        <v>24.476700000000001</v>
      </c>
      <c r="C2964" s="2">
        <f t="shared" si="46"/>
        <v>3.1385123365352814E-3</v>
      </c>
    </row>
    <row r="2965" spans="1:3" x14ac:dyDescent="0.2">
      <c r="A2965" s="1">
        <v>41767</v>
      </c>
      <c r="B2965">
        <v>24.4</v>
      </c>
      <c r="C2965" s="2">
        <f t="shared" si="46"/>
        <v>-2.8647451554241676E-3</v>
      </c>
    </row>
    <row r="2966" spans="1:3" x14ac:dyDescent="0.2">
      <c r="A2966" s="1">
        <v>41766</v>
      </c>
      <c r="B2966">
        <v>24.47</v>
      </c>
      <c r="C2966" s="2">
        <f t="shared" si="46"/>
        <v>3.5494057114897307E-3</v>
      </c>
    </row>
    <row r="2967" spans="1:3" x14ac:dyDescent="0.2">
      <c r="A2967" s="1">
        <v>41765</v>
      </c>
      <c r="B2967">
        <v>24.383299999999998</v>
      </c>
      <c r="C2967" s="2">
        <f t="shared" si="46"/>
        <v>-6.540432826441317E-3</v>
      </c>
    </row>
    <row r="2968" spans="1:3" x14ac:dyDescent="0.2">
      <c r="A2968" s="1">
        <v>41764</v>
      </c>
      <c r="B2968">
        <v>24.543299999999999</v>
      </c>
      <c r="C2968" s="2">
        <f t="shared" si="46"/>
        <v>1.3260166444585728E-2</v>
      </c>
    </row>
    <row r="2969" spans="1:3" x14ac:dyDescent="0.2">
      <c r="A2969" s="1">
        <v>41761</v>
      </c>
      <c r="B2969">
        <v>24.22</v>
      </c>
      <c r="C2969" s="2">
        <f t="shared" si="46"/>
        <v>2.4803650583319248E-3</v>
      </c>
    </row>
    <row r="2970" spans="1:3" x14ac:dyDescent="0.2">
      <c r="A2970" s="1">
        <v>41760</v>
      </c>
      <c r="B2970">
        <v>24.16</v>
      </c>
      <c r="C2970" s="2">
        <f t="shared" si="46"/>
        <v>-2.7727943529876889E-4</v>
      </c>
    </row>
    <row r="2971" spans="1:3" x14ac:dyDescent="0.2">
      <c r="A2971" s="1">
        <v>41759</v>
      </c>
      <c r="B2971">
        <v>24.166699999999999</v>
      </c>
      <c r="C2971" s="2">
        <f t="shared" si="46"/>
        <v>2.6268919187055406E-3</v>
      </c>
    </row>
    <row r="2972" spans="1:3" x14ac:dyDescent="0.2">
      <c r="A2972" s="1">
        <v>41758</v>
      </c>
      <c r="B2972">
        <v>24.103300000000001</v>
      </c>
      <c r="C2972" s="2">
        <f t="shared" si="46"/>
        <v>1.3692008659797812E-4</v>
      </c>
    </row>
    <row r="2973" spans="1:3" x14ac:dyDescent="0.2">
      <c r="A2973" s="1">
        <v>41757</v>
      </c>
      <c r="B2973">
        <v>24.1</v>
      </c>
      <c r="C2973" s="2">
        <f t="shared" si="46"/>
        <v>2.0768439448390691E-3</v>
      </c>
    </row>
    <row r="2974" spans="1:3" x14ac:dyDescent="0.2">
      <c r="A2974" s="1">
        <v>41754</v>
      </c>
      <c r="B2974">
        <v>24.05</v>
      </c>
      <c r="C2974" s="2">
        <f t="shared" si="46"/>
        <v>-6.4944577964826363E-3</v>
      </c>
    </row>
    <row r="2975" spans="1:3" x14ac:dyDescent="0.2">
      <c r="A2975" s="1">
        <v>41753</v>
      </c>
      <c r="B2975">
        <v>24.206700000000001</v>
      </c>
      <c r="C2975" s="2">
        <f t="shared" si="46"/>
        <v>-2.1116664477184115E-2</v>
      </c>
    </row>
    <row r="2976" spans="1:3" x14ac:dyDescent="0.2">
      <c r="A2976" s="1">
        <v>41752</v>
      </c>
      <c r="B2976">
        <v>24.723299999999998</v>
      </c>
      <c r="C2976" s="2">
        <f t="shared" si="46"/>
        <v>3.2410605563197932E-3</v>
      </c>
    </row>
    <row r="2977" spans="1:3" x14ac:dyDescent="0.2">
      <c r="A2977" s="1">
        <v>41751</v>
      </c>
      <c r="B2977">
        <v>24.6433</v>
      </c>
      <c r="C2977" s="2">
        <f t="shared" si="46"/>
        <v>-4.8576601493941877E-3</v>
      </c>
    </row>
    <row r="2978" spans="1:3" x14ac:dyDescent="0.2">
      <c r="A2978" s="1">
        <v>41750</v>
      </c>
      <c r="B2978">
        <v>24.763300000000001</v>
      </c>
      <c r="C2978" s="2">
        <f t="shared" si="46"/>
        <v>6.750430820082854E-3</v>
      </c>
    </row>
    <row r="2979" spans="1:3" x14ac:dyDescent="0.2">
      <c r="A2979" s="1">
        <v>41746</v>
      </c>
      <c r="B2979">
        <v>24.596699999999998</v>
      </c>
      <c r="C2979" s="2">
        <f t="shared" si="46"/>
        <v>2.3078483156631813E-3</v>
      </c>
    </row>
    <row r="2980" spans="1:3" x14ac:dyDescent="0.2">
      <c r="A2980" s="1">
        <v>41745</v>
      </c>
      <c r="B2980">
        <v>24.54</v>
      </c>
      <c r="C2980" s="2">
        <f t="shared" si="46"/>
        <v>1.2849108529519719E-2</v>
      </c>
    </row>
    <row r="2981" spans="1:3" x14ac:dyDescent="0.2">
      <c r="A2981" s="1">
        <v>41744</v>
      </c>
      <c r="B2981">
        <v>24.226700000000001</v>
      </c>
      <c r="C2981" s="2">
        <f t="shared" si="46"/>
        <v>2.6203776101411916E-3</v>
      </c>
    </row>
    <row r="2982" spans="1:3" x14ac:dyDescent="0.2">
      <c r="A2982" s="1">
        <v>41743</v>
      </c>
      <c r="B2982">
        <v>24.1633</v>
      </c>
      <c r="C2982" s="2">
        <f t="shared" si="46"/>
        <v>7.7524276924038843E-3</v>
      </c>
    </row>
    <row r="2983" spans="1:3" x14ac:dyDescent="0.2">
      <c r="A2983" s="1">
        <v>41740</v>
      </c>
      <c r="B2983">
        <v>23.976700000000001</v>
      </c>
      <c r="C2983" s="2">
        <f t="shared" si="46"/>
        <v>-1.5859917390995872E-2</v>
      </c>
    </row>
    <row r="2984" spans="1:3" x14ac:dyDescent="0.2">
      <c r="A2984" s="1">
        <v>41739</v>
      </c>
      <c r="B2984">
        <v>24.36</v>
      </c>
      <c r="C2984" s="2">
        <f t="shared" si="46"/>
        <v>-2.4732661449985503E-2</v>
      </c>
    </row>
    <row r="2985" spans="1:3" x14ac:dyDescent="0.2">
      <c r="A2985" s="1">
        <v>41738</v>
      </c>
      <c r="B2985">
        <v>24.97</v>
      </c>
      <c r="C2985" s="2">
        <f t="shared" si="46"/>
        <v>1.14104672186877E-2</v>
      </c>
    </row>
    <row r="2986" spans="1:3" x14ac:dyDescent="0.2">
      <c r="A2986" s="1">
        <v>41737</v>
      </c>
      <c r="B2986">
        <v>24.686699999999998</v>
      </c>
      <c r="C2986" s="2">
        <f t="shared" si="46"/>
        <v>2.2531133316607554E-2</v>
      </c>
    </row>
    <row r="2987" spans="1:3" x14ac:dyDescent="0.2">
      <c r="A2987" s="1">
        <v>41736</v>
      </c>
      <c r="B2987">
        <v>24.136700000000001</v>
      </c>
      <c r="C2987" s="2">
        <f t="shared" si="46"/>
        <v>-2.9928754058926855E-2</v>
      </c>
    </row>
    <row r="2988" spans="1:3" x14ac:dyDescent="0.2">
      <c r="A2988" s="1">
        <v>41733</v>
      </c>
      <c r="B2988">
        <v>24.87</v>
      </c>
      <c r="C2988" s="2">
        <f t="shared" si="46"/>
        <v>-1.885213748576918E-2</v>
      </c>
    </row>
    <row r="2989" spans="1:3" x14ac:dyDescent="0.2">
      <c r="A2989" s="1">
        <v>41732</v>
      </c>
      <c r="B2989">
        <v>25.343299999999999</v>
      </c>
      <c r="C2989" s="2">
        <f t="shared" si="46"/>
        <v>-4.8573211029494974E-3</v>
      </c>
    </row>
    <row r="2990" spans="1:3" x14ac:dyDescent="0.2">
      <c r="A2990" s="1">
        <v>41731</v>
      </c>
      <c r="B2990">
        <v>25.466699999999999</v>
      </c>
      <c r="C2990" s="2">
        <f t="shared" si="46"/>
        <v>-1.4361391520742097E-3</v>
      </c>
    </row>
    <row r="2991" spans="1:3" x14ac:dyDescent="0.2">
      <c r="A2991" s="1">
        <v>41730</v>
      </c>
      <c r="B2991">
        <v>25.503299999999999</v>
      </c>
      <c r="C2991" s="2">
        <f t="shared" si="46"/>
        <v>2.3406058139408246E-2</v>
      </c>
    </row>
    <row r="2992" spans="1:3" x14ac:dyDescent="0.2">
      <c r="A2992" s="1">
        <v>41729</v>
      </c>
      <c r="B2992">
        <v>24.9133</v>
      </c>
      <c r="C2992" s="2">
        <f t="shared" si="46"/>
        <v>1.4555532657732071E-2</v>
      </c>
    </row>
    <row r="2993" spans="1:3" x14ac:dyDescent="0.2">
      <c r="A2993" s="1">
        <v>41726</v>
      </c>
      <c r="B2993">
        <v>24.5533</v>
      </c>
      <c r="C2993" s="2">
        <f t="shared" si="46"/>
        <v>8.3144152303670886E-3</v>
      </c>
    </row>
    <row r="2994" spans="1:3" x14ac:dyDescent="0.2">
      <c r="A2994" s="1">
        <v>41725</v>
      </c>
      <c r="B2994">
        <v>24.35</v>
      </c>
      <c r="C2994" s="2">
        <f t="shared" si="46"/>
        <v>-1.9160277223663467E-3</v>
      </c>
    </row>
    <row r="2995" spans="1:3" x14ac:dyDescent="0.2">
      <c r="A2995" s="1">
        <v>41724</v>
      </c>
      <c r="B2995">
        <v>24.396699999999999</v>
      </c>
      <c r="C2995" s="2">
        <f t="shared" si="46"/>
        <v>-2.3627627446466449E-2</v>
      </c>
    </row>
    <row r="2996" spans="1:3" x14ac:dyDescent="0.2">
      <c r="A2996" s="1">
        <v>41723</v>
      </c>
      <c r="B2996">
        <v>24.98</v>
      </c>
      <c r="C2996" s="2">
        <f t="shared" si="46"/>
        <v>2.5372433029982621E-3</v>
      </c>
    </row>
    <row r="2997" spans="1:3" x14ac:dyDescent="0.2">
      <c r="A2997" s="1">
        <v>41722</v>
      </c>
      <c r="B2997">
        <v>24.916699999999999</v>
      </c>
      <c r="C2997" s="2">
        <f t="shared" si="46"/>
        <v>-1.6186659142651497E-2</v>
      </c>
    </row>
    <row r="2998" spans="1:3" x14ac:dyDescent="0.2">
      <c r="A2998" s="1">
        <v>41719</v>
      </c>
      <c r="B2998">
        <v>25.3233</v>
      </c>
      <c r="C2998" s="2">
        <f t="shared" si="46"/>
        <v>8.4587473675912326E-3</v>
      </c>
    </row>
    <row r="2999" spans="1:3" x14ac:dyDescent="0.2">
      <c r="A2999" s="1">
        <v>41718</v>
      </c>
      <c r="B2999">
        <v>25.11</v>
      </c>
      <c r="C2999" s="2">
        <f t="shared" si="46"/>
        <v>2.2606177881679562E-3</v>
      </c>
    </row>
    <row r="3000" spans="1:3" x14ac:dyDescent="0.2">
      <c r="A3000" s="1">
        <v>41717</v>
      </c>
      <c r="B3000">
        <v>25.0533</v>
      </c>
      <c r="C3000" s="2">
        <f t="shared" si="46"/>
        <v>-3.1881047036485801E-3</v>
      </c>
    </row>
    <row r="3001" spans="1:3" x14ac:dyDescent="0.2">
      <c r="A3001" s="1">
        <v>41716</v>
      </c>
      <c r="B3001">
        <v>25.133299999999998</v>
      </c>
      <c r="C3001" s="2">
        <f t="shared" si="46"/>
        <v>-5.0284568373708781E-3</v>
      </c>
    </row>
    <row r="3002" spans="1:3" x14ac:dyDescent="0.2">
      <c r="A3002" s="1">
        <v>41715</v>
      </c>
      <c r="B3002">
        <v>25.26</v>
      </c>
      <c r="C3002" s="2">
        <f t="shared" si="46"/>
        <v>1.1679179954687695E-2</v>
      </c>
    </row>
    <row r="3003" spans="1:3" x14ac:dyDescent="0.2">
      <c r="A3003" s="1">
        <v>41712</v>
      </c>
      <c r="B3003">
        <v>24.966699999999999</v>
      </c>
      <c r="C3003" s="2">
        <f t="shared" si="46"/>
        <v>9.3768790681439894E-4</v>
      </c>
    </row>
    <row r="3004" spans="1:3" x14ac:dyDescent="0.2">
      <c r="A3004" s="1">
        <v>41711</v>
      </c>
      <c r="B3004">
        <v>24.943300000000001</v>
      </c>
      <c r="C3004" s="2">
        <f t="shared" si="46"/>
        <v>-1.6043294987727993E-2</v>
      </c>
    </row>
    <row r="3005" spans="1:3" x14ac:dyDescent="0.2">
      <c r="A3005" s="1">
        <v>41710</v>
      </c>
      <c r="B3005">
        <v>25.346699999999998</v>
      </c>
      <c r="C3005" s="2">
        <f t="shared" si="46"/>
        <v>-3.9375245288087047E-3</v>
      </c>
    </row>
    <row r="3006" spans="1:3" x14ac:dyDescent="0.2">
      <c r="A3006" s="1">
        <v>41709</v>
      </c>
      <c r="B3006">
        <v>25.4467</v>
      </c>
      <c r="C3006" s="2">
        <f t="shared" si="46"/>
        <v>-7.5675634750894134E-3</v>
      </c>
    </row>
    <row r="3007" spans="1:3" x14ac:dyDescent="0.2">
      <c r="A3007" s="1">
        <v>41708</v>
      </c>
      <c r="B3007">
        <v>25.64</v>
      </c>
      <c r="C3007" s="2">
        <f t="shared" si="46"/>
        <v>-9.575691246290409E-3</v>
      </c>
    </row>
    <row r="3008" spans="1:3" x14ac:dyDescent="0.2">
      <c r="A3008" s="1">
        <v>41705</v>
      </c>
      <c r="B3008">
        <v>25.886700000000001</v>
      </c>
      <c r="C3008" s="2">
        <f t="shared" si="46"/>
        <v>1.546390067966791E-3</v>
      </c>
    </row>
    <row r="3009" spans="1:3" x14ac:dyDescent="0.2">
      <c r="A3009" s="1">
        <v>41704</v>
      </c>
      <c r="B3009">
        <v>25.846699999999998</v>
      </c>
      <c r="C3009" s="2">
        <f t="shared" si="46"/>
        <v>0</v>
      </c>
    </row>
    <row r="3010" spans="1:3" x14ac:dyDescent="0.2">
      <c r="A3010" s="1">
        <v>41703</v>
      </c>
      <c r="B3010">
        <v>25.846699999999998</v>
      </c>
      <c r="C3010" s="2">
        <f t="shared" si="46"/>
        <v>-5.7866736583506353E-3</v>
      </c>
    </row>
    <row r="3011" spans="1:3" x14ac:dyDescent="0.2">
      <c r="A3011" s="1">
        <v>41702</v>
      </c>
      <c r="B3011">
        <v>25.996700000000001</v>
      </c>
      <c r="C3011" s="2">
        <f t="shared" ref="C3011:C3074" si="47">+LN(B3011/B3012)</f>
        <v>7.723030119110943E-3</v>
      </c>
    </row>
    <row r="3012" spans="1:3" x14ac:dyDescent="0.2">
      <c r="A3012" s="1">
        <v>41701</v>
      </c>
      <c r="B3012">
        <v>25.796700000000001</v>
      </c>
      <c r="C3012" s="2">
        <f t="shared" si="47"/>
        <v>-8.2345026905275912E-3</v>
      </c>
    </row>
    <row r="3013" spans="1:3" x14ac:dyDescent="0.2">
      <c r="A3013" s="1">
        <v>41698</v>
      </c>
      <c r="B3013">
        <v>26.01</v>
      </c>
      <c r="C3013" s="2">
        <f t="shared" si="47"/>
        <v>5.911324468540975E-3</v>
      </c>
    </row>
    <row r="3014" spans="1:3" x14ac:dyDescent="0.2">
      <c r="A3014" s="1">
        <v>41697</v>
      </c>
      <c r="B3014">
        <v>25.8567</v>
      </c>
      <c r="C3014" s="2">
        <f t="shared" si="47"/>
        <v>4.0069807536623715E-3</v>
      </c>
    </row>
    <row r="3015" spans="1:3" x14ac:dyDescent="0.2">
      <c r="A3015" s="1">
        <v>41696</v>
      </c>
      <c r="B3015">
        <v>25.753299999999999</v>
      </c>
      <c r="C3015" s="2">
        <f t="shared" si="47"/>
        <v>7.6632610453963223E-3</v>
      </c>
    </row>
    <row r="3016" spans="1:3" x14ac:dyDescent="0.2">
      <c r="A3016" s="1">
        <v>41695</v>
      </c>
      <c r="B3016">
        <v>25.556699999999999</v>
      </c>
      <c r="C3016" s="2">
        <f t="shared" si="47"/>
        <v>9.5695638873564137E-3</v>
      </c>
    </row>
    <row r="3017" spans="1:3" x14ac:dyDescent="0.2">
      <c r="A3017" s="1">
        <v>41694</v>
      </c>
      <c r="B3017">
        <v>25.313300000000002</v>
      </c>
      <c r="C3017" s="2">
        <f t="shared" si="47"/>
        <v>-1.1844459954785511E-3</v>
      </c>
    </row>
    <row r="3018" spans="1:3" x14ac:dyDescent="0.2">
      <c r="A3018" s="1">
        <v>41691</v>
      </c>
      <c r="B3018">
        <v>25.343299999999999</v>
      </c>
      <c r="C3018" s="2">
        <f t="shared" si="47"/>
        <v>-1.1377892151443499E-2</v>
      </c>
    </row>
    <row r="3019" spans="1:3" x14ac:dyDescent="0.2">
      <c r="A3019" s="1">
        <v>41690</v>
      </c>
      <c r="B3019">
        <v>25.633299999999998</v>
      </c>
      <c r="C3019" s="2">
        <f t="shared" si="47"/>
        <v>2.594889716636645E-2</v>
      </c>
    </row>
    <row r="3020" spans="1:3" x14ac:dyDescent="0.2">
      <c r="A3020" s="1">
        <v>41689</v>
      </c>
      <c r="B3020">
        <v>24.976700000000001</v>
      </c>
      <c r="C3020" s="2">
        <f t="shared" si="47"/>
        <v>-2.2431661055249096E-2</v>
      </c>
    </row>
    <row r="3021" spans="1:3" x14ac:dyDescent="0.2">
      <c r="A3021" s="1">
        <v>41688</v>
      </c>
      <c r="B3021">
        <v>25.543299999999999</v>
      </c>
      <c r="C3021" s="2">
        <f t="shared" si="47"/>
        <v>1.5648376128461001E-2</v>
      </c>
    </row>
    <row r="3022" spans="1:3" x14ac:dyDescent="0.2">
      <c r="A3022" s="1">
        <v>41684</v>
      </c>
      <c r="B3022">
        <v>25.146699999999999</v>
      </c>
      <c r="C3022" s="2">
        <f t="shared" si="47"/>
        <v>8.5224157999151482E-3</v>
      </c>
    </row>
    <row r="3023" spans="1:3" x14ac:dyDescent="0.2">
      <c r="A3023" s="1">
        <v>41683</v>
      </c>
      <c r="B3023">
        <v>24.933299999999999</v>
      </c>
      <c r="C3023" s="2">
        <f t="shared" si="47"/>
        <v>2.0801790730473689E-2</v>
      </c>
    </row>
    <row r="3024" spans="1:3" x14ac:dyDescent="0.2">
      <c r="A3024" s="1">
        <v>41682</v>
      </c>
      <c r="B3024">
        <v>24.42</v>
      </c>
      <c r="C3024" s="2">
        <f t="shared" si="47"/>
        <v>9.4631440606228433E-3</v>
      </c>
    </row>
    <row r="3025" spans="1:3" x14ac:dyDescent="0.2">
      <c r="A3025" s="1">
        <v>41681</v>
      </c>
      <c r="B3025">
        <v>24.19</v>
      </c>
      <c r="C3025" s="2">
        <f t="shared" si="47"/>
        <v>1.2479363284217658E-2</v>
      </c>
    </row>
    <row r="3026" spans="1:3" x14ac:dyDescent="0.2">
      <c r="A3026" s="1">
        <v>41680</v>
      </c>
      <c r="B3026">
        <v>23.89</v>
      </c>
      <c r="C3026" s="2">
        <f t="shared" si="47"/>
        <v>5.8774308570680826E-3</v>
      </c>
    </row>
    <row r="3027" spans="1:3" x14ac:dyDescent="0.2">
      <c r="A3027" s="1">
        <v>41677</v>
      </c>
      <c r="B3027">
        <v>23.75</v>
      </c>
      <c r="C3027" s="2">
        <f t="shared" si="47"/>
        <v>2.7749912952902241E-2</v>
      </c>
    </row>
    <row r="3028" spans="1:3" x14ac:dyDescent="0.2">
      <c r="A3028" s="1">
        <v>41676</v>
      </c>
      <c r="B3028">
        <v>23.1</v>
      </c>
      <c r="C3028" s="2">
        <f t="shared" si="47"/>
        <v>1.8935730432597043E-2</v>
      </c>
    </row>
    <row r="3029" spans="1:3" x14ac:dyDescent="0.2">
      <c r="A3029" s="1">
        <v>41675</v>
      </c>
      <c r="B3029">
        <v>22.666699999999999</v>
      </c>
      <c r="C3029" s="2">
        <f t="shared" si="47"/>
        <v>4.8647477605021725E-3</v>
      </c>
    </row>
    <row r="3030" spans="1:3" x14ac:dyDescent="0.2">
      <c r="A3030" s="1">
        <v>41674</v>
      </c>
      <c r="B3030">
        <v>22.556699999999999</v>
      </c>
      <c r="C3030" s="2">
        <f t="shared" si="47"/>
        <v>2.4839697225207999E-2</v>
      </c>
    </row>
    <row r="3031" spans="1:3" x14ac:dyDescent="0.2">
      <c r="A3031" s="1">
        <v>41673</v>
      </c>
      <c r="B3031">
        <v>22.003299999999999</v>
      </c>
      <c r="C3031" s="2">
        <f t="shared" si="47"/>
        <v>-5.1376687491670847E-2</v>
      </c>
    </row>
    <row r="3032" spans="1:3" x14ac:dyDescent="0.2">
      <c r="A3032" s="1">
        <v>41670</v>
      </c>
      <c r="B3032">
        <v>23.1633</v>
      </c>
      <c r="C3032" s="2">
        <f t="shared" si="47"/>
        <v>-3.1589624777949153E-2</v>
      </c>
    </row>
    <row r="3033" spans="1:3" x14ac:dyDescent="0.2">
      <c r="A3033" s="1">
        <v>41669</v>
      </c>
      <c r="B3033">
        <v>23.906700000000001</v>
      </c>
      <c r="C3033" s="2">
        <f t="shared" si="47"/>
        <v>1.0372895828819964E-2</v>
      </c>
    </row>
    <row r="3034" spans="1:3" x14ac:dyDescent="0.2">
      <c r="A3034" s="1">
        <v>41668</v>
      </c>
      <c r="B3034">
        <v>23.66</v>
      </c>
      <c r="C3034" s="2">
        <f t="shared" si="47"/>
        <v>-9.5359601361328546E-3</v>
      </c>
    </row>
    <row r="3035" spans="1:3" x14ac:dyDescent="0.2">
      <c r="A3035" s="1">
        <v>41667</v>
      </c>
      <c r="B3035">
        <v>23.886700000000001</v>
      </c>
      <c r="C3035" s="2">
        <f t="shared" si="47"/>
        <v>-5.2860248345962908E-3</v>
      </c>
    </row>
    <row r="3036" spans="1:3" x14ac:dyDescent="0.2">
      <c r="A3036" s="1">
        <v>41666</v>
      </c>
      <c r="B3036">
        <v>24.013300000000001</v>
      </c>
      <c r="C3036" s="2">
        <f t="shared" si="47"/>
        <v>-1.049719663899094E-2</v>
      </c>
    </row>
    <row r="3037" spans="1:3" x14ac:dyDescent="0.2">
      <c r="A3037" s="1">
        <v>41663</v>
      </c>
      <c r="B3037">
        <v>24.2667</v>
      </c>
      <c r="C3037" s="2">
        <f t="shared" si="47"/>
        <v>-4.4592399883828814E-2</v>
      </c>
    </row>
    <row r="3038" spans="1:3" x14ac:dyDescent="0.2">
      <c r="A3038" s="1">
        <v>41662</v>
      </c>
      <c r="B3038">
        <v>25.3733</v>
      </c>
      <c r="C3038" s="2">
        <f t="shared" si="47"/>
        <v>-1.9645509866653126E-2</v>
      </c>
    </row>
    <row r="3039" spans="1:3" x14ac:dyDescent="0.2">
      <c r="A3039" s="1">
        <v>41661</v>
      </c>
      <c r="B3039">
        <v>25.8767</v>
      </c>
      <c r="C3039" s="2">
        <f t="shared" si="47"/>
        <v>-5.2649957813803135E-3</v>
      </c>
    </row>
    <row r="3040" spans="1:3" x14ac:dyDescent="0.2">
      <c r="A3040" s="1">
        <v>41660</v>
      </c>
      <c r="B3040">
        <v>26.013300000000001</v>
      </c>
      <c r="C3040" s="2">
        <f t="shared" si="47"/>
        <v>-3.3273686368248128E-3</v>
      </c>
    </row>
    <row r="3041" spans="1:3" x14ac:dyDescent="0.2">
      <c r="A3041" s="1">
        <v>41656</v>
      </c>
      <c r="B3041">
        <v>26.1</v>
      </c>
      <c r="C3041" s="2">
        <f t="shared" si="47"/>
        <v>-3.5683385443016505E-3</v>
      </c>
    </row>
    <row r="3042" spans="1:3" x14ac:dyDescent="0.2">
      <c r="A3042" s="1">
        <v>41655</v>
      </c>
      <c r="B3042">
        <v>26.193300000000001</v>
      </c>
      <c r="C3042" s="2">
        <f t="shared" si="47"/>
        <v>-1.2743229500134224E-3</v>
      </c>
    </row>
    <row r="3043" spans="1:3" x14ac:dyDescent="0.2">
      <c r="A3043" s="1">
        <v>41654</v>
      </c>
      <c r="B3043">
        <v>26.226700000000001</v>
      </c>
      <c r="C3043" s="2">
        <f t="shared" si="47"/>
        <v>4.8426614943151008E-3</v>
      </c>
    </row>
    <row r="3044" spans="1:3" x14ac:dyDescent="0.2">
      <c r="A3044" s="1">
        <v>41653</v>
      </c>
      <c r="B3044">
        <v>26.1</v>
      </c>
      <c r="C3044" s="2">
        <f t="shared" si="47"/>
        <v>2.1168847506456843E-2</v>
      </c>
    </row>
    <row r="3045" spans="1:3" x14ac:dyDescent="0.2">
      <c r="A3045" s="1">
        <v>41652</v>
      </c>
      <c r="B3045">
        <v>25.5533</v>
      </c>
      <c r="C3045" s="2">
        <f t="shared" si="47"/>
        <v>-1.7330071199291065E-2</v>
      </c>
    </row>
    <row r="3046" spans="1:3" x14ac:dyDescent="0.2">
      <c r="A3046" s="1">
        <v>41649</v>
      </c>
      <c r="B3046">
        <v>26</v>
      </c>
      <c r="C3046" s="2">
        <f t="shared" si="47"/>
        <v>1.2773543138432927E-2</v>
      </c>
    </row>
    <row r="3047" spans="1:3" x14ac:dyDescent="0.2">
      <c r="A3047" s="1">
        <v>41648</v>
      </c>
      <c r="B3047">
        <v>25.67</v>
      </c>
      <c r="C3047" s="2">
        <f t="shared" si="47"/>
        <v>1.07037505588987E-2</v>
      </c>
    </row>
    <row r="3048" spans="1:3" x14ac:dyDescent="0.2">
      <c r="A3048" s="1">
        <v>41647</v>
      </c>
      <c r="B3048">
        <v>25.396699999999999</v>
      </c>
      <c r="C3048" s="2">
        <f t="shared" si="47"/>
        <v>1.181954065036383E-3</v>
      </c>
    </row>
    <row r="3049" spans="1:3" x14ac:dyDescent="0.2">
      <c r="A3049" s="1">
        <v>41646</v>
      </c>
      <c r="B3049">
        <v>25.366700000000002</v>
      </c>
      <c r="C3049" s="2">
        <f t="shared" si="47"/>
        <v>6.8592041081054394E-3</v>
      </c>
    </row>
    <row r="3050" spans="1:3" x14ac:dyDescent="0.2">
      <c r="A3050" s="1">
        <v>41645</v>
      </c>
      <c r="B3050">
        <v>25.193300000000001</v>
      </c>
      <c r="C3050" s="2">
        <f t="shared" si="47"/>
        <v>-1.8483869600013469E-2</v>
      </c>
    </row>
    <row r="3051" spans="1:3" x14ac:dyDescent="0.2">
      <c r="A3051" s="1">
        <v>41642</v>
      </c>
      <c r="B3051">
        <v>25.6633</v>
      </c>
      <c r="C3051" s="2">
        <f t="shared" si="47"/>
        <v>2.2079197578826508E-3</v>
      </c>
    </row>
    <row r="3052" spans="1:3" x14ac:dyDescent="0.2">
      <c r="A3052" s="1">
        <v>41641</v>
      </c>
      <c r="B3052">
        <v>25.6067</v>
      </c>
      <c r="C3052" s="2">
        <f t="shared" si="47"/>
        <v>-1.6779781347229267E-2</v>
      </c>
    </row>
    <row r="3053" spans="1:3" x14ac:dyDescent="0.2">
      <c r="A3053" s="1">
        <v>41639</v>
      </c>
      <c r="B3053">
        <v>26.04</v>
      </c>
      <c r="C3053" s="2">
        <f t="shared" si="47"/>
        <v>1.9219686869696242E-3</v>
      </c>
    </row>
    <row r="3054" spans="1:3" x14ac:dyDescent="0.2">
      <c r="A3054" s="1">
        <v>41638</v>
      </c>
      <c r="B3054">
        <v>25.99</v>
      </c>
      <c r="C3054" s="2">
        <f t="shared" si="47"/>
        <v>1.9256697651009905E-3</v>
      </c>
    </row>
    <row r="3055" spans="1:3" x14ac:dyDescent="0.2">
      <c r="A3055" s="1">
        <v>41635</v>
      </c>
      <c r="B3055">
        <v>25.94</v>
      </c>
      <c r="C3055" s="2">
        <f t="shared" si="47"/>
        <v>1.4158051717557596E-3</v>
      </c>
    </row>
    <row r="3056" spans="1:3" x14ac:dyDescent="0.2">
      <c r="A3056" s="1">
        <v>41634</v>
      </c>
      <c r="B3056">
        <v>25.903300000000002</v>
      </c>
      <c r="C3056" s="2">
        <f t="shared" si="47"/>
        <v>8.1401161927268581E-3</v>
      </c>
    </row>
    <row r="3057" spans="1:3" x14ac:dyDescent="0.2">
      <c r="A3057" s="1">
        <v>41632</v>
      </c>
      <c r="B3057">
        <v>25.693300000000001</v>
      </c>
      <c r="C3057" s="2">
        <f t="shared" si="47"/>
        <v>-1.3232146351278127E-4</v>
      </c>
    </row>
    <row r="3058" spans="1:3" x14ac:dyDescent="0.2">
      <c r="A3058" s="1">
        <v>41631</v>
      </c>
      <c r="B3058">
        <v>25.6967</v>
      </c>
      <c r="C3058" s="2">
        <f t="shared" si="47"/>
        <v>9.1103763357916652E-4</v>
      </c>
    </row>
    <row r="3059" spans="1:3" x14ac:dyDescent="0.2">
      <c r="A3059" s="1">
        <v>41628</v>
      </c>
      <c r="B3059">
        <v>25.673300000000001</v>
      </c>
      <c r="C3059" s="2">
        <f t="shared" si="47"/>
        <v>1.0045103059787975E-2</v>
      </c>
    </row>
    <row r="3060" spans="1:3" x14ac:dyDescent="0.2">
      <c r="A3060" s="1">
        <v>41627</v>
      </c>
      <c r="B3060">
        <v>25.416699999999999</v>
      </c>
      <c r="C3060" s="2">
        <f t="shared" si="47"/>
        <v>-7.8657478285290713E-4</v>
      </c>
    </row>
    <row r="3061" spans="1:3" x14ac:dyDescent="0.2">
      <c r="A3061" s="1">
        <v>41626</v>
      </c>
      <c r="B3061">
        <v>25.436699999999998</v>
      </c>
      <c r="C3061" s="2">
        <f t="shared" si="47"/>
        <v>7.8937288010999147E-3</v>
      </c>
    </row>
    <row r="3062" spans="1:3" x14ac:dyDescent="0.2">
      <c r="A3062" s="1">
        <v>41625</v>
      </c>
      <c r="B3062">
        <v>25.236699999999999</v>
      </c>
      <c r="C3062" s="2">
        <f t="shared" si="47"/>
        <v>1.3473350525630806E-4</v>
      </c>
    </row>
    <row r="3063" spans="1:3" x14ac:dyDescent="0.2">
      <c r="A3063" s="1">
        <v>41624</v>
      </c>
      <c r="B3063">
        <v>25.2333</v>
      </c>
      <c r="C3063" s="2">
        <f t="shared" si="47"/>
        <v>8.0894453267750382E-3</v>
      </c>
    </row>
    <row r="3064" spans="1:3" x14ac:dyDescent="0.2">
      <c r="A3064" s="1">
        <v>41621</v>
      </c>
      <c r="B3064">
        <v>25.03</v>
      </c>
      <c r="C3064" s="2">
        <f t="shared" si="47"/>
        <v>1.3312892882487888E-3</v>
      </c>
    </row>
    <row r="3065" spans="1:3" x14ac:dyDescent="0.2">
      <c r="A3065" s="1">
        <v>41620</v>
      </c>
      <c r="B3065">
        <v>24.996700000000001</v>
      </c>
      <c r="C3065" s="2">
        <f t="shared" si="47"/>
        <v>3.6069725740875214E-3</v>
      </c>
    </row>
    <row r="3066" spans="1:3" x14ac:dyDescent="0.2">
      <c r="A3066" s="1">
        <v>41619</v>
      </c>
      <c r="B3066">
        <v>24.906700000000001</v>
      </c>
      <c r="C3066" s="2">
        <f t="shared" si="47"/>
        <v>-2.9535374730851438E-2</v>
      </c>
    </row>
    <row r="3067" spans="1:3" x14ac:dyDescent="0.2">
      <c r="A3067" s="1">
        <v>41618</v>
      </c>
      <c r="B3067">
        <v>25.653300000000002</v>
      </c>
      <c r="C3067" s="2">
        <f t="shared" si="47"/>
        <v>-9.1174757923251826E-4</v>
      </c>
    </row>
    <row r="3068" spans="1:3" x14ac:dyDescent="0.2">
      <c r="A3068" s="1">
        <v>41617</v>
      </c>
      <c r="B3068">
        <v>25.6767</v>
      </c>
      <c r="C3068" s="2">
        <f t="shared" si="47"/>
        <v>7.6901351874676619E-3</v>
      </c>
    </row>
    <row r="3069" spans="1:3" x14ac:dyDescent="0.2">
      <c r="A3069" s="1">
        <v>41614</v>
      </c>
      <c r="B3069">
        <v>25.48</v>
      </c>
      <c r="C3069" s="2">
        <f t="shared" si="47"/>
        <v>9.9908732762568602E-3</v>
      </c>
    </row>
    <row r="3070" spans="1:3" x14ac:dyDescent="0.2">
      <c r="A3070" s="1">
        <v>41613</v>
      </c>
      <c r="B3070">
        <v>25.226700000000001</v>
      </c>
      <c r="C3070" s="2">
        <f t="shared" si="47"/>
        <v>-2.6365810998080518E-3</v>
      </c>
    </row>
    <row r="3071" spans="1:3" x14ac:dyDescent="0.2">
      <c r="A3071" s="1">
        <v>41612</v>
      </c>
      <c r="B3071">
        <v>25.293299999999999</v>
      </c>
      <c r="C3071" s="2">
        <f t="shared" si="47"/>
        <v>4.358462104488172E-3</v>
      </c>
    </row>
    <row r="3072" spans="1:3" x14ac:dyDescent="0.2">
      <c r="A3072" s="1">
        <v>41611</v>
      </c>
      <c r="B3072">
        <v>25.183299999999999</v>
      </c>
      <c r="C3072" s="2">
        <f t="shared" si="47"/>
        <v>-7.9386190178981945E-4</v>
      </c>
    </row>
    <row r="3073" spans="1:3" x14ac:dyDescent="0.2">
      <c r="A3073" s="1">
        <v>41610</v>
      </c>
      <c r="B3073">
        <v>25.203299999999999</v>
      </c>
      <c r="C3073" s="2">
        <f t="shared" si="47"/>
        <v>-2.1199460753795259E-2</v>
      </c>
    </row>
    <row r="3074" spans="1:3" x14ac:dyDescent="0.2">
      <c r="A3074" s="1">
        <v>41607</v>
      </c>
      <c r="B3074">
        <v>25.743300000000001</v>
      </c>
      <c r="C3074" s="2">
        <f t="shared" si="47"/>
        <v>-1.0366255856629964E-3</v>
      </c>
    </row>
    <row r="3075" spans="1:3" x14ac:dyDescent="0.2">
      <c r="A3075" s="1">
        <v>41605</v>
      </c>
      <c r="B3075">
        <v>25.77</v>
      </c>
      <c r="C3075" s="2">
        <f t="shared" ref="C3075:C3138" si="48">+LN(B3075/B3076)</f>
        <v>-1.0355521057590087E-3</v>
      </c>
    </row>
    <row r="3076" spans="1:3" x14ac:dyDescent="0.2">
      <c r="A3076" s="1">
        <v>41604</v>
      </c>
      <c r="B3076">
        <v>25.796700000000001</v>
      </c>
      <c r="C3076" s="2">
        <f t="shared" si="48"/>
        <v>-3.8757136642831393E-4</v>
      </c>
    </row>
    <row r="3077" spans="1:3" x14ac:dyDescent="0.2">
      <c r="A3077" s="1">
        <v>41603</v>
      </c>
      <c r="B3077">
        <v>25.806699999999999</v>
      </c>
      <c r="C3077" s="2">
        <f t="shared" si="48"/>
        <v>1.0351506254195836E-3</v>
      </c>
    </row>
    <row r="3078" spans="1:3" x14ac:dyDescent="0.2">
      <c r="A3078" s="1">
        <v>41600</v>
      </c>
      <c r="B3078">
        <v>25.78</v>
      </c>
      <c r="C3078" s="2">
        <f t="shared" si="48"/>
        <v>1.1643704012962298E-3</v>
      </c>
    </row>
    <row r="3079" spans="1:3" x14ac:dyDescent="0.2">
      <c r="A3079" s="1">
        <v>41599</v>
      </c>
      <c r="B3079">
        <v>25.75</v>
      </c>
      <c r="C3079" s="2">
        <f t="shared" si="48"/>
        <v>7.9264773144307969E-3</v>
      </c>
    </row>
    <row r="3080" spans="1:3" x14ac:dyDescent="0.2">
      <c r="A3080" s="1">
        <v>41598</v>
      </c>
      <c r="B3080">
        <v>25.546700000000001</v>
      </c>
      <c r="C3080" s="2">
        <f t="shared" si="48"/>
        <v>-7.9264773144307396E-3</v>
      </c>
    </row>
    <row r="3081" spans="1:3" x14ac:dyDescent="0.2">
      <c r="A3081" s="1">
        <v>41597</v>
      </c>
      <c r="B3081">
        <v>25.75</v>
      </c>
      <c r="C3081" s="2">
        <f t="shared" si="48"/>
        <v>-8.2493752913216662E-3</v>
      </c>
    </row>
    <row r="3082" spans="1:3" x14ac:dyDescent="0.2">
      <c r="A3082" s="1">
        <v>41596</v>
      </c>
      <c r="B3082">
        <v>25.9633</v>
      </c>
      <c r="C3082" s="2">
        <f t="shared" si="48"/>
        <v>-1.250463634072296E-2</v>
      </c>
    </row>
    <row r="3083" spans="1:3" x14ac:dyDescent="0.2">
      <c r="A3083" s="1">
        <v>41593</v>
      </c>
      <c r="B3083">
        <v>26.29</v>
      </c>
      <c r="C3083" s="2">
        <f t="shared" si="48"/>
        <v>4.3189366252258266E-3</v>
      </c>
    </row>
    <row r="3084" spans="1:3" x14ac:dyDescent="0.2">
      <c r="A3084" s="1">
        <v>41592</v>
      </c>
      <c r="B3084">
        <v>26.1767</v>
      </c>
      <c r="C3084" s="2">
        <f t="shared" si="48"/>
        <v>-3.5579015808845714E-3</v>
      </c>
    </row>
    <row r="3085" spans="1:3" x14ac:dyDescent="0.2">
      <c r="A3085" s="1">
        <v>41591</v>
      </c>
      <c r="B3085">
        <v>26.27</v>
      </c>
      <c r="C3085" s="2">
        <f t="shared" si="48"/>
        <v>1.6376223958816508E-2</v>
      </c>
    </row>
    <row r="3086" spans="1:3" x14ac:dyDescent="0.2">
      <c r="A3086" s="1">
        <v>41590</v>
      </c>
      <c r="B3086">
        <v>25.843299999999999</v>
      </c>
      <c r="C3086" s="2">
        <f t="shared" si="48"/>
        <v>6.4674138472015572E-3</v>
      </c>
    </row>
    <row r="3087" spans="1:3" x14ac:dyDescent="0.2">
      <c r="A3087" s="1">
        <v>41589</v>
      </c>
      <c r="B3087">
        <v>25.6767</v>
      </c>
      <c r="C3087" s="2">
        <f t="shared" si="48"/>
        <v>-3.2389353447225288E-3</v>
      </c>
    </row>
    <row r="3088" spans="1:3" x14ac:dyDescent="0.2">
      <c r="A3088" s="1">
        <v>41586</v>
      </c>
      <c r="B3088">
        <v>25.76</v>
      </c>
      <c r="C3088" s="2">
        <f t="shared" si="48"/>
        <v>1.3156824860481413E-2</v>
      </c>
    </row>
    <row r="3089" spans="1:3" x14ac:dyDescent="0.2">
      <c r="A3089" s="1">
        <v>41585</v>
      </c>
      <c r="B3089">
        <v>25.423300000000001</v>
      </c>
      <c r="C3089" s="2">
        <f t="shared" si="48"/>
        <v>-2.6908880081620519E-2</v>
      </c>
    </row>
    <row r="3090" spans="1:3" x14ac:dyDescent="0.2">
      <c r="A3090" s="1">
        <v>41584</v>
      </c>
      <c r="B3090">
        <v>26.116700000000002</v>
      </c>
      <c r="C3090" s="2">
        <f t="shared" si="48"/>
        <v>-3.1844543097590949E-3</v>
      </c>
    </row>
    <row r="3091" spans="1:3" x14ac:dyDescent="0.2">
      <c r="A3091" s="1">
        <v>41583</v>
      </c>
      <c r="B3091">
        <v>26.2</v>
      </c>
      <c r="C3091" s="2">
        <f t="shared" si="48"/>
        <v>-8.8891777260321884E-4</v>
      </c>
    </row>
    <row r="3092" spans="1:3" x14ac:dyDescent="0.2">
      <c r="A3092" s="1">
        <v>41582</v>
      </c>
      <c r="B3092">
        <v>26.223299999999998</v>
      </c>
      <c r="C3092" s="2">
        <f t="shared" si="48"/>
        <v>1.12477289890813E-2</v>
      </c>
    </row>
    <row r="3093" spans="1:3" x14ac:dyDescent="0.2">
      <c r="A3093" s="1">
        <v>41579</v>
      </c>
      <c r="B3093">
        <v>25.93</v>
      </c>
      <c r="C3093" s="2">
        <f t="shared" si="48"/>
        <v>6.8378253122159983E-3</v>
      </c>
    </row>
    <row r="3094" spans="1:3" x14ac:dyDescent="0.2">
      <c r="A3094" s="1">
        <v>41578</v>
      </c>
      <c r="B3094">
        <v>25.753299999999999</v>
      </c>
      <c r="C3094" s="2">
        <f t="shared" si="48"/>
        <v>5.0606804438914537E-3</v>
      </c>
    </row>
    <row r="3095" spans="1:3" x14ac:dyDescent="0.2">
      <c r="A3095" s="1">
        <v>41577</v>
      </c>
      <c r="B3095">
        <v>25.6233</v>
      </c>
      <c r="C3095" s="2">
        <f t="shared" si="48"/>
        <v>-3.8951021657444604E-3</v>
      </c>
    </row>
    <row r="3096" spans="1:3" x14ac:dyDescent="0.2">
      <c r="A3096" s="1">
        <v>41576</v>
      </c>
      <c r="B3096">
        <v>25.723299999999998</v>
      </c>
      <c r="C3096" s="2">
        <f t="shared" si="48"/>
        <v>5.8483574950707693E-3</v>
      </c>
    </row>
    <row r="3097" spans="1:3" x14ac:dyDescent="0.2">
      <c r="A3097" s="1">
        <v>41575</v>
      </c>
      <c r="B3097">
        <v>25.5733</v>
      </c>
      <c r="C3097" s="2">
        <f t="shared" si="48"/>
        <v>-7.7902338796093269E-3</v>
      </c>
    </row>
    <row r="3098" spans="1:3" x14ac:dyDescent="0.2">
      <c r="A3098" s="1">
        <v>41572</v>
      </c>
      <c r="B3098">
        <v>25.773299999999999</v>
      </c>
      <c r="C3098" s="2">
        <f t="shared" si="48"/>
        <v>-9.1420071158117878E-3</v>
      </c>
    </row>
    <row r="3099" spans="1:3" x14ac:dyDescent="0.2">
      <c r="A3099" s="1">
        <v>41571</v>
      </c>
      <c r="B3099">
        <v>26.01</v>
      </c>
      <c r="C3099" s="2">
        <f t="shared" si="48"/>
        <v>9.7862920206914627E-3</v>
      </c>
    </row>
    <row r="3100" spans="1:3" x14ac:dyDescent="0.2">
      <c r="A3100" s="1">
        <v>41570</v>
      </c>
      <c r="B3100">
        <v>25.756699999999999</v>
      </c>
      <c r="C3100" s="2">
        <f t="shared" si="48"/>
        <v>-5.1623722440488943E-4</v>
      </c>
    </row>
    <row r="3101" spans="1:3" x14ac:dyDescent="0.2">
      <c r="A3101" s="1">
        <v>41569</v>
      </c>
      <c r="B3101">
        <v>25.77</v>
      </c>
      <c r="C3101" s="2">
        <f t="shared" si="48"/>
        <v>9.7485661876844897E-3</v>
      </c>
    </row>
    <row r="3102" spans="1:3" x14ac:dyDescent="0.2">
      <c r="A3102" s="1">
        <v>41568</v>
      </c>
      <c r="B3102">
        <v>25.52</v>
      </c>
      <c r="C3102" s="2">
        <f t="shared" si="48"/>
        <v>8.7885060330793376E-3</v>
      </c>
    </row>
    <row r="3103" spans="1:3" x14ac:dyDescent="0.2">
      <c r="A3103" s="1">
        <v>41565</v>
      </c>
      <c r="B3103">
        <v>25.296700000000001</v>
      </c>
      <c r="C3103" s="2">
        <f t="shared" si="48"/>
        <v>7.9375890528348546E-3</v>
      </c>
    </row>
    <row r="3104" spans="1:3" x14ac:dyDescent="0.2">
      <c r="A3104" s="1">
        <v>41564</v>
      </c>
      <c r="B3104">
        <v>25.096699999999998</v>
      </c>
      <c r="C3104" s="2">
        <f t="shared" si="48"/>
        <v>-9.3833724372071412E-3</v>
      </c>
    </row>
    <row r="3105" spans="1:3" x14ac:dyDescent="0.2">
      <c r="A3105" s="1">
        <v>41563</v>
      </c>
      <c r="B3105">
        <v>25.333300000000001</v>
      </c>
      <c r="C3105" s="2">
        <f t="shared" si="48"/>
        <v>-4.332711212651337E-3</v>
      </c>
    </row>
    <row r="3106" spans="1:3" x14ac:dyDescent="0.2">
      <c r="A3106" s="1">
        <v>41562</v>
      </c>
      <c r="B3106">
        <v>25.443300000000001</v>
      </c>
      <c r="C3106" s="2">
        <f t="shared" si="48"/>
        <v>-1.1333425984460934E-2</v>
      </c>
    </row>
    <row r="3107" spans="1:3" x14ac:dyDescent="0.2">
      <c r="A3107" s="1">
        <v>41561</v>
      </c>
      <c r="B3107">
        <v>25.7333</v>
      </c>
      <c r="C3107" s="2">
        <f t="shared" si="48"/>
        <v>1.7902850241844053E-2</v>
      </c>
    </row>
    <row r="3108" spans="1:3" x14ac:dyDescent="0.2">
      <c r="A3108" s="1">
        <v>41558</v>
      </c>
      <c r="B3108">
        <v>25.276700000000002</v>
      </c>
      <c r="C3108" s="2">
        <f t="shared" si="48"/>
        <v>5.5540931535097366E-3</v>
      </c>
    </row>
    <row r="3109" spans="1:3" x14ac:dyDescent="0.2">
      <c r="A3109" s="1">
        <v>41557</v>
      </c>
      <c r="B3109">
        <v>25.136700000000001</v>
      </c>
      <c r="C3109" s="2">
        <f t="shared" si="48"/>
        <v>2.6337677149178691E-2</v>
      </c>
    </row>
    <row r="3110" spans="1:3" x14ac:dyDescent="0.2">
      <c r="A3110" s="1">
        <v>41556</v>
      </c>
      <c r="B3110">
        <v>24.4833</v>
      </c>
      <c r="C3110" s="2">
        <f t="shared" si="48"/>
        <v>-1.4733694463218623E-2</v>
      </c>
    </row>
    <row r="3111" spans="1:3" x14ac:dyDescent="0.2">
      <c r="A3111" s="1">
        <v>41555</v>
      </c>
      <c r="B3111">
        <v>24.846699999999998</v>
      </c>
      <c r="C3111" s="2">
        <f t="shared" si="48"/>
        <v>-2.5443823304086787E-3</v>
      </c>
    </row>
    <row r="3112" spans="1:3" x14ac:dyDescent="0.2">
      <c r="A3112" s="1">
        <v>41554</v>
      </c>
      <c r="B3112">
        <v>24.91</v>
      </c>
      <c r="C3112" s="2">
        <f t="shared" si="48"/>
        <v>-1.4083420445586844E-2</v>
      </c>
    </row>
    <row r="3113" spans="1:3" x14ac:dyDescent="0.2">
      <c r="A3113" s="1">
        <v>41551</v>
      </c>
      <c r="B3113">
        <v>25.263300000000001</v>
      </c>
      <c r="C3113" s="2">
        <f t="shared" si="48"/>
        <v>1.0608933564242E-2</v>
      </c>
    </row>
    <row r="3114" spans="1:3" x14ac:dyDescent="0.2">
      <c r="A3114" s="1">
        <v>41550</v>
      </c>
      <c r="B3114">
        <v>24.996700000000001</v>
      </c>
      <c r="C3114" s="2">
        <f t="shared" si="48"/>
        <v>-5.7163870066673254E-3</v>
      </c>
    </row>
    <row r="3115" spans="1:3" x14ac:dyDescent="0.2">
      <c r="A3115" s="1">
        <v>41549</v>
      </c>
      <c r="B3115">
        <v>25.14</v>
      </c>
      <c r="C3115" s="2">
        <f t="shared" si="48"/>
        <v>1.7238397714264809E-3</v>
      </c>
    </row>
    <row r="3116" spans="1:3" x14ac:dyDescent="0.2">
      <c r="A3116" s="1">
        <v>41548</v>
      </c>
      <c r="B3116">
        <v>25.096699999999998</v>
      </c>
      <c r="C3116" s="2">
        <f t="shared" si="48"/>
        <v>1.6471726317680967E-2</v>
      </c>
    </row>
    <row r="3117" spans="1:3" x14ac:dyDescent="0.2">
      <c r="A3117" s="1">
        <v>41547</v>
      </c>
      <c r="B3117">
        <v>24.686699999999998</v>
      </c>
      <c r="C3117" s="2">
        <f t="shared" si="48"/>
        <v>8.951627723741775E-3</v>
      </c>
    </row>
    <row r="3118" spans="1:3" x14ac:dyDescent="0.2">
      <c r="A3118" s="1">
        <v>41544</v>
      </c>
      <c r="B3118">
        <v>24.466699999999999</v>
      </c>
      <c r="C3118" s="2">
        <f t="shared" si="48"/>
        <v>-6.7861767559055809E-3</v>
      </c>
    </row>
    <row r="3119" spans="1:3" x14ac:dyDescent="0.2">
      <c r="A3119" s="1">
        <v>41543</v>
      </c>
      <c r="B3119">
        <v>24.633299999999998</v>
      </c>
      <c r="C3119" s="2">
        <f t="shared" si="48"/>
        <v>1.3898593941057198E-2</v>
      </c>
    </row>
    <row r="3120" spans="1:3" x14ac:dyDescent="0.2">
      <c r="A3120" s="1">
        <v>41542</v>
      </c>
      <c r="B3120">
        <v>24.293299999999999</v>
      </c>
      <c r="C3120" s="2">
        <f t="shared" si="48"/>
        <v>-4.6570926060107345E-3</v>
      </c>
    </row>
    <row r="3121" spans="1:3" x14ac:dyDescent="0.2">
      <c r="A3121" s="1">
        <v>41541</v>
      </c>
      <c r="B3121">
        <v>24.406700000000001</v>
      </c>
      <c r="C3121" s="2">
        <f t="shared" si="48"/>
        <v>6.8535235689977806E-3</v>
      </c>
    </row>
    <row r="3122" spans="1:3" x14ac:dyDescent="0.2">
      <c r="A3122" s="1">
        <v>41540</v>
      </c>
      <c r="B3122">
        <v>24.24</v>
      </c>
      <c r="C3122" s="2">
        <f t="shared" si="48"/>
        <v>-1.0125951806424428E-2</v>
      </c>
    </row>
    <row r="3123" spans="1:3" x14ac:dyDescent="0.2">
      <c r="A3123" s="1">
        <v>41537</v>
      </c>
      <c r="B3123">
        <v>24.486699999999999</v>
      </c>
      <c r="C3123" s="2">
        <f t="shared" si="48"/>
        <v>-5.5630361345575001E-3</v>
      </c>
    </row>
    <row r="3124" spans="1:3" x14ac:dyDescent="0.2">
      <c r="A3124" s="1">
        <v>41536</v>
      </c>
      <c r="B3124">
        <v>24.6233</v>
      </c>
      <c r="C3124" s="2">
        <f t="shared" si="48"/>
        <v>-5.4405198256294901E-4</v>
      </c>
    </row>
    <row r="3125" spans="1:3" x14ac:dyDescent="0.2">
      <c r="A3125" s="1">
        <v>41535</v>
      </c>
      <c r="B3125">
        <v>24.636700000000001</v>
      </c>
      <c r="C3125" s="2">
        <f t="shared" si="48"/>
        <v>1.2391418508329042E-2</v>
      </c>
    </row>
    <row r="3126" spans="1:3" x14ac:dyDescent="0.2">
      <c r="A3126" s="1">
        <v>41534</v>
      </c>
      <c r="B3126">
        <v>24.333300000000001</v>
      </c>
      <c r="C3126" s="2">
        <f t="shared" si="48"/>
        <v>3.5652569671240641E-3</v>
      </c>
    </row>
    <row r="3127" spans="1:3" x14ac:dyDescent="0.2">
      <c r="A3127" s="1">
        <v>41533</v>
      </c>
      <c r="B3127">
        <v>24.246700000000001</v>
      </c>
      <c r="C3127" s="2">
        <f t="shared" si="48"/>
        <v>5.9317650659980511E-3</v>
      </c>
    </row>
    <row r="3128" spans="1:3" x14ac:dyDescent="0.2">
      <c r="A3128" s="1">
        <v>41530</v>
      </c>
      <c r="B3128">
        <v>24.103300000000001</v>
      </c>
      <c r="C3128" s="2">
        <f t="shared" si="48"/>
        <v>-5.5578599522755818E-4</v>
      </c>
    </row>
    <row r="3129" spans="1:3" x14ac:dyDescent="0.2">
      <c r="A3129" s="1">
        <v>41529</v>
      </c>
      <c r="B3129">
        <v>24.116700000000002</v>
      </c>
      <c r="C3129" s="2">
        <f t="shared" si="48"/>
        <v>-4.8231737761645181E-3</v>
      </c>
    </row>
    <row r="3130" spans="1:3" x14ac:dyDescent="0.2">
      <c r="A3130" s="1">
        <v>41528</v>
      </c>
      <c r="B3130">
        <v>24.2333</v>
      </c>
      <c r="C3130" s="2">
        <f t="shared" si="48"/>
        <v>-6.5807840738403411E-3</v>
      </c>
    </row>
    <row r="3131" spans="1:3" x14ac:dyDescent="0.2">
      <c r="A3131" s="1">
        <v>41527</v>
      </c>
      <c r="B3131">
        <v>24.3933</v>
      </c>
      <c r="C3131" s="2">
        <f t="shared" si="48"/>
        <v>1.7505455982147023E-2</v>
      </c>
    </row>
    <row r="3132" spans="1:3" x14ac:dyDescent="0.2">
      <c r="A3132" s="1">
        <v>41526</v>
      </c>
      <c r="B3132">
        <v>23.97</v>
      </c>
      <c r="C3132" s="2">
        <f t="shared" si="48"/>
        <v>1.14672505063958E-2</v>
      </c>
    </row>
    <row r="3133" spans="1:3" x14ac:dyDescent="0.2">
      <c r="A3133" s="1">
        <v>41523</v>
      </c>
      <c r="B3133">
        <v>23.6967</v>
      </c>
      <c r="C3133" s="2">
        <f t="shared" si="48"/>
        <v>-7.0027423237143435E-4</v>
      </c>
    </row>
    <row r="3134" spans="1:3" x14ac:dyDescent="0.2">
      <c r="A3134" s="1">
        <v>41522</v>
      </c>
      <c r="B3134">
        <v>23.7133</v>
      </c>
      <c r="C3134" s="2">
        <f t="shared" si="48"/>
        <v>8.3252651081160891E-3</v>
      </c>
    </row>
    <row r="3135" spans="1:3" x14ac:dyDescent="0.2">
      <c r="A3135" s="1">
        <v>41521</v>
      </c>
      <c r="B3135">
        <v>23.5167</v>
      </c>
      <c r="C3135" s="2">
        <f t="shared" si="48"/>
        <v>1.8021056884315365E-2</v>
      </c>
    </row>
    <row r="3136" spans="1:3" x14ac:dyDescent="0.2">
      <c r="A3136" s="1">
        <v>41520</v>
      </c>
      <c r="B3136">
        <v>23.096699999999998</v>
      </c>
      <c r="C3136" s="2">
        <f t="shared" si="48"/>
        <v>-2.8793794212744303E-3</v>
      </c>
    </row>
    <row r="3137" spans="1:3" x14ac:dyDescent="0.2">
      <c r="A3137" s="1">
        <v>41516</v>
      </c>
      <c r="B3137">
        <v>23.1633</v>
      </c>
      <c r="C3137" s="2">
        <f t="shared" si="48"/>
        <v>-1.5281993429314567E-2</v>
      </c>
    </row>
    <row r="3138" spans="1:3" x14ac:dyDescent="0.2">
      <c r="A3138" s="1">
        <v>41515</v>
      </c>
      <c r="B3138">
        <v>23.52</v>
      </c>
      <c r="C3138" s="2">
        <f t="shared" si="48"/>
        <v>-8.4997880170451792E-4</v>
      </c>
    </row>
    <row r="3139" spans="1:3" x14ac:dyDescent="0.2">
      <c r="A3139" s="1">
        <v>41514</v>
      </c>
      <c r="B3139">
        <v>23.54</v>
      </c>
      <c r="C3139" s="2">
        <f t="shared" ref="C3139:C3202" si="49">+LN(B3139/B3140)</f>
        <v>7.1067565748635523E-3</v>
      </c>
    </row>
    <row r="3140" spans="1:3" x14ac:dyDescent="0.2">
      <c r="A3140" s="1">
        <v>41513</v>
      </c>
      <c r="B3140">
        <v>23.3733</v>
      </c>
      <c r="C3140" s="2">
        <f t="shared" si="49"/>
        <v>-2.7292471394570385E-2</v>
      </c>
    </row>
    <row r="3141" spans="1:3" x14ac:dyDescent="0.2">
      <c r="A3141" s="1">
        <v>41512</v>
      </c>
      <c r="B3141">
        <v>24.02</v>
      </c>
      <c r="C3141" s="2">
        <f t="shared" si="49"/>
        <v>-4.8466871045490627E-3</v>
      </c>
    </row>
    <row r="3142" spans="1:3" x14ac:dyDescent="0.2">
      <c r="A3142" s="1">
        <v>41509</v>
      </c>
      <c r="B3142">
        <v>24.136700000000001</v>
      </c>
      <c r="C3142" s="2">
        <f t="shared" si="49"/>
        <v>-6.0553675321790837E-3</v>
      </c>
    </row>
    <row r="3143" spans="1:3" x14ac:dyDescent="0.2">
      <c r="A3143" s="1">
        <v>41508</v>
      </c>
      <c r="B3143">
        <v>24.283300000000001</v>
      </c>
      <c r="C3143" s="2">
        <f t="shared" si="49"/>
        <v>1.4518076661126969E-2</v>
      </c>
    </row>
    <row r="3144" spans="1:3" x14ac:dyDescent="0.2">
      <c r="A3144" s="1">
        <v>41507</v>
      </c>
      <c r="B3144">
        <v>23.933299999999999</v>
      </c>
      <c r="C3144" s="2">
        <f t="shared" si="49"/>
        <v>-4.1774061422175803E-4</v>
      </c>
    </row>
    <row r="3145" spans="1:3" x14ac:dyDescent="0.2">
      <c r="A3145" s="1">
        <v>41506</v>
      </c>
      <c r="B3145">
        <v>23.943300000000001</v>
      </c>
      <c r="C3145" s="2">
        <f t="shared" si="49"/>
        <v>1.1057725225855427E-2</v>
      </c>
    </row>
    <row r="3146" spans="1:3" x14ac:dyDescent="0.2">
      <c r="A3146" s="1">
        <v>41505</v>
      </c>
      <c r="B3146">
        <v>23.68</v>
      </c>
      <c r="C3146" s="2">
        <f t="shared" si="49"/>
        <v>-7.2917625268962586E-3</v>
      </c>
    </row>
    <row r="3147" spans="1:3" x14ac:dyDescent="0.2">
      <c r="A3147" s="1">
        <v>41502</v>
      </c>
      <c r="B3147">
        <v>23.853300000000001</v>
      </c>
      <c r="C3147" s="2">
        <f t="shared" si="49"/>
        <v>9.4054813438847439E-3</v>
      </c>
    </row>
    <row r="3148" spans="1:3" x14ac:dyDescent="0.2">
      <c r="A3148" s="1">
        <v>41501</v>
      </c>
      <c r="B3148">
        <v>23.63</v>
      </c>
      <c r="C3148" s="2">
        <f t="shared" si="49"/>
        <v>-2.8506434522813626E-2</v>
      </c>
    </row>
    <row r="3149" spans="1:3" x14ac:dyDescent="0.2">
      <c r="A3149" s="1">
        <v>41500</v>
      </c>
      <c r="B3149">
        <v>24.313300000000002</v>
      </c>
      <c r="C3149" s="2">
        <f t="shared" si="49"/>
        <v>2.7430000724247123E-3</v>
      </c>
    </row>
    <row r="3150" spans="1:3" x14ac:dyDescent="0.2">
      <c r="A3150" s="1">
        <v>41499</v>
      </c>
      <c r="B3150">
        <v>24.246700000000001</v>
      </c>
      <c r="C3150" s="2">
        <f t="shared" si="49"/>
        <v>6.0686851525961257E-3</v>
      </c>
    </row>
    <row r="3151" spans="1:3" x14ac:dyDescent="0.2">
      <c r="A3151" s="1">
        <v>41498</v>
      </c>
      <c r="B3151">
        <v>24.1</v>
      </c>
      <c r="C3151" s="2">
        <f t="shared" si="49"/>
        <v>2.7714718373294729E-3</v>
      </c>
    </row>
    <row r="3152" spans="1:3" x14ac:dyDescent="0.2">
      <c r="A3152" s="1">
        <v>41495</v>
      </c>
      <c r="B3152">
        <v>24.033300000000001</v>
      </c>
      <c r="C3152" s="2">
        <f t="shared" si="49"/>
        <v>5.6999945688962442E-3</v>
      </c>
    </row>
    <row r="3153" spans="1:3" x14ac:dyDescent="0.2">
      <c r="A3153" s="1">
        <v>41494</v>
      </c>
      <c r="B3153">
        <v>23.896699999999999</v>
      </c>
      <c r="C3153" s="2">
        <f t="shared" si="49"/>
        <v>8.3728607000606314E-4</v>
      </c>
    </row>
    <row r="3154" spans="1:3" x14ac:dyDescent="0.2">
      <c r="A3154" s="1">
        <v>41493</v>
      </c>
      <c r="B3154">
        <v>23.8767</v>
      </c>
      <c r="C3154" s="2">
        <f t="shared" si="49"/>
        <v>-1.2345630267261841E-2</v>
      </c>
    </row>
    <row r="3155" spans="1:3" x14ac:dyDescent="0.2">
      <c r="A3155" s="1">
        <v>41492</v>
      </c>
      <c r="B3155">
        <v>24.173300000000001</v>
      </c>
      <c r="C3155" s="2">
        <f t="shared" si="49"/>
        <v>-1.600474078600507E-2</v>
      </c>
    </row>
    <row r="3156" spans="1:3" x14ac:dyDescent="0.2">
      <c r="A3156" s="1">
        <v>41491</v>
      </c>
      <c r="B3156">
        <v>24.563300000000002</v>
      </c>
      <c r="C3156" s="2">
        <f t="shared" si="49"/>
        <v>-1.7653045056179283E-3</v>
      </c>
    </row>
    <row r="3157" spans="1:3" x14ac:dyDescent="0.2">
      <c r="A3157" s="1">
        <v>41488</v>
      </c>
      <c r="B3157">
        <v>24.6067</v>
      </c>
      <c r="C3157" s="2">
        <f t="shared" si="49"/>
        <v>1.4925770461747122E-3</v>
      </c>
    </row>
    <row r="3158" spans="1:3" x14ac:dyDescent="0.2">
      <c r="A3158" s="1">
        <v>41487</v>
      </c>
      <c r="B3158">
        <v>24.57</v>
      </c>
      <c r="C3158" s="2">
        <f t="shared" si="49"/>
        <v>5.4791039442569238E-2</v>
      </c>
    </row>
    <row r="3159" spans="1:3" x14ac:dyDescent="0.2">
      <c r="A3159" s="1">
        <v>41486</v>
      </c>
      <c r="B3159">
        <v>23.26</v>
      </c>
      <c r="C3159" s="2">
        <f t="shared" si="49"/>
        <v>2.0558114668539594E-2</v>
      </c>
    </row>
    <row r="3160" spans="1:3" x14ac:dyDescent="0.2">
      <c r="A3160" s="1">
        <v>41485</v>
      </c>
      <c r="B3160">
        <v>22.7867</v>
      </c>
      <c r="C3160" s="2">
        <f t="shared" si="49"/>
        <v>3.0766955971926837E-3</v>
      </c>
    </row>
    <row r="3161" spans="1:3" x14ac:dyDescent="0.2">
      <c r="A3161" s="1">
        <v>41484</v>
      </c>
      <c r="B3161">
        <v>22.716699999999999</v>
      </c>
      <c r="C3161" s="2">
        <f t="shared" si="49"/>
        <v>-1.1088679876220859E-2</v>
      </c>
    </row>
    <row r="3162" spans="1:3" x14ac:dyDescent="0.2">
      <c r="A3162" s="1">
        <v>41481</v>
      </c>
      <c r="B3162">
        <v>22.97</v>
      </c>
      <c r="C3162" s="2">
        <f t="shared" si="49"/>
        <v>1.3069049997822019E-3</v>
      </c>
    </row>
    <row r="3163" spans="1:3" x14ac:dyDescent="0.2">
      <c r="A3163" s="1">
        <v>41480</v>
      </c>
      <c r="B3163">
        <v>22.94</v>
      </c>
      <c r="C3163" s="2">
        <f t="shared" si="49"/>
        <v>1.0517187213867678E-2</v>
      </c>
    </row>
    <row r="3164" spans="1:3" x14ac:dyDescent="0.2">
      <c r="A3164" s="1">
        <v>41479</v>
      </c>
      <c r="B3164">
        <v>22.7</v>
      </c>
      <c r="C3164" s="2">
        <f t="shared" si="49"/>
        <v>-9.9372457586172011E-3</v>
      </c>
    </row>
    <row r="3165" spans="1:3" x14ac:dyDescent="0.2">
      <c r="A3165" s="1">
        <v>41478</v>
      </c>
      <c r="B3165">
        <v>22.9267</v>
      </c>
      <c r="C3165" s="2">
        <f t="shared" si="49"/>
        <v>9.4968141285069595E-3</v>
      </c>
    </row>
    <row r="3166" spans="1:3" x14ac:dyDescent="0.2">
      <c r="A3166" s="1">
        <v>41477</v>
      </c>
      <c r="B3166">
        <v>22.71</v>
      </c>
      <c r="C3166" s="2">
        <f t="shared" si="49"/>
        <v>3.6747312326576103E-3</v>
      </c>
    </row>
    <row r="3167" spans="1:3" x14ac:dyDescent="0.2">
      <c r="A3167" s="1">
        <v>41474</v>
      </c>
      <c r="B3167">
        <v>22.6267</v>
      </c>
      <c r="C3167" s="2">
        <f t="shared" si="49"/>
        <v>-2.3528539747418122E-3</v>
      </c>
    </row>
    <row r="3168" spans="1:3" x14ac:dyDescent="0.2">
      <c r="A3168" s="1">
        <v>41473</v>
      </c>
      <c r="B3168">
        <v>22.68</v>
      </c>
      <c r="C3168" s="2">
        <f t="shared" si="49"/>
        <v>3.9761483796394168E-3</v>
      </c>
    </row>
    <row r="3169" spans="1:3" x14ac:dyDescent="0.2">
      <c r="A3169" s="1">
        <v>41472</v>
      </c>
      <c r="B3169">
        <v>22.59</v>
      </c>
      <c r="C3169" s="2">
        <f t="shared" si="49"/>
        <v>2.2158218682817813E-3</v>
      </c>
    </row>
    <row r="3170" spans="1:3" x14ac:dyDescent="0.2">
      <c r="A3170" s="1">
        <v>41471</v>
      </c>
      <c r="B3170">
        <v>22.54</v>
      </c>
      <c r="C3170" s="2">
        <f t="shared" si="49"/>
        <v>-4.5724938187510266E-3</v>
      </c>
    </row>
    <row r="3171" spans="1:3" x14ac:dyDescent="0.2">
      <c r="A3171" s="1">
        <v>41470</v>
      </c>
      <c r="B3171">
        <v>22.6433</v>
      </c>
      <c r="C3171" s="2">
        <f t="shared" si="49"/>
        <v>-2.3555370397471175E-3</v>
      </c>
    </row>
    <row r="3172" spans="1:3" x14ac:dyDescent="0.2">
      <c r="A3172" s="1">
        <v>41467</v>
      </c>
      <c r="B3172">
        <v>22.6967</v>
      </c>
      <c r="C3172" s="2">
        <f t="shared" si="49"/>
        <v>-2.2005404602902009E-3</v>
      </c>
    </row>
    <row r="3173" spans="1:3" x14ac:dyDescent="0.2">
      <c r="A3173" s="1">
        <v>41466</v>
      </c>
      <c r="B3173">
        <v>22.746700000000001</v>
      </c>
      <c r="C3173" s="2">
        <f t="shared" si="49"/>
        <v>1.6551796309578891E-2</v>
      </c>
    </row>
    <row r="3174" spans="1:3" x14ac:dyDescent="0.2">
      <c r="A3174" s="1">
        <v>41465</v>
      </c>
      <c r="B3174">
        <v>22.3733</v>
      </c>
      <c r="C3174" s="2">
        <f t="shared" si="49"/>
        <v>1.153530435286327E-2</v>
      </c>
    </row>
    <row r="3175" spans="1:3" x14ac:dyDescent="0.2">
      <c r="A3175" s="1">
        <v>41464</v>
      </c>
      <c r="B3175">
        <v>22.116700000000002</v>
      </c>
      <c r="C3175" s="2">
        <f t="shared" si="49"/>
        <v>2.5182520835371609E-2</v>
      </c>
    </row>
    <row r="3176" spans="1:3" x14ac:dyDescent="0.2">
      <c r="A3176" s="1">
        <v>41463</v>
      </c>
      <c r="B3176">
        <v>21.566700000000001</v>
      </c>
      <c r="C3176" s="2">
        <f t="shared" si="49"/>
        <v>1.0855950961777554E-3</v>
      </c>
    </row>
    <row r="3177" spans="1:3" x14ac:dyDescent="0.2">
      <c r="A3177" s="1">
        <v>41460</v>
      </c>
      <c r="B3177">
        <v>21.543299999999999</v>
      </c>
      <c r="C3177" s="2">
        <f t="shared" si="49"/>
        <v>1.6063681658460553E-2</v>
      </c>
    </row>
    <row r="3178" spans="1:3" x14ac:dyDescent="0.2">
      <c r="A3178" s="1">
        <v>41458</v>
      </c>
      <c r="B3178">
        <v>21.2</v>
      </c>
      <c r="C3178" s="2">
        <f t="shared" si="49"/>
        <v>6.2755536224757711E-4</v>
      </c>
    </row>
    <row r="3179" spans="1:3" x14ac:dyDescent="0.2">
      <c r="A3179" s="1">
        <v>41457</v>
      </c>
      <c r="B3179">
        <v>21.186699999999998</v>
      </c>
      <c r="C3179" s="2">
        <f t="shared" si="49"/>
        <v>-5.3334463996603815E-3</v>
      </c>
    </row>
    <row r="3180" spans="1:3" x14ac:dyDescent="0.2">
      <c r="A3180" s="1">
        <v>41456</v>
      </c>
      <c r="B3180">
        <v>21.3</v>
      </c>
      <c r="C3180" s="2">
        <f t="shared" si="49"/>
        <v>1.0856844899281725E-2</v>
      </c>
    </row>
    <row r="3181" spans="1:3" x14ac:dyDescent="0.2">
      <c r="A3181" s="1">
        <v>41453</v>
      </c>
      <c r="B3181">
        <v>21.07</v>
      </c>
      <c r="C3181" s="2">
        <f t="shared" si="49"/>
        <v>6.1890223737068204E-3</v>
      </c>
    </row>
    <row r="3182" spans="1:3" x14ac:dyDescent="0.2">
      <c r="A3182" s="1">
        <v>41452</v>
      </c>
      <c r="B3182">
        <v>20.94</v>
      </c>
      <c r="C3182" s="2">
        <f t="shared" si="49"/>
        <v>1.7341475036487392E-2</v>
      </c>
    </row>
    <row r="3183" spans="1:3" x14ac:dyDescent="0.2">
      <c r="A3183" s="1">
        <v>41451</v>
      </c>
      <c r="B3183">
        <v>20.58</v>
      </c>
      <c r="C3183" s="2">
        <f t="shared" si="49"/>
        <v>3.0805417495008485E-3</v>
      </c>
    </row>
    <row r="3184" spans="1:3" x14ac:dyDescent="0.2">
      <c r="A3184" s="1">
        <v>41450</v>
      </c>
      <c r="B3184">
        <v>20.5167</v>
      </c>
      <c r="C3184" s="2">
        <f t="shared" si="49"/>
        <v>1.0455754244007671E-2</v>
      </c>
    </row>
    <row r="3185" spans="1:3" x14ac:dyDescent="0.2">
      <c r="A3185" s="1">
        <v>41449</v>
      </c>
      <c r="B3185">
        <v>20.3033</v>
      </c>
      <c r="C3185" s="2">
        <f t="shared" si="49"/>
        <v>-1.3050269252470773E-2</v>
      </c>
    </row>
    <row r="3186" spans="1:3" x14ac:dyDescent="0.2">
      <c r="A3186" s="1">
        <v>41446</v>
      </c>
      <c r="B3186">
        <v>20.57</v>
      </c>
      <c r="C3186" s="2">
        <f t="shared" si="49"/>
        <v>-1.2718964408100403E-2</v>
      </c>
    </row>
    <row r="3187" spans="1:3" x14ac:dyDescent="0.2">
      <c r="A3187" s="1">
        <v>41445</v>
      </c>
      <c r="B3187">
        <v>20.833300000000001</v>
      </c>
      <c r="C3187" s="2">
        <f t="shared" si="49"/>
        <v>-2.1684810832421866E-2</v>
      </c>
    </row>
    <row r="3188" spans="1:3" x14ac:dyDescent="0.2">
      <c r="A3188" s="1">
        <v>41444</v>
      </c>
      <c r="B3188">
        <v>21.29</v>
      </c>
      <c r="C3188" s="2">
        <f t="shared" si="49"/>
        <v>-7.6410007893781074E-3</v>
      </c>
    </row>
    <row r="3189" spans="1:3" x14ac:dyDescent="0.2">
      <c r="A3189" s="1">
        <v>41443</v>
      </c>
      <c r="B3189">
        <v>21.453299999999999</v>
      </c>
      <c r="C3189" s="2">
        <f t="shared" si="49"/>
        <v>1.4555409259381796E-2</v>
      </c>
    </row>
    <row r="3190" spans="1:3" x14ac:dyDescent="0.2">
      <c r="A3190" s="1">
        <v>41442</v>
      </c>
      <c r="B3190">
        <v>21.1433</v>
      </c>
      <c r="C3190" s="2">
        <f t="shared" si="49"/>
        <v>6.6435022004639709E-3</v>
      </c>
    </row>
    <row r="3191" spans="1:3" x14ac:dyDescent="0.2">
      <c r="A3191" s="1">
        <v>41439</v>
      </c>
      <c r="B3191">
        <v>21.003299999999999</v>
      </c>
      <c r="C3191" s="2">
        <f t="shared" si="49"/>
        <v>-5.6971283973805461E-3</v>
      </c>
    </row>
    <row r="3192" spans="1:3" x14ac:dyDescent="0.2">
      <c r="A3192" s="1">
        <v>41438</v>
      </c>
      <c r="B3192">
        <v>21.1233</v>
      </c>
      <c r="C3192" s="2">
        <f t="shared" si="49"/>
        <v>1.0627537661535631E-2</v>
      </c>
    </row>
    <row r="3193" spans="1:3" x14ac:dyDescent="0.2">
      <c r="A3193" s="1">
        <v>41437</v>
      </c>
      <c r="B3193">
        <v>20.9</v>
      </c>
      <c r="C3193" s="2">
        <f t="shared" si="49"/>
        <v>-1.3308181202495129E-2</v>
      </c>
    </row>
    <row r="3194" spans="1:3" x14ac:dyDescent="0.2">
      <c r="A3194" s="1">
        <v>41436</v>
      </c>
      <c r="B3194">
        <v>21.18</v>
      </c>
      <c r="C3194" s="2">
        <f t="shared" si="49"/>
        <v>-9.7118933191656324E-3</v>
      </c>
    </row>
    <row r="3195" spans="1:3" x14ac:dyDescent="0.2">
      <c r="A3195" s="1">
        <v>41435</v>
      </c>
      <c r="B3195">
        <v>21.386700000000001</v>
      </c>
      <c r="C3195" s="2">
        <f t="shared" si="49"/>
        <v>-3.4215037101264266E-3</v>
      </c>
    </row>
    <row r="3196" spans="1:3" x14ac:dyDescent="0.2">
      <c r="A3196" s="1">
        <v>41432</v>
      </c>
      <c r="B3196">
        <v>21.46</v>
      </c>
      <c r="C3196" s="2">
        <f t="shared" si="49"/>
        <v>1.2977601800559865E-2</v>
      </c>
    </row>
    <row r="3197" spans="1:3" x14ac:dyDescent="0.2">
      <c r="A3197" s="1">
        <v>41431</v>
      </c>
      <c r="B3197">
        <v>21.183299999999999</v>
      </c>
      <c r="C3197" s="2">
        <f t="shared" si="49"/>
        <v>2.8364387696915515E-3</v>
      </c>
    </row>
    <row r="3198" spans="1:3" x14ac:dyDescent="0.2">
      <c r="A3198" s="1">
        <v>41430</v>
      </c>
      <c r="B3198">
        <v>21.1233</v>
      </c>
      <c r="C3198" s="2">
        <f t="shared" si="49"/>
        <v>-2.8625379610655279E-2</v>
      </c>
    </row>
    <row r="3199" spans="1:3" x14ac:dyDescent="0.2">
      <c r="A3199" s="1">
        <v>41429</v>
      </c>
      <c r="B3199">
        <v>21.736699999999999</v>
      </c>
      <c r="C3199" s="2">
        <f t="shared" si="49"/>
        <v>4.458622264675265E-3</v>
      </c>
    </row>
    <row r="3200" spans="1:3" x14ac:dyDescent="0.2">
      <c r="A3200" s="1">
        <v>41428</v>
      </c>
      <c r="B3200">
        <v>21.64</v>
      </c>
      <c r="C3200" s="2">
        <f t="shared" si="49"/>
        <v>7.267564852778039E-3</v>
      </c>
    </row>
    <row r="3201" spans="1:3" x14ac:dyDescent="0.2">
      <c r="A3201" s="1">
        <v>41425</v>
      </c>
      <c r="B3201">
        <v>21.4833</v>
      </c>
      <c r="C3201" s="2">
        <f t="shared" si="49"/>
        <v>3.263664818833533E-3</v>
      </c>
    </row>
    <row r="3202" spans="1:3" x14ac:dyDescent="0.2">
      <c r="A3202" s="1">
        <v>41424</v>
      </c>
      <c r="B3202">
        <v>21.4133</v>
      </c>
      <c r="C3202" s="2">
        <f t="shared" si="49"/>
        <v>1.8694864522285075E-2</v>
      </c>
    </row>
    <row r="3203" spans="1:3" x14ac:dyDescent="0.2">
      <c r="A3203" s="1">
        <v>41423</v>
      </c>
      <c r="B3203">
        <v>21.0167</v>
      </c>
      <c r="C3203" s="2">
        <f t="shared" ref="C3203:C3266" si="50">+LN(B3203/B3204)</f>
        <v>9.403296597561504E-3</v>
      </c>
    </row>
    <row r="3204" spans="1:3" x14ac:dyDescent="0.2">
      <c r="A3204" s="1">
        <v>41422</v>
      </c>
      <c r="B3204">
        <v>20.82</v>
      </c>
      <c r="C3204" s="2">
        <f t="shared" si="50"/>
        <v>2.3978770414239924E-2</v>
      </c>
    </row>
    <row r="3205" spans="1:3" x14ac:dyDescent="0.2">
      <c r="A3205" s="1">
        <v>41418</v>
      </c>
      <c r="B3205">
        <v>20.326699999999999</v>
      </c>
      <c r="C3205" s="2">
        <f t="shared" si="50"/>
        <v>-1.7989682905222488E-3</v>
      </c>
    </row>
    <row r="3206" spans="1:3" x14ac:dyDescent="0.2">
      <c r="A3206" s="1">
        <v>41417</v>
      </c>
      <c r="B3206">
        <v>20.363299999999999</v>
      </c>
      <c r="C3206" s="2">
        <f t="shared" si="50"/>
        <v>-1.042510663115869E-2</v>
      </c>
    </row>
    <row r="3207" spans="1:3" x14ac:dyDescent="0.2">
      <c r="A3207" s="1">
        <v>41416</v>
      </c>
      <c r="B3207">
        <v>20.576699999999999</v>
      </c>
      <c r="C3207" s="2">
        <f t="shared" si="50"/>
        <v>-2.1947528397484421E-2</v>
      </c>
    </row>
    <row r="3208" spans="1:3" x14ac:dyDescent="0.2">
      <c r="A3208" s="1">
        <v>41415</v>
      </c>
      <c r="B3208">
        <v>21.033300000000001</v>
      </c>
      <c r="C3208" s="2">
        <f t="shared" si="50"/>
        <v>4.1257800306100005E-3</v>
      </c>
    </row>
    <row r="3209" spans="1:3" x14ac:dyDescent="0.2">
      <c r="A3209" s="1">
        <v>41414</v>
      </c>
      <c r="B3209">
        <v>20.9467</v>
      </c>
      <c r="C3209" s="2">
        <f t="shared" si="50"/>
        <v>5.7452986869342137E-3</v>
      </c>
    </row>
    <row r="3210" spans="1:3" x14ac:dyDescent="0.2">
      <c r="A3210" s="1">
        <v>41411</v>
      </c>
      <c r="B3210">
        <v>20.826699999999999</v>
      </c>
      <c r="C3210" s="2">
        <f t="shared" si="50"/>
        <v>4.9771462552033316E-3</v>
      </c>
    </row>
    <row r="3211" spans="1:3" x14ac:dyDescent="0.2">
      <c r="A3211" s="1">
        <v>41410</v>
      </c>
      <c r="B3211">
        <v>20.723299999999998</v>
      </c>
      <c r="C3211" s="2">
        <f t="shared" si="50"/>
        <v>-8.055316823806179E-4</v>
      </c>
    </row>
    <row r="3212" spans="1:3" x14ac:dyDescent="0.2">
      <c r="A3212" s="1">
        <v>41409</v>
      </c>
      <c r="B3212">
        <v>20.74</v>
      </c>
      <c r="C3212" s="2">
        <f t="shared" si="50"/>
        <v>1.6068834027921613E-3</v>
      </c>
    </row>
    <row r="3213" spans="1:3" x14ac:dyDescent="0.2">
      <c r="A3213" s="1">
        <v>41408</v>
      </c>
      <c r="B3213">
        <v>20.706700000000001</v>
      </c>
      <c r="C3213" s="2">
        <f t="shared" si="50"/>
        <v>1.2146862206372065E-2</v>
      </c>
    </row>
    <row r="3214" spans="1:3" x14ac:dyDescent="0.2">
      <c r="A3214" s="1">
        <v>41407</v>
      </c>
      <c r="B3214">
        <v>20.456700000000001</v>
      </c>
      <c r="C3214" s="2">
        <f t="shared" si="50"/>
        <v>-6.495063847481131E-3</v>
      </c>
    </row>
    <row r="3215" spans="1:3" x14ac:dyDescent="0.2">
      <c r="A3215" s="1">
        <v>41404</v>
      </c>
      <c r="B3215">
        <v>20.59</v>
      </c>
      <c r="C3215" s="2">
        <f t="shared" si="50"/>
        <v>-1.6159835415578713E-3</v>
      </c>
    </row>
    <row r="3216" spans="1:3" x14ac:dyDescent="0.2">
      <c r="A3216" s="1">
        <v>41403</v>
      </c>
      <c r="B3216">
        <v>20.6233</v>
      </c>
      <c r="C3216" s="2">
        <f t="shared" si="50"/>
        <v>-2.1022046976509586E-3</v>
      </c>
    </row>
    <row r="3217" spans="1:3" x14ac:dyDescent="0.2">
      <c r="A3217" s="1">
        <v>41402</v>
      </c>
      <c r="B3217">
        <v>20.666699999999999</v>
      </c>
      <c r="C3217" s="2">
        <f t="shared" si="50"/>
        <v>-3.3813680372278229E-3</v>
      </c>
    </row>
    <row r="3218" spans="1:3" x14ac:dyDescent="0.2">
      <c r="A3218" s="1">
        <v>41401</v>
      </c>
      <c r="B3218">
        <v>20.736699999999999</v>
      </c>
      <c r="C3218" s="2">
        <f t="shared" si="50"/>
        <v>1.115341530053076E-2</v>
      </c>
    </row>
    <row r="3219" spans="1:3" x14ac:dyDescent="0.2">
      <c r="A3219" s="1">
        <v>41400</v>
      </c>
      <c r="B3219">
        <v>20.506699999999999</v>
      </c>
      <c r="C3219" s="2">
        <f t="shared" si="50"/>
        <v>1.4410858427474398E-2</v>
      </c>
    </row>
    <row r="3220" spans="1:3" x14ac:dyDescent="0.2">
      <c r="A3220" s="1">
        <v>41397</v>
      </c>
      <c r="B3220">
        <v>20.2133</v>
      </c>
      <c r="C3220" s="2">
        <f t="shared" si="50"/>
        <v>2.2848129263719898E-2</v>
      </c>
    </row>
    <row r="3221" spans="1:3" x14ac:dyDescent="0.2">
      <c r="A3221" s="1">
        <v>41396</v>
      </c>
      <c r="B3221">
        <v>19.756699999999999</v>
      </c>
      <c r="C3221" s="2">
        <f t="shared" si="50"/>
        <v>1.2222165008321632E-2</v>
      </c>
    </row>
    <row r="3222" spans="1:3" x14ac:dyDescent="0.2">
      <c r="A3222" s="1">
        <v>41395</v>
      </c>
      <c r="B3222">
        <v>19.5167</v>
      </c>
      <c r="C3222" s="2">
        <f t="shared" si="50"/>
        <v>-3.3257963991385524E-2</v>
      </c>
    </row>
    <row r="3223" spans="1:3" x14ac:dyDescent="0.2">
      <c r="A3223" s="1">
        <v>41394</v>
      </c>
      <c r="B3223">
        <v>20.1767</v>
      </c>
      <c r="C3223" s="2">
        <f t="shared" si="50"/>
        <v>1.3140623109342055E-2</v>
      </c>
    </row>
    <row r="3224" spans="1:3" x14ac:dyDescent="0.2">
      <c r="A3224" s="1">
        <v>41393</v>
      </c>
      <c r="B3224">
        <v>19.9133</v>
      </c>
      <c r="C3224" s="2">
        <f t="shared" si="50"/>
        <v>3.3501037368572086E-3</v>
      </c>
    </row>
    <row r="3225" spans="1:3" x14ac:dyDescent="0.2">
      <c r="A3225" s="1">
        <v>41390</v>
      </c>
      <c r="B3225">
        <v>19.846699999999998</v>
      </c>
      <c r="C3225" s="2">
        <f t="shared" si="50"/>
        <v>5.0398908418478874E-4</v>
      </c>
    </row>
    <row r="3226" spans="1:3" x14ac:dyDescent="0.2">
      <c r="A3226" s="1">
        <v>41389</v>
      </c>
      <c r="B3226">
        <v>19.8367</v>
      </c>
      <c r="C3226" s="2">
        <f t="shared" si="50"/>
        <v>5.7049589989923301E-2</v>
      </c>
    </row>
    <row r="3227" spans="1:3" x14ac:dyDescent="0.2">
      <c r="A3227" s="1">
        <v>41388</v>
      </c>
      <c r="B3227">
        <v>18.736699999999999</v>
      </c>
      <c r="C3227" s="2">
        <f t="shared" si="50"/>
        <v>9.2976541098270128E-3</v>
      </c>
    </row>
    <row r="3228" spans="1:3" x14ac:dyDescent="0.2">
      <c r="A3228" s="1">
        <v>41387</v>
      </c>
      <c r="B3228">
        <v>18.563300000000002</v>
      </c>
      <c r="C3228" s="2">
        <f t="shared" si="50"/>
        <v>1.3919400217037812E-2</v>
      </c>
    </row>
    <row r="3229" spans="1:3" x14ac:dyDescent="0.2">
      <c r="A3229" s="1">
        <v>41386</v>
      </c>
      <c r="B3229">
        <v>18.306699999999999</v>
      </c>
      <c r="C3229" s="2">
        <f t="shared" si="50"/>
        <v>6.3951205302704922E-3</v>
      </c>
    </row>
    <row r="3230" spans="1:3" x14ac:dyDescent="0.2">
      <c r="A3230" s="1">
        <v>41383</v>
      </c>
      <c r="B3230">
        <v>18.190000000000001</v>
      </c>
      <c r="C3230" s="2">
        <f t="shared" si="50"/>
        <v>4.7777504346138474E-3</v>
      </c>
    </row>
    <row r="3231" spans="1:3" x14ac:dyDescent="0.2">
      <c r="A3231" s="1">
        <v>41382</v>
      </c>
      <c r="B3231">
        <v>18.103300000000001</v>
      </c>
      <c r="C3231" s="2">
        <f t="shared" si="50"/>
        <v>-3.3088326306769692E-3</v>
      </c>
    </row>
    <row r="3232" spans="1:3" x14ac:dyDescent="0.2">
      <c r="A3232" s="1">
        <v>41381</v>
      </c>
      <c r="B3232">
        <v>18.1633</v>
      </c>
      <c r="C3232" s="2">
        <f t="shared" si="50"/>
        <v>-2.1427835099221946E-2</v>
      </c>
    </row>
    <row r="3233" spans="1:3" x14ac:dyDescent="0.2">
      <c r="A3233" s="1">
        <v>41380</v>
      </c>
      <c r="B3233">
        <v>18.556699999999999</v>
      </c>
      <c r="C3233" s="2">
        <f t="shared" si="50"/>
        <v>1.7762321134744435E-2</v>
      </c>
    </row>
    <row r="3234" spans="1:3" x14ac:dyDescent="0.2">
      <c r="A3234" s="1">
        <v>41379</v>
      </c>
      <c r="B3234">
        <v>18.23</v>
      </c>
      <c r="C3234" s="2">
        <f t="shared" si="50"/>
        <v>-4.9583935197735754E-2</v>
      </c>
    </row>
    <row r="3235" spans="1:3" x14ac:dyDescent="0.2">
      <c r="A3235" s="1">
        <v>41376</v>
      </c>
      <c r="B3235">
        <v>19.156700000000001</v>
      </c>
      <c r="C3235" s="2">
        <f t="shared" si="50"/>
        <v>-1.2965843382394938E-2</v>
      </c>
    </row>
    <row r="3236" spans="1:3" x14ac:dyDescent="0.2">
      <c r="A3236" s="1">
        <v>41375</v>
      </c>
      <c r="B3236">
        <v>19.406700000000001</v>
      </c>
      <c r="C3236" s="2">
        <f t="shared" si="50"/>
        <v>-8.5500906573640991E-4</v>
      </c>
    </row>
    <row r="3237" spans="1:3" x14ac:dyDescent="0.2">
      <c r="A3237" s="1">
        <v>41374</v>
      </c>
      <c r="B3237">
        <v>19.423300000000001</v>
      </c>
      <c r="C3237" s="2">
        <f t="shared" si="50"/>
        <v>2.220809646537391E-2</v>
      </c>
    </row>
    <row r="3238" spans="1:3" x14ac:dyDescent="0.2">
      <c r="A3238" s="1">
        <v>41373</v>
      </c>
      <c r="B3238">
        <v>18.996700000000001</v>
      </c>
      <c r="C3238" s="2">
        <f t="shared" si="50"/>
        <v>8.4581853006872893E-3</v>
      </c>
    </row>
    <row r="3239" spans="1:3" x14ac:dyDescent="0.2">
      <c r="A3239" s="1">
        <v>41372</v>
      </c>
      <c r="B3239">
        <v>18.8367</v>
      </c>
      <c r="C3239" s="2">
        <f t="shared" si="50"/>
        <v>1.2430280484983668E-3</v>
      </c>
    </row>
    <row r="3240" spans="1:3" x14ac:dyDescent="0.2">
      <c r="A3240" s="1">
        <v>41369</v>
      </c>
      <c r="B3240">
        <v>18.813300000000002</v>
      </c>
      <c r="C3240" s="2">
        <f t="shared" si="50"/>
        <v>-5.301311764066099E-3</v>
      </c>
    </row>
    <row r="3241" spans="1:3" x14ac:dyDescent="0.2">
      <c r="A3241" s="1">
        <v>41368</v>
      </c>
      <c r="B3241">
        <v>18.9133</v>
      </c>
      <c r="C3241" s="2">
        <f t="shared" si="50"/>
        <v>3.8831091377285448E-3</v>
      </c>
    </row>
    <row r="3242" spans="1:3" x14ac:dyDescent="0.2">
      <c r="A3242" s="1">
        <v>41367</v>
      </c>
      <c r="B3242">
        <v>18.84</v>
      </c>
      <c r="C3242" s="2">
        <f t="shared" si="50"/>
        <v>-1.1436476627168011E-2</v>
      </c>
    </row>
    <row r="3243" spans="1:3" x14ac:dyDescent="0.2">
      <c r="A3243" s="1">
        <v>41366</v>
      </c>
      <c r="B3243">
        <v>19.056699999999999</v>
      </c>
      <c r="C3243" s="2">
        <f t="shared" si="50"/>
        <v>-2.6203131067200746E-3</v>
      </c>
    </row>
    <row r="3244" spans="1:3" x14ac:dyDescent="0.2">
      <c r="A3244" s="1">
        <v>41365</v>
      </c>
      <c r="B3244">
        <v>19.1067</v>
      </c>
      <c r="C3244" s="2">
        <f t="shared" si="50"/>
        <v>-1.2307047404220632E-2</v>
      </c>
    </row>
    <row r="3245" spans="1:3" x14ac:dyDescent="0.2">
      <c r="A3245" s="1">
        <v>41361</v>
      </c>
      <c r="B3245">
        <v>19.343299999999999</v>
      </c>
      <c r="C3245" s="2">
        <f t="shared" si="50"/>
        <v>1.1783807701412963E-2</v>
      </c>
    </row>
    <row r="3246" spans="1:3" x14ac:dyDescent="0.2">
      <c r="A3246" s="1">
        <v>41360</v>
      </c>
      <c r="B3246">
        <v>19.116700000000002</v>
      </c>
      <c r="C3246" s="2">
        <f t="shared" si="50"/>
        <v>1.7787078257744529E-4</v>
      </c>
    </row>
    <row r="3247" spans="1:3" x14ac:dyDescent="0.2">
      <c r="A3247" s="1">
        <v>41359</v>
      </c>
      <c r="B3247">
        <v>19.113299999999999</v>
      </c>
      <c r="C3247" s="2">
        <f t="shared" si="50"/>
        <v>8.2269967569403666E-3</v>
      </c>
    </row>
    <row r="3248" spans="1:3" x14ac:dyDescent="0.2">
      <c r="A3248" s="1">
        <v>41358</v>
      </c>
      <c r="B3248">
        <v>18.956700000000001</v>
      </c>
      <c r="C3248" s="2">
        <f t="shared" si="50"/>
        <v>-9.9729459720235315E-3</v>
      </c>
    </row>
    <row r="3249" spans="1:3" x14ac:dyDescent="0.2">
      <c r="A3249" s="1">
        <v>41355</v>
      </c>
      <c r="B3249">
        <v>19.146699999999999</v>
      </c>
      <c r="C3249" s="2">
        <f t="shared" si="50"/>
        <v>-1.1765452436959305E-2</v>
      </c>
    </row>
    <row r="3250" spans="1:3" x14ac:dyDescent="0.2">
      <c r="A3250" s="1">
        <v>41354</v>
      </c>
      <c r="B3250">
        <v>19.3733</v>
      </c>
      <c r="C3250" s="2">
        <f t="shared" si="50"/>
        <v>-1.6047451385218049E-2</v>
      </c>
    </row>
    <row r="3251" spans="1:3" x14ac:dyDescent="0.2">
      <c r="A3251" s="1">
        <v>41353</v>
      </c>
      <c r="B3251">
        <v>19.686699999999998</v>
      </c>
      <c r="C3251" s="2">
        <f t="shared" si="50"/>
        <v>6.456616232924795E-3</v>
      </c>
    </row>
    <row r="3252" spans="1:3" x14ac:dyDescent="0.2">
      <c r="A3252" s="1">
        <v>41352</v>
      </c>
      <c r="B3252">
        <v>19.559999999999999</v>
      </c>
      <c r="C3252" s="2">
        <f t="shared" si="50"/>
        <v>-8.3140133667623135E-3</v>
      </c>
    </row>
    <row r="3253" spans="1:3" x14ac:dyDescent="0.2">
      <c r="A3253" s="1">
        <v>41351</v>
      </c>
      <c r="B3253">
        <v>19.723299999999998</v>
      </c>
      <c r="C3253" s="2">
        <f t="shared" si="50"/>
        <v>-2.198025701355414E-3</v>
      </c>
    </row>
    <row r="3254" spans="1:3" x14ac:dyDescent="0.2">
      <c r="A3254" s="1">
        <v>41348</v>
      </c>
      <c r="B3254">
        <v>19.7667</v>
      </c>
      <c r="C3254" s="2">
        <f t="shared" si="50"/>
        <v>-4.0390427864853079E-3</v>
      </c>
    </row>
    <row r="3255" spans="1:3" x14ac:dyDescent="0.2">
      <c r="A3255" s="1">
        <v>41347</v>
      </c>
      <c r="B3255">
        <v>19.846699999999998</v>
      </c>
      <c r="C3255" s="2">
        <f t="shared" si="50"/>
        <v>3.7052036331572898E-3</v>
      </c>
    </row>
    <row r="3256" spans="1:3" x14ac:dyDescent="0.2">
      <c r="A3256" s="1">
        <v>41346</v>
      </c>
      <c r="B3256">
        <v>19.773299999999999</v>
      </c>
      <c r="C3256" s="2">
        <f t="shared" si="50"/>
        <v>1.8526960500669244E-3</v>
      </c>
    </row>
    <row r="3257" spans="1:3" x14ac:dyDescent="0.2">
      <c r="A3257" s="1">
        <v>41345</v>
      </c>
      <c r="B3257">
        <v>19.736699999999999</v>
      </c>
      <c r="C3257" s="2">
        <f t="shared" si="50"/>
        <v>1.8612110341073461E-3</v>
      </c>
    </row>
    <row r="3258" spans="1:3" x14ac:dyDescent="0.2">
      <c r="A3258" s="1">
        <v>41344</v>
      </c>
      <c r="B3258">
        <v>19.7</v>
      </c>
      <c r="C3258" s="2">
        <f t="shared" si="50"/>
        <v>-5.0748542068606802E-4</v>
      </c>
    </row>
    <row r="3259" spans="1:3" x14ac:dyDescent="0.2">
      <c r="A3259" s="1">
        <v>41341</v>
      </c>
      <c r="B3259">
        <v>19.71</v>
      </c>
      <c r="C3259" s="2">
        <f t="shared" si="50"/>
        <v>1.9297123425736432E-2</v>
      </c>
    </row>
    <row r="3260" spans="1:3" x14ac:dyDescent="0.2">
      <c r="A3260" s="1">
        <v>41340</v>
      </c>
      <c r="B3260">
        <v>19.333300000000001</v>
      </c>
      <c r="C3260" s="2">
        <f t="shared" si="50"/>
        <v>-7.2152988085737889E-3</v>
      </c>
    </row>
    <row r="3261" spans="1:3" x14ac:dyDescent="0.2">
      <c r="A3261" s="1">
        <v>41339</v>
      </c>
      <c r="B3261">
        <v>19.473299999999998</v>
      </c>
      <c r="C3261" s="2">
        <f t="shared" si="50"/>
        <v>-3.2504514647887926E-3</v>
      </c>
    </row>
    <row r="3262" spans="1:3" x14ac:dyDescent="0.2">
      <c r="A3262" s="1">
        <v>41338</v>
      </c>
      <c r="B3262">
        <v>19.5367</v>
      </c>
      <c r="C3262" s="2">
        <f t="shared" si="50"/>
        <v>1.5303302774694657E-2</v>
      </c>
    </row>
    <row r="3263" spans="1:3" x14ac:dyDescent="0.2">
      <c r="A3263" s="1">
        <v>41337</v>
      </c>
      <c r="B3263">
        <v>19.239999999999998</v>
      </c>
      <c r="C3263" s="2">
        <f t="shared" si="50"/>
        <v>-1.3867718749713874E-3</v>
      </c>
    </row>
    <row r="3264" spans="1:3" x14ac:dyDescent="0.2">
      <c r="A3264" s="1">
        <v>41334</v>
      </c>
      <c r="B3264">
        <v>19.2667</v>
      </c>
      <c r="C3264" s="2">
        <f t="shared" si="50"/>
        <v>-5.1768792461388911E-3</v>
      </c>
    </row>
    <row r="3265" spans="1:3" x14ac:dyDescent="0.2">
      <c r="A3265" s="1">
        <v>41333</v>
      </c>
      <c r="B3265">
        <v>19.366700000000002</v>
      </c>
      <c r="C3265" s="2">
        <f t="shared" si="50"/>
        <v>1.7557449051046217E-4</v>
      </c>
    </row>
    <row r="3266" spans="1:3" x14ac:dyDescent="0.2">
      <c r="A3266" s="1">
        <v>41332</v>
      </c>
      <c r="B3266">
        <v>19.363299999999999</v>
      </c>
      <c r="C3266" s="2">
        <f t="shared" si="50"/>
        <v>1.631242029545003E-2</v>
      </c>
    </row>
    <row r="3267" spans="1:3" x14ac:dyDescent="0.2">
      <c r="A3267" s="1">
        <v>41331</v>
      </c>
      <c r="B3267">
        <v>19.05</v>
      </c>
      <c r="C3267" s="2">
        <f t="shared" ref="C3267:C3330" si="51">+LN(B3267/B3268)</f>
        <v>1.4631453960790944E-2</v>
      </c>
    </row>
    <row r="3268" spans="1:3" x14ac:dyDescent="0.2">
      <c r="A3268" s="1">
        <v>41330</v>
      </c>
      <c r="B3268">
        <v>18.773299999999999</v>
      </c>
      <c r="C3268" s="2">
        <f t="shared" si="51"/>
        <v>-3.0256771863871795E-2</v>
      </c>
    </row>
    <row r="3269" spans="1:3" x14ac:dyDescent="0.2">
      <c r="A3269" s="1">
        <v>41327</v>
      </c>
      <c r="B3269">
        <v>19.350000000000001</v>
      </c>
      <c r="C3269" s="2">
        <f t="shared" si="51"/>
        <v>1.1262146980176205E-2</v>
      </c>
    </row>
    <row r="3270" spans="1:3" x14ac:dyDescent="0.2">
      <c r="A3270" s="1">
        <v>41326</v>
      </c>
      <c r="B3270">
        <v>19.133299999999998</v>
      </c>
      <c r="C3270" s="2">
        <f t="shared" si="51"/>
        <v>-1.8301909089243253E-2</v>
      </c>
    </row>
    <row r="3271" spans="1:3" x14ac:dyDescent="0.2">
      <c r="A3271" s="1">
        <v>41325</v>
      </c>
      <c r="B3271">
        <v>19.486699999999999</v>
      </c>
      <c r="C3271" s="2">
        <f t="shared" si="51"/>
        <v>-9.8707100392494383E-3</v>
      </c>
    </row>
    <row r="3272" spans="1:3" x14ac:dyDescent="0.2">
      <c r="A3272" s="1">
        <v>41324</v>
      </c>
      <c r="B3272">
        <v>19.68</v>
      </c>
      <c r="C3272" s="2">
        <f t="shared" si="51"/>
        <v>5.4364989846822209E-3</v>
      </c>
    </row>
    <row r="3273" spans="1:3" x14ac:dyDescent="0.2">
      <c r="A3273" s="1">
        <v>41320</v>
      </c>
      <c r="B3273">
        <v>19.5733</v>
      </c>
      <c r="C3273" s="2">
        <f t="shared" si="51"/>
        <v>-3.4224446293912802E-4</v>
      </c>
    </row>
    <row r="3274" spans="1:3" x14ac:dyDescent="0.2">
      <c r="A3274" s="1">
        <v>41319</v>
      </c>
      <c r="B3274">
        <v>19.579999999999998</v>
      </c>
      <c r="C3274" s="2">
        <f t="shared" si="51"/>
        <v>-1.5310031058906885E-3</v>
      </c>
    </row>
    <row r="3275" spans="1:3" x14ac:dyDescent="0.2">
      <c r="A3275" s="1">
        <v>41318</v>
      </c>
      <c r="B3275">
        <v>19.61</v>
      </c>
      <c r="C3275" s="2">
        <f t="shared" si="51"/>
        <v>6.9953436607888102E-3</v>
      </c>
    </row>
    <row r="3276" spans="1:3" x14ac:dyDescent="0.2">
      <c r="A3276" s="1">
        <v>41317</v>
      </c>
      <c r="B3276">
        <v>19.473299999999998</v>
      </c>
      <c r="C3276" s="2">
        <f t="shared" si="51"/>
        <v>2.2260331581174346E-3</v>
      </c>
    </row>
    <row r="3277" spans="1:3" x14ac:dyDescent="0.2">
      <c r="A3277" s="1">
        <v>41316</v>
      </c>
      <c r="B3277">
        <v>19.43</v>
      </c>
      <c r="C3277" s="2">
        <f t="shared" si="51"/>
        <v>-2.4006159570206143E-3</v>
      </c>
    </row>
    <row r="3278" spans="1:3" x14ac:dyDescent="0.2">
      <c r="A3278" s="1">
        <v>41313</v>
      </c>
      <c r="B3278">
        <v>19.476700000000001</v>
      </c>
      <c r="C3278" s="2">
        <f t="shared" si="51"/>
        <v>5.6637829876987249E-3</v>
      </c>
    </row>
    <row r="3279" spans="1:3" x14ac:dyDescent="0.2">
      <c r="A3279" s="1">
        <v>41312</v>
      </c>
      <c r="B3279">
        <v>19.366700000000002</v>
      </c>
      <c r="C3279" s="2">
        <f t="shared" si="51"/>
        <v>1.8968031384311431E-3</v>
      </c>
    </row>
    <row r="3280" spans="1:3" x14ac:dyDescent="0.2">
      <c r="A3280" s="1">
        <v>41311</v>
      </c>
      <c r="B3280">
        <v>19.329999999999998</v>
      </c>
      <c r="C3280" s="2">
        <f t="shared" si="51"/>
        <v>3.9758186072160612E-3</v>
      </c>
    </row>
    <row r="3281" spans="1:3" x14ac:dyDescent="0.2">
      <c r="A3281" s="1">
        <v>41310</v>
      </c>
      <c r="B3281">
        <v>19.253299999999999</v>
      </c>
      <c r="C3281" s="2">
        <f t="shared" si="51"/>
        <v>1.2017930968150061E-2</v>
      </c>
    </row>
    <row r="3282" spans="1:3" x14ac:dyDescent="0.2">
      <c r="A3282" s="1">
        <v>41309</v>
      </c>
      <c r="B3282">
        <v>19.023299999999999</v>
      </c>
      <c r="C3282" s="2">
        <f t="shared" si="51"/>
        <v>-9.0738456166620084E-3</v>
      </c>
    </row>
    <row r="3283" spans="1:3" x14ac:dyDescent="0.2">
      <c r="A3283" s="1">
        <v>41306</v>
      </c>
      <c r="B3283">
        <v>19.1967</v>
      </c>
      <c r="C3283" s="2">
        <f t="shared" si="51"/>
        <v>6.7950312936727259E-3</v>
      </c>
    </row>
    <row r="3284" spans="1:3" x14ac:dyDescent="0.2">
      <c r="A3284" s="1">
        <v>41305</v>
      </c>
      <c r="B3284">
        <v>19.066700000000001</v>
      </c>
      <c r="C3284" s="2">
        <f t="shared" si="51"/>
        <v>2.625817481045266E-3</v>
      </c>
    </row>
    <row r="3285" spans="1:3" x14ac:dyDescent="0.2">
      <c r="A3285" s="1">
        <v>41304</v>
      </c>
      <c r="B3285">
        <v>19.0167</v>
      </c>
      <c r="C3285" s="2">
        <f t="shared" si="51"/>
        <v>-1.685794953833096E-2</v>
      </c>
    </row>
    <row r="3286" spans="1:3" x14ac:dyDescent="0.2">
      <c r="A3286" s="1">
        <v>41303</v>
      </c>
      <c r="B3286">
        <v>19.34</v>
      </c>
      <c r="C3286" s="2">
        <f t="shared" si="51"/>
        <v>4.5665011185957317E-2</v>
      </c>
    </row>
    <row r="3287" spans="1:3" x14ac:dyDescent="0.2">
      <c r="A3287" s="1">
        <v>41302</v>
      </c>
      <c r="B3287">
        <v>18.476700000000001</v>
      </c>
      <c r="C3287" s="2">
        <f t="shared" si="51"/>
        <v>-9.5125952976756259E-3</v>
      </c>
    </row>
    <row r="3288" spans="1:3" x14ac:dyDescent="0.2">
      <c r="A3288" s="1">
        <v>41299</v>
      </c>
      <c r="B3288">
        <v>18.653300000000002</v>
      </c>
      <c r="C3288" s="2">
        <f t="shared" si="51"/>
        <v>1.0727715542885651E-3</v>
      </c>
    </row>
    <row r="3289" spans="1:3" x14ac:dyDescent="0.2">
      <c r="A3289" s="1">
        <v>41298</v>
      </c>
      <c r="B3289">
        <v>18.633299999999998</v>
      </c>
      <c r="C3289" s="2">
        <f t="shared" si="51"/>
        <v>1.2599637967638069E-2</v>
      </c>
    </row>
    <row r="3290" spans="1:3" x14ac:dyDescent="0.2">
      <c r="A3290" s="1">
        <v>41297</v>
      </c>
      <c r="B3290">
        <v>18.399999999999999</v>
      </c>
      <c r="C3290" s="2">
        <f t="shared" si="51"/>
        <v>-5.4333063004665294E-4</v>
      </c>
    </row>
    <row r="3291" spans="1:3" x14ac:dyDescent="0.2">
      <c r="A3291" s="1">
        <v>41296</v>
      </c>
      <c r="B3291">
        <v>18.41</v>
      </c>
      <c r="C3291" s="2">
        <f t="shared" si="51"/>
        <v>8.7289152164858989E-3</v>
      </c>
    </row>
    <row r="3292" spans="1:3" x14ac:dyDescent="0.2">
      <c r="A3292" s="1">
        <v>41292</v>
      </c>
      <c r="B3292">
        <v>18.25</v>
      </c>
      <c r="C3292" s="2">
        <f t="shared" si="51"/>
        <v>5.3127176627448917E-3</v>
      </c>
    </row>
    <row r="3293" spans="1:3" x14ac:dyDescent="0.2">
      <c r="A3293" s="1">
        <v>41291</v>
      </c>
      <c r="B3293">
        <v>18.153300000000002</v>
      </c>
      <c r="C3293" s="2">
        <f t="shared" si="51"/>
        <v>1.4426021263381352E-2</v>
      </c>
    </row>
    <row r="3294" spans="1:3" x14ac:dyDescent="0.2">
      <c r="A3294" s="1">
        <v>41290</v>
      </c>
      <c r="B3294">
        <v>17.8933</v>
      </c>
      <c r="C3294" s="2">
        <f t="shared" si="51"/>
        <v>8.226757958334734E-3</v>
      </c>
    </row>
    <row r="3295" spans="1:3" x14ac:dyDescent="0.2">
      <c r="A3295" s="1">
        <v>41289</v>
      </c>
      <c r="B3295">
        <v>17.746700000000001</v>
      </c>
      <c r="C3295" s="2">
        <f t="shared" si="51"/>
        <v>-9.3438705621509306E-3</v>
      </c>
    </row>
    <row r="3296" spans="1:3" x14ac:dyDescent="0.2">
      <c r="A3296" s="1">
        <v>41288</v>
      </c>
      <c r="B3296">
        <v>17.9133</v>
      </c>
      <c r="C3296" s="2">
        <f t="shared" si="51"/>
        <v>4.8461202844151917E-3</v>
      </c>
    </row>
    <row r="3297" spans="1:3" x14ac:dyDescent="0.2">
      <c r="A3297" s="1">
        <v>41285</v>
      </c>
      <c r="B3297">
        <v>17.826699999999999</v>
      </c>
      <c r="C3297" s="2">
        <f t="shared" si="51"/>
        <v>-1.0968031847907261E-2</v>
      </c>
    </row>
    <row r="3298" spans="1:3" x14ac:dyDescent="0.2">
      <c r="A3298" s="1">
        <v>41284</v>
      </c>
      <c r="B3298">
        <v>18.023299999999999</v>
      </c>
      <c r="C3298" s="2">
        <f t="shared" si="51"/>
        <v>3.6625971552595675E-4</v>
      </c>
    </row>
    <row r="3299" spans="1:3" x14ac:dyDescent="0.2">
      <c r="A3299" s="1">
        <v>41283</v>
      </c>
      <c r="B3299">
        <v>18.0167</v>
      </c>
      <c r="C3299" s="2">
        <f t="shared" si="51"/>
        <v>1.8678414178188319E-2</v>
      </c>
    </row>
    <row r="3300" spans="1:3" x14ac:dyDescent="0.2">
      <c r="A3300" s="1">
        <v>41282</v>
      </c>
      <c r="B3300">
        <v>17.683299999999999</v>
      </c>
      <c r="C3300" s="2">
        <f t="shared" si="51"/>
        <v>5.6711034242960014E-3</v>
      </c>
    </row>
    <row r="3301" spans="1:3" x14ac:dyDescent="0.2">
      <c r="A3301" s="1">
        <v>41281</v>
      </c>
      <c r="B3301">
        <v>17.583300000000001</v>
      </c>
      <c r="C3301" s="2">
        <f t="shared" si="51"/>
        <v>-9.9991496123519423E-3</v>
      </c>
    </row>
    <row r="3302" spans="1:3" x14ac:dyDescent="0.2">
      <c r="A3302" s="1">
        <v>41278</v>
      </c>
      <c r="B3302">
        <v>17.760000000000002</v>
      </c>
      <c r="C3302" s="2">
        <f t="shared" si="51"/>
        <v>-5.4300503754385896E-3</v>
      </c>
    </row>
    <row r="3303" spans="1:3" x14ac:dyDescent="0.2">
      <c r="A3303" s="1">
        <v>41277</v>
      </c>
      <c r="B3303">
        <v>17.8567</v>
      </c>
      <c r="C3303" s="2">
        <f t="shared" si="51"/>
        <v>5.6017075468968013E-4</v>
      </c>
    </row>
    <row r="3304" spans="1:3" x14ac:dyDescent="0.2">
      <c r="A3304" s="1">
        <v>41276</v>
      </c>
      <c r="B3304">
        <v>17.846699999999998</v>
      </c>
      <c r="C3304" s="2">
        <f t="shared" si="51"/>
        <v>3.9045233921403133E-2</v>
      </c>
    </row>
    <row r="3305" spans="1:3" x14ac:dyDescent="0.2">
      <c r="A3305" s="1">
        <v>41274</v>
      </c>
      <c r="B3305">
        <v>17.1633</v>
      </c>
      <c r="C3305" s="2">
        <f t="shared" si="51"/>
        <v>1.2505549436910703E-2</v>
      </c>
    </row>
    <row r="3306" spans="1:3" x14ac:dyDescent="0.2">
      <c r="A3306" s="1">
        <v>41271</v>
      </c>
      <c r="B3306">
        <v>16.95</v>
      </c>
      <c r="C3306" s="2">
        <f t="shared" si="51"/>
        <v>-1.0563478509569259E-2</v>
      </c>
    </row>
    <row r="3307" spans="1:3" x14ac:dyDescent="0.2">
      <c r="A3307" s="1">
        <v>41270</v>
      </c>
      <c r="B3307">
        <v>17.13</v>
      </c>
      <c r="C3307" s="2">
        <f t="shared" si="51"/>
        <v>-1.1994329486166284E-2</v>
      </c>
    </row>
    <row r="3308" spans="1:3" x14ac:dyDescent="0.2">
      <c r="A3308" s="1">
        <v>41269</v>
      </c>
      <c r="B3308">
        <v>17.3367</v>
      </c>
      <c r="C3308" s="2">
        <f t="shared" si="51"/>
        <v>-3.8062284196538901E-4</v>
      </c>
    </row>
    <row r="3309" spans="1:3" x14ac:dyDescent="0.2">
      <c r="A3309" s="1">
        <v>41267</v>
      </c>
      <c r="B3309">
        <v>17.343299999999999</v>
      </c>
      <c r="C3309" s="2">
        <f t="shared" si="51"/>
        <v>-6.8952713248229287E-3</v>
      </c>
    </row>
    <row r="3310" spans="1:3" x14ac:dyDescent="0.2">
      <c r="A3310" s="1">
        <v>41264</v>
      </c>
      <c r="B3310">
        <v>17.4633</v>
      </c>
      <c r="C3310" s="2">
        <f t="shared" si="51"/>
        <v>-9.5004604207957789E-3</v>
      </c>
    </row>
    <row r="3311" spans="1:3" x14ac:dyDescent="0.2">
      <c r="A3311" s="1">
        <v>41263</v>
      </c>
      <c r="B3311">
        <v>17.63</v>
      </c>
      <c r="C3311" s="2">
        <f t="shared" si="51"/>
        <v>7.7840459316751006E-3</v>
      </c>
    </row>
    <row r="3312" spans="1:3" x14ac:dyDescent="0.2">
      <c r="A3312" s="1">
        <v>41262</v>
      </c>
      <c r="B3312">
        <v>17.493300000000001</v>
      </c>
      <c r="C3312" s="2">
        <f t="shared" si="51"/>
        <v>-1.7134734577301156E-3</v>
      </c>
    </row>
    <row r="3313" spans="1:3" x14ac:dyDescent="0.2">
      <c r="A3313" s="1">
        <v>41261</v>
      </c>
      <c r="B3313">
        <v>17.523299999999999</v>
      </c>
      <c r="C3313" s="2">
        <f t="shared" si="51"/>
        <v>1.533095007136945E-2</v>
      </c>
    </row>
    <row r="3314" spans="1:3" x14ac:dyDescent="0.2">
      <c r="A3314" s="1">
        <v>41260</v>
      </c>
      <c r="B3314">
        <v>17.256699999999999</v>
      </c>
      <c r="C3314" s="2">
        <f t="shared" si="51"/>
        <v>1.1657385447403155E-2</v>
      </c>
    </row>
    <row r="3315" spans="1:3" x14ac:dyDescent="0.2">
      <c r="A3315" s="1">
        <v>41257</v>
      </c>
      <c r="B3315">
        <v>17.056699999999999</v>
      </c>
      <c r="C3315" s="2">
        <f t="shared" si="51"/>
        <v>-1.7572946877119982E-3</v>
      </c>
    </row>
    <row r="3316" spans="1:3" x14ac:dyDescent="0.2">
      <c r="A3316" s="1">
        <v>41256</v>
      </c>
      <c r="B3316">
        <v>17.0867</v>
      </c>
      <c r="C3316" s="2">
        <f t="shared" si="51"/>
        <v>-1.086157360236833E-2</v>
      </c>
    </row>
    <row r="3317" spans="1:3" x14ac:dyDescent="0.2">
      <c r="A3317" s="1">
        <v>41255</v>
      </c>
      <c r="B3317">
        <v>17.273299999999999</v>
      </c>
      <c r="C3317" s="2">
        <f t="shared" si="51"/>
        <v>1.9106454855435725E-4</v>
      </c>
    </row>
    <row r="3318" spans="1:3" x14ac:dyDescent="0.2">
      <c r="A3318" s="1">
        <v>41254</v>
      </c>
      <c r="B3318">
        <v>17.27</v>
      </c>
      <c r="C3318" s="2">
        <f t="shared" si="51"/>
        <v>6.9727185466384577E-3</v>
      </c>
    </row>
    <row r="3319" spans="1:3" x14ac:dyDescent="0.2">
      <c r="A3319" s="1">
        <v>41253</v>
      </c>
      <c r="B3319">
        <v>17.149999999999999</v>
      </c>
      <c r="C3319" s="2">
        <f t="shared" si="51"/>
        <v>8.7848295557328114E-3</v>
      </c>
    </row>
    <row r="3320" spans="1:3" x14ac:dyDescent="0.2">
      <c r="A3320" s="1">
        <v>41250</v>
      </c>
      <c r="B3320">
        <v>17</v>
      </c>
      <c r="C3320" s="2">
        <f t="shared" si="51"/>
        <v>-1.9409880866621182E-4</v>
      </c>
    </row>
    <row r="3321" spans="1:3" x14ac:dyDescent="0.2">
      <c r="A3321" s="1">
        <v>41249</v>
      </c>
      <c r="B3321">
        <v>17.003299999999999</v>
      </c>
      <c r="C3321" s="2">
        <f t="shared" si="51"/>
        <v>1.9409880866620946E-4</v>
      </c>
    </row>
    <row r="3322" spans="1:3" x14ac:dyDescent="0.2">
      <c r="A3322" s="1">
        <v>41248</v>
      </c>
      <c r="B3322">
        <v>17</v>
      </c>
      <c r="C3322" s="2">
        <f t="shared" si="51"/>
        <v>2.6827242233144061E-2</v>
      </c>
    </row>
    <row r="3323" spans="1:3" x14ac:dyDescent="0.2">
      <c r="A3323" s="1">
        <v>41247</v>
      </c>
      <c r="B3323">
        <v>16.55</v>
      </c>
      <c r="C3323" s="2">
        <f t="shared" si="51"/>
        <v>9.5133870520912739E-3</v>
      </c>
    </row>
    <row r="3324" spans="1:3" x14ac:dyDescent="0.2">
      <c r="A3324" s="1">
        <v>41246</v>
      </c>
      <c r="B3324">
        <v>16.3933</v>
      </c>
      <c r="C3324" s="2">
        <f t="shared" si="51"/>
        <v>-4.6678294185683398E-3</v>
      </c>
    </row>
    <row r="3325" spans="1:3" x14ac:dyDescent="0.2">
      <c r="A3325" s="1">
        <v>41243</v>
      </c>
      <c r="B3325">
        <v>16.47</v>
      </c>
      <c r="C3325" s="2">
        <f t="shared" si="51"/>
        <v>-7.2595600128042229E-3</v>
      </c>
    </row>
    <row r="3326" spans="1:3" x14ac:dyDescent="0.2">
      <c r="A3326" s="1">
        <v>41242</v>
      </c>
      <c r="B3326">
        <v>16.59</v>
      </c>
      <c r="C3326" s="2">
        <f t="shared" si="51"/>
        <v>7.6664430213356791E-3</v>
      </c>
    </row>
    <row r="3327" spans="1:3" x14ac:dyDescent="0.2">
      <c r="A3327" s="1">
        <v>41241</v>
      </c>
      <c r="B3327">
        <v>16.4633</v>
      </c>
      <c r="C3327" s="2">
        <f t="shared" si="51"/>
        <v>4.0535661104222267E-3</v>
      </c>
    </row>
    <row r="3328" spans="1:3" x14ac:dyDescent="0.2">
      <c r="A3328" s="1">
        <v>41240</v>
      </c>
      <c r="B3328">
        <v>16.396699999999999</v>
      </c>
      <c r="C3328" s="2">
        <f t="shared" si="51"/>
        <v>0</v>
      </c>
    </row>
    <row r="3329" spans="1:3" x14ac:dyDescent="0.2">
      <c r="A3329" s="1">
        <v>41239</v>
      </c>
      <c r="B3329">
        <v>16.396699999999999</v>
      </c>
      <c r="C3329" s="2">
        <f t="shared" si="51"/>
        <v>8.9871862948488011E-3</v>
      </c>
    </row>
    <row r="3330" spans="1:3" x14ac:dyDescent="0.2">
      <c r="A3330" s="1">
        <v>41236</v>
      </c>
      <c r="B3330">
        <v>16.25</v>
      </c>
      <c r="C3330" s="2">
        <f t="shared" si="51"/>
        <v>9.689872467706126E-3</v>
      </c>
    </row>
    <row r="3331" spans="1:3" x14ac:dyDescent="0.2">
      <c r="A3331" s="1">
        <v>41234</v>
      </c>
      <c r="B3331">
        <v>16.093299999999999</v>
      </c>
      <c r="C3331" s="2">
        <f t="shared" ref="C3331:C3394" si="52">+LN(B3331/B3332)</f>
        <v>1.2713055759415613E-2</v>
      </c>
    </row>
    <row r="3332" spans="1:3" x14ac:dyDescent="0.2">
      <c r="A3332" s="1">
        <v>41233</v>
      </c>
      <c r="B3332">
        <v>15.89</v>
      </c>
      <c r="C3332" s="2">
        <f t="shared" si="52"/>
        <v>1.9060297478939468E-2</v>
      </c>
    </row>
    <row r="3333" spans="1:3" x14ac:dyDescent="0.2">
      <c r="A3333" s="1">
        <v>41232</v>
      </c>
      <c r="B3333">
        <v>15.59</v>
      </c>
      <c r="C3333" s="2">
        <f t="shared" si="52"/>
        <v>1.6817990185962285E-2</v>
      </c>
    </row>
    <row r="3334" spans="1:3" x14ac:dyDescent="0.2">
      <c r="A3334" s="1">
        <v>41229</v>
      </c>
      <c r="B3334">
        <v>15.33</v>
      </c>
      <c r="C3334" s="2">
        <f t="shared" si="52"/>
        <v>5.2321898303021065E-3</v>
      </c>
    </row>
    <row r="3335" spans="1:3" x14ac:dyDescent="0.2">
      <c r="A3335" s="1">
        <v>41228</v>
      </c>
      <c r="B3335">
        <v>15.25</v>
      </c>
      <c r="C3335" s="2">
        <f t="shared" si="52"/>
        <v>-4.5796612590246061E-3</v>
      </c>
    </row>
    <row r="3336" spans="1:3" x14ac:dyDescent="0.2">
      <c r="A3336" s="1">
        <v>41227</v>
      </c>
      <c r="B3336">
        <v>15.32</v>
      </c>
      <c r="C3336" s="2">
        <f t="shared" si="52"/>
        <v>-3.6952376203034834E-2</v>
      </c>
    </row>
    <row r="3337" spans="1:3" x14ac:dyDescent="0.2">
      <c r="A3337" s="1">
        <v>41226</v>
      </c>
      <c r="B3337">
        <v>15.896699999999999</v>
      </c>
      <c r="C3337" s="2">
        <f t="shared" si="52"/>
        <v>-1.5604153908749651E-2</v>
      </c>
    </row>
    <row r="3338" spans="1:3" x14ac:dyDescent="0.2">
      <c r="A3338" s="1">
        <v>41225</v>
      </c>
      <c r="B3338">
        <v>16.146699999999999</v>
      </c>
      <c r="C3338" s="2">
        <f t="shared" si="52"/>
        <v>4.3446756153086349E-3</v>
      </c>
    </row>
    <row r="3339" spans="1:3" x14ac:dyDescent="0.2">
      <c r="A3339" s="1">
        <v>41222</v>
      </c>
      <c r="B3339">
        <v>16.076699999999999</v>
      </c>
      <c r="C3339" s="2">
        <f t="shared" si="52"/>
        <v>1.0393102903055915E-3</v>
      </c>
    </row>
    <row r="3340" spans="1:3" x14ac:dyDescent="0.2">
      <c r="A3340" s="1">
        <v>41221</v>
      </c>
      <c r="B3340">
        <v>16.059999999999999</v>
      </c>
      <c r="C3340" s="2">
        <f t="shared" si="52"/>
        <v>-2.5409179899413079E-2</v>
      </c>
    </row>
    <row r="3341" spans="1:3" x14ac:dyDescent="0.2">
      <c r="A3341" s="1">
        <v>41220</v>
      </c>
      <c r="B3341">
        <v>16.473299999999998</v>
      </c>
      <c r="C3341" s="2">
        <f t="shared" si="52"/>
        <v>-2.2016120396152132E-2</v>
      </c>
    </row>
    <row r="3342" spans="1:3" x14ac:dyDescent="0.2">
      <c r="A3342" s="1">
        <v>41219</v>
      </c>
      <c r="B3342">
        <v>16.84</v>
      </c>
      <c r="C3342" s="2">
        <f t="shared" si="52"/>
        <v>1.737090699110877E-2</v>
      </c>
    </row>
    <row r="3343" spans="1:3" x14ac:dyDescent="0.2">
      <c r="A3343" s="1">
        <v>41218</v>
      </c>
      <c r="B3343">
        <v>16.55</v>
      </c>
      <c r="C3343" s="2">
        <f t="shared" si="52"/>
        <v>1.5018560513668251E-2</v>
      </c>
    </row>
    <row r="3344" spans="1:3" x14ac:dyDescent="0.2">
      <c r="A3344" s="1">
        <v>41215</v>
      </c>
      <c r="B3344">
        <v>16.3033</v>
      </c>
      <c r="C3344" s="2">
        <f t="shared" si="52"/>
        <v>-1.1792819594464111E-2</v>
      </c>
    </row>
    <row r="3345" spans="1:3" x14ac:dyDescent="0.2">
      <c r="A3345" s="1">
        <v>41214</v>
      </c>
      <c r="B3345">
        <v>16.496700000000001</v>
      </c>
      <c r="C3345" s="2">
        <f t="shared" si="52"/>
        <v>2.9322419263654694E-2</v>
      </c>
    </row>
    <row r="3346" spans="1:3" x14ac:dyDescent="0.2">
      <c r="A3346" s="1">
        <v>41213</v>
      </c>
      <c r="B3346">
        <v>16.02</v>
      </c>
      <c r="C3346" s="2">
        <f t="shared" si="52"/>
        <v>1.7842377557073137E-2</v>
      </c>
    </row>
    <row r="3347" spans="1:3" x14ac:dyDescent="0.2">
      <c r="A3347" s="1">
        <v>41208</v>
      </c>
      <c r="B3347">
        <v>15.736700000000001</v>
      </c>
      <c r="C3347" s="2">
        <f t="shared" si="52"/>
        <v>6.3748486715223592E-3</v>
      </c>
    </row>
    <row r="3348" spans="1:3" x14ac:dyDescent="0.2">
      <c r="A3348" s="1">
        <v>41207</v>
      </c>
      <c r="B3348">
        <v>15.636699999999999</v>
      </c>
      <c r="C3348" s="2">
        <f t="shared" si="52"/>
        <v>-2.7652995106440307E-3</v>
      </c>
    </row>
    <row r="3349" spans="1:3" x14ac:dyDescent="0.2">
      <c r="A3349" s="1">
        <v>41206</v>
      </c>
      <c r="B3349">
        <v>15.68</v>
      </c>
      <c r="C3349" s="2">
        <f t="shared" si="52"/>
        <v>-8.2566362991189322E-3</v>
      </c>
    </row>
    <row r="3350" spans="1:3" x14ac:dyDescent="0.2">
      <c r="A3350" s="1">
        <v>41205</v>
      </c>
      <c r="B3350">
        <v>15.81</v>
      </c>
      <c r="C3350" s="2">
        <f t="shared" si="52"/>
        <v>-5.6764580048051906E-3</v>
      </c>
    </row>
    <row r="3351" spans="1:3" x14ac:dyDescent="0.2">
      <c r="A3351" s="1">
        <v>41204</v>
      </c>
      <c r="B3351">
        <v>15.9</v>
      </c>
      <c r="C3351" s="2">
        <f t="shared" si="52"/>
        <v>-5.4380173337365886E-3</v>
      </c>
    </row>
    <row r="3352" spans="1:3" x14ac:dyDescent="0.2">
      <c r="A3352" s="1">
        <v>41201</v>
      </c>
      <c r="B3352">
        <v>15.986700000000001</v>
      </c>
      <c r="C3352" s="2">
        <f t="shared" si="52"/>
        <v>-1.920550676848912E-2</v>
      </c>
    </row>
    <row r="3353" spans="1:3" x14ac:dyDescent="0.2">
      <c r="A3353" s="1">
        <v>41200</v>
      </c>
      <c r="B3353">
        <v>16.296700000000001</v>
      </c>
      <c r="C3353" s="2">
        <f t="shared" si="52"/>
        <v>-1.0577910861137232E-2</v>
      </c>
    </row>
    <row r="3354" spans="1:3" x14ac:dyDescent="0.2">
      <c r="A3354" s="1">
        <v>41199</v>
      </c>
      <c r="B3354">
        <v>16.47</v>
      </c>
      <c r="C3354" s="2">
        <f t="shared" si="52"/>
        <v>1.7968608861572855E-2</v>
      </c>
    </row>
    <row r="3355" spans="1:3" x14ac:dyDescent="0.2">
      <c r="A3355" s="1">
        <v>41198</v>
      </c>
      <c r="B3355">
        <v>16.1767</v>
      </c>
      <c r="C3355" s="2">
        <f t="shared" si="52"/>
        <v>1.9563670147056202E-2</v>
      </c>
    </row>
    <row r="3356" spans="1:3" x14ac:dyDescent="0.2">
      <c r="A3356" s="1">
        <v>41197</v>
      </c>
      <c r="B3356">
        <v>15.863300000000001</v>
      </c>
      <c r="C3356" s="2">
        <f t="shared" si="52"/>
        <v>5.6896280124204609E-3</v>
      </c>
    </row>
    <row r="3357" spans="1:3" x14ac:dyDescent="0.2">
      <c r="A3357" s="1">
        <v>41194</v>
      </c>
      <c r="B3357">
        <v>15.773300000000001</v>
      </c>
      <c r="C3357" s="2">
        <f t="shared" si="52"/>
        <v>-7.7929033469807353E-3</v>
      </c>
    </row>
    <row r="3358" spans="1:3" x14ac:dyDescent="0.2">
      <c r="A3358" s="1">
        <v>41193</v>
      </c>
      <c r="B3358">
        <v>15.896699999999999</v>
      </c>
      <c r="C3358" s="2">
        <f t="shared" si="52"/>
        <v>1.0510846964902631E-3</v>
      </c>
    </row>
    <row r="3359" spans="1:3" x14ac:dyDescent="0.2">
      <c r="A3359" s="1">
        <v>41192</v>
      </c>
      <c r="B3359">
        <v>15.88</v>
      </c>
      <c r="C3359" s="2">
        <f t="shared" si="52"/>
        <v>-1.0442765140284724E-2</v>
      </c>
    </row>
    <row r="3360" spans="1:3" x14ac:dyDescent="0.2">
      <c r="A3360" s="1">
        <v>41191</v>
      </c>
      <c r="B3360">
        <v>16.046700000000001</v>
      </c>
      <c r="C3360" s="2">
        <f t="shared" si="52"/>
        <v>-2.0356371967343894E-2</v>
      </c>
    </row>
    <row r="3361" spans="1:3" x14ac:dyDescent="0.2">
      <c r="A3361" s="1">
        <v>41190</v>
      </c>
      <c r="B3361">
        <v>16.3767</v>
      </c>
      <c r="C3361" s="2">
        <f t="shared" si="52"/>
        <v>-6.488154227256712E-3</v>
      </c>
    </row>
    <row r="3362" spans="1:3" x14ac:dyDescent="0.2">
      <c r="A3362" s="1">
        <v>41187</v>
      </c>
      <c r="B3362">
        <v>16.4833</v>
      </c>
      <c r="C3362" s="2">
        <f t="shared" si="52"/>
        <v>3.8476431295928113E-3</v>
      </c>
    </row>
    <row r="3363" spans="1:3" x14ac:dyDescent="0.2">
      <c r="A3363" s="1">
        <v>41186</v>
      </c>
      <c r="B3363">
        <v>16.420000000000002</v>
      </c>
      <c r="C3363" s="2">
        <f t="shared" si="52"/>
        <v>6.1087544883211909E-3</v>
      </c>
    </row>
    <row r="3364" spans="1:3" x14ac:dyDescent="0.2">
      <c r="A3364" s="1">
        <v>41185</v>
      </c>
      <c r="B3364">
        <v>16.32</v>
      </c>
      <c r="C3364" s="2">
        <f t="shared" si="52"/>
        <v>-9.9563976179141041E-3</v>
      </c>
    </row>
    <row r="3365" spans="1:3" x14ac:dyDescent="0.2">
      <c r="A3365" s="1">
        <v>41184</v>
      </c>
      <c r="B3365">
        <v>16.4833</v>
      </c>
      <c r="C3365" s="2">
        <f t="shared" si="52"/>
        <v>3.2388151046983983E-3</v>
      </c>
    </row>
    <row r="3366" spans="1:3" x14ac:dyDescent="0.2">
      <c r="A3366" s="1">
        <v>41183</v>
      </c>
      <c r="B3366">
        <v>16.43</v>
      </c>
      <c r="C3366" s="2">
        <f t="shared" si="52"/>
        <v>-1.9886163004760433E-2</v>
      </c>
    </row>
    <row r="3367" spans="1:3" x14ac:dyDescent="0.2">
      <c r="A3367" s="1">
        <v>41180</v>
      </c>
      <c r="B3367">
        <v>16.760000000000002</v>
      </c>
      <c r="C3367" s="2">
        <f t="shared" si="52"/>
        <v>1.9691676153471056E-4</v>
      </c>
    </row>
    <row r="3368" spans="1:3" x14ac:dyDescent="0.2">
      <c r="A3368" s="1">
        <v>41179</v>
      </c>
      <c r="B3368">
        <v>16.756699999999999</v>
      </c>
      <c r="C3368" s="2">
        <f t="shared" si="52"/>
        <v>1.4226410199570279E-2</v>
      </c>
    </row>
    <row r="3369" spans="1:3" x14ac:dyDescent="0.2">
      <c r="A3369" s="1">
        <v>41178</v>
      </c>
      <c r="B3369">
        <v>16.52</v>
      </c>
      <c r="C3369" s="2">
        <f t="shared" si="52"/>
        <v>-1.4023485698724808E-2</v>
      </c>
    </row>
    <row r="3370" spans="1:3" x14ac:dyDescent="0.2">
      <c r="A3370" s="1">
        <v>41177</v>
      </c>
      <c r="B3370">
        <v>16.753299999999999</v>
      </c>
      <c r="C3370" s="2">
        <f t="shared" si="52"/>
        <v>-1.8334704501373138E-2</v>
      </c>
    </row>
    <row r="3371" spans="1:3" x14ac:dyDescent="0.2">
      <c r="A3371" s="1">
        <v>41176</v>
      </c>
      <c r="B3371">
        <v>17.063300000000002</v>
      </c>
      <c r="C3371" s="2">
        <f t="shared" si="52"/>
        <v>4.6994500027697332E-3</v>
      </c>
    </row>
    <row r="3372" spans="1:3" x14ac:dyDescent="0.2">
      <c r="A3372" s="1">
        <v>41173</v>
      </c>
      <c r="B3372">
        <v>16.9833</v>
      </c>
      <c r="C3372" s="2">
        <f t="shared" si="52"/>
        <v>-5.4844529721967917E-3</v>
      </c>
    </row>
    <row r="3373" spans="1:3" x14ac:dyDescent="0.2">
      <c r="A3373" s="1">
        <v>41172</v>
      </c>
      <c r="B3373">
        <v>17.076699999999999</v>
      </c>
      <c r="C3373" s="2">
        <f t="shared" si="52"/>
        <v>-1.2991540241376248E-2</v>
      </c>
    </row>
    <row r="3374" spans="1:3" x14ac:dyDescent="0.2">
      <c r="A3374" s="1">
        <v>41171</v>
      </c>
      <c r="B3374">
        <v>17.3</v>
      </c>
      <c r="C3374" s="2">
        <f t="shared" si="52"/>
        <v>-5.1888268624584021E-3</v>
      </c>
    </row>
    <row r="3375" spans="1:3" x14ac:dyDescent="0.2">
      <c r="A3375" s="1">
        <v>41170</v>
      </c>
      <c r="B3375">
        <v>17.39</v>
      </c>
      <c r="C3375" s="2">
        <f t="shared" si="52"/>
        <v>-3.4443202822444776E-3</v>
      </c>
    </row>
    <row r="3376" spans="1:3" x14ac:dyDescent="0.2">
      <c r="A3376" s="1">
        <v>41169</v>
      </c>
      <c r="B3376">
        <v>17.45</v>
      </c>
      <c r="C3376" s="2">
        <f t="shared" si="52"/>
        <v>-3.049785932246642E-3</v>
      </c>
    </row>
    <row r="3377" spans="1:3" x14ac:dyDescent="0.2">
      <c r="A3377" s="1">
        <v>41166</v>
      </c>
      <c r="B3377">
        <v>17.503299999999999</v>
      </c>
      <c r="C3377" s="2">
        <f t="shared" si="52"/>
        <v>1.4768613752150913E-2</v>
      </c>
    </row>
    <row r="3378" spans="1:3" x14ac:dyDescent="0.2">
      <c r="A3378" s="1">
        <v>41165</v>
      </c>
      <c r="B3378">
        <v>17.246700000000001</v>
      </c>
      <c r="C3378" s="2">
        <f t="shared" si="52"/>
        <v>7.7648818545313037E-3</v>
      </c>
    </row>
    <row r="3379" spans="1:3" x14ac:dyDescent="0.2">
      <c r="A3379" s="1">
        <v>41164</v>
      </c>
      <c r="B3379">
        <v>17.113299999999999</v>
      </c>
      <c r="C3379" s="2">
        <f t="shared" si="52"/>
        <v>-3.3077359353838307E-3</v>
      </c>
    </row>
    <row r="3380" spans="1:3" x14ac:dyDescent="0.2">
      <c r="A3380" s="1">
        <v>41163</v>
      </c>
      <c r="B3380">
        <v>17.170000000000002</v>
      </c>
      <c r="C3380" s="2">
        <f t="shared" si="52"/>
        <v>9.7309998268240805E-4</v>
      </c>
    </row>
    <row r="3381" spans="1:3" x14ac:dyDescent="0.2">
      <c r="A3381" s="1">
        <v>41162</v>
      </c>
      <c r="B3381">
        <v>17.153300000000002</v>
      </c>
      <c r="C3381" s="2">
        <f t="shared" si="52"/>
        <v>-7.9377247684973024E-3</v>
      </c>
    </row>
    <row r="3382" spans="1:3" x14ac:dyDescent="0.2">
      <c r="A3382" s="1">
        <v>41159</v>
      </c>
      <c r="B3382">
        <v>17.29</v>
      </c>
      <c r="C3382" s="2">
        <f t="shared" si="52"/>
        <v>4.445958870088253E-3</v>
      </c>
    </row>
    <row r="3383" spans="1:3" x14ac:dyDescent="0.2">
      <c r="A3383" s="1">
        <v>41158</v>
      </c>
      <c r="B3383">
        <v>17.2133</v>
      </c>
      <c r="C3383" s="2">
        <f t="shared" si="52"/>
        <v>2.7684162575375027E-2</v>
      </c>
    </row>
    <row r="3384" spans="1:3" x14ac:dyDescent="0.2">
      <c r="A3384" s="1">
        <v>41157</v>
      </c>
      <c r="B3384">
        <v>16.743300000000001</v>
      </c>
      <c r="C3384" s="2">
        <f t="shared" si="52"/>
        <v>-3.5771174413401839E-3</v>
      </c>
    </row>
    <row r="3385" spans="1:3" x14ac:dyDescent="0.2">
      <c r="A3385" s="1">
        <v>41156</v>
      </c>
      <c r="B3385">
        <v>16.8033</v>
      </c>
      <c r="C3385" s="2">
        <f t="shared" si="52"/>
        <v>2.0235135875859678E-2</v>
      </c>
    </row>
    <row r="3386" spans="1:3" x14ac:dyDescent="0.2">
      <c r="A3386" s="1">
        <v>41152</v>
      </c>
      <c r="B3386">
        <v>16.466699999999999</v>
      </c>
      <c r="C3386" s="2">
        <f t="shared" si="52"/>
        <v>8.3362528328426635E-3</v>
      </c>
    </row>
    <row r="3387" spans="1:3" x14ac:dyDescent="0.2">
      <c r="A3387" s="1">
        <v>41151</v>
      </c>
      <c r="B3387">
        <v>16.329999999999998</v>
      </c>
      <c r="C3387" s="2">
        <f t="shared" si="52"/>
        <v>-1.3581570734396621E-2</v>
      </c>
    </row>
    <row r="3388" spans="1:3" x14ac:dyDescent="0.2">
      <c r="A3388" s="1">
        <v>41150</v>
      </c>
      <c r="B3388">
        <v>16.5533</v>
      </c>
      <c r="C3388" s="2">
        <f t="shared" si="52"/>
        <v>1.2089487850627364E-3</v>
      </c>
    </row>
    <row r="3389" spans="1:3" x14ac:dyDescent="0.2">
      <c r="A3389" s="1">
        <v>41149</v>
      </c>
      <c r="B3389">
        <v>16.533300000000001</v>
      </c>
      <c r="C3389" s="2">
        <f t="shared" si="52"/>
        <v>1.2104121114927965E-3</v>
      </c>
    </row>
    <row r="3390" spans="1:3" x14ac:dyDescent="0.2">
      <c r="A3390" s="1">
        <v>41148</v>
      </c>
      <c r="B3390">
        <v>16.513300000000001</v>
      </c>
      <c r="C3390" s="2">
        <f t="shared" si="52"/>
        <v>-7.2405932591243696E-3</v>
      </c>
    </row>
    <row r="3391" spans="1:3" x14ac:dyDescent="0.2">
      <c r="A3391" s="1">
        <v>41145</v>
      </c>
      <c r="B3391">
        <v>16.633299999999998</v>
      </c>
      <c r="C3391" s="2">
        <f t="shared" si="52"/>
        <v>-5.0015096764538065E-3</v>
      </c>
    </row>
    <row r="3392" spans="1:3" x14ac:dyDescent="0.2">
      <c r="A3392" s="1">
        <v>41144</v>
      </c>
      <c r="B3392">
        <v>16.716699999999999</v>
      </c>
      <c r="C3392" s="2">
        <f t="shared" si="52"/>
        <v>-2.7837532911018214E-3</v>
      </c>
    </row>
    <row r="3393" spans="1:3" x14ac:dyDescent="0.2">
      <c r="A3393" s="1">
        <v>41143</v>
      </c>
      <c r="B3393">
        <v>16.763300000000001</v>
      </c>
      <c r="C3393" s="2">
        <f t="shared" si="52"/>
        <v>2.3890164438710023E-3</v>
      </c>
    </row>
    <row r="3394" spans="1:3" x14ac:dyDescent="0.2">
      <c r="A3394" s="1">
        <v>41142</v>
      </c>
      <c r="B3394">
        <v>16.723299999999998</v>
      </c>
      <c r="C3394" s="2">
        <f t="shared" si="52"/>
        <v>6.394742847243738E-3</v>
      </c>
    </row>
    <row r="3395" spans="1:3" x14ac:dyDescent="0.2">
      <c r="A3395" s="1">
        <v>41141</v>
      </c>
      <c r="B3395">
        <v>16.616700000000002</v>
      </c>
      <c r="C3395" s="2">
        <f t="shared" ref="C3395:C3458" si="53">+LN(B3395/B3396)</f>
        <v>-1.057178358395589E-2</v>
      </c>
    </row>
    <row r="3396" spans="1:3" x14ac:dyDescent="0.2">
      <c r="A3396" s="1">
        <v>41138</v>
      </c>
      <c r="B3396">
        <v>16.793299999999999</v>
      </c>
      <c r="C3396" s="2">
        <f t="shared" si="53"/>
        <v>7.9693606010390466E-3</v>
      </c>
    </row>
    <row r="3397" spans="1:3" x14ac:dyDescent="0.2">
      <c r="A3397" s="1">
        <v>41137</v>
      </c>
      <c r="B3397">
        <v>16.66</v>
      </c>
      <c r="C3397" s="2">
        <f t="shared" si="53"/>
        <v>1.1470092549147739E-2</v>
      </c>
    </row>
    <row r="3398" spans="1:3" x14ac:dyDescent="0.2">
      <c r="A3398" s="1">
        <v>41136</v>
      </c>
      <c r="B3398">
        <v>16.47</v>
      </c>
      <c r="C3398" s="2">
        <f t="shared" si="53"/>
        <v>8.7387396860682115E-3</v>
      </c>
    </row>
    <row r="3399" spans="1:3" x14ac:dyDescent="0.2">
      <c r="A3399" s="1">
        <v>41135</v>
      </c>
      <c r="B3399">
        <v>16.326699999999999</v>
      </c>
      <c r="C3399" s="2">
        <f t="shared" si="53"/>
        <v>-1.1969701509654115E-2</v>
      </c>
    </row>
    <row r="3400" spans="1:3" x14ac:dyDescent="0.2">
      <c r="A3400" s="1">
        <v>41134</v>
      </c>
      <c r="B3400">
        <v>16.523299999999999</v>
      </c>
      <c r="C3400" s="2">
        <f t="shared" si="53"/>
        <v>-1.4420467033759999E-2</v>
      </c>
    </row>
    <row r="3401" spans="1:3" x14ac:dyDescent="0.2">
      <c r="A3401" s="1">
        <v>41131</v>
      </c>
      <c r="B3401">
        <v>16.763300000000001</v>
      </c>
      <c r="C3401" s="2">
        <f t="shared" si="53"/>
        <v>3.1511456985643407E-2</v>
      </c>
    </row>
    <row r="3402" spans="1:3" x14ac:dyDescent="0.2">
      <c r="A3402" s="1">
        <v>41130</v>
      </c>
      <c r="B3402">
        <v>16.243300000000001</v>
      </c>
      <c r="C3402" s="2">
        <f t="shared" si="53"/>
        <v>1.022482380427155E-3</v>
      </c>
    </row>
    <row r="3403" spans="1:3" x14ac:dyDescent="0.2">
      <c r="A3403" s="1">
        <v>41129</v>
      </c>
      <c r="B3403">
        <v>16.226700000000001</v>
      </c>
      <c r="C3403" s="2">
        <f t="shared" si="53"/>
        <v>3.0860983528481541E-3</v>
      </c>
    </row>
    <row r="3404" spans="1:3" x14ac:dyDescent="0.2">
      <c r="A3404" s="1">
        <v>41128</v>
      </c>
      <c r="B3404">
        <v>16.1767</v>
      </c>
      <c r="C3404" s="2">
        <f t="shared" si="53"/>
        <v>2.2505591460810048E-2</v>
      </c>
    </row>
    <row r="3405" spans="1:3" x14ac:dyDescent="0.2">
      <c r="A3405" s="1">
        <v>41127</v>
      </c>
      <c r="B3405">
        <v>15.816700000000001</v>
      </c>
      <c r="C3405" s="2">
        <f t="shared" si="53"/>
        <v>1.2943228735450483E-2</v>
      </c>
    </row>
    <row r="3406" spans="1:3" x14ac:dyDescent="0.2">
      <c r="A3406" s="1">
        <v>41124</v>
      </c>
      <c r="B3406">
        <v>15.613300000000001</v>
      </c>
      <c r="C3406" s="2">
        <f t="shared" si="53"/>
        <v>3.1443587331450834E-2</v>
      </c>
    </row>
    <row r="3407" spans="1:3" x14ac:dyDescent="0.2">
      <c r="A3407" s="1">
        <v>41123</v>
      </c>
      <c r="B3407">
        <v>15.13</v>
      </c>
      <c r="C3407" s="2">
        <f t="shared" si="53"/>
        <v>-9.8652559381097599E-3</v>
      </c>
    </row>
    <row r="3408" spans="1:3" x14ac:dyDescent="0.2">
      <c r="A3408" s="1">
        <v>41122</v>
      </c>
      <c r="B3408">
        <v>15.28</v>
      </c>
      <c r="C3408" s="2">
        <f t="shared" si="53"/>
        <v>-8.7004025335672155E-4</v>
      </c>
    </row>
    <row r="3409" spans="1:3" x14ac:dyDescent="0.2">
      <c r="A3409" s="1">
        <v>41121</v>
      </c>
      <c r="B3409">
        <v>15.2933</v>
      </c>
      <c r="C3409" s="2">
        <f t="shared" si="53"/>
        <v>6.7775073840497533E-3</v>
      </c>
    </row>
    <row r="3410" spans="1:3" x14ac:dyDescent="0.2">
      <c r="A3410" s="1">
        <v>41120</v>
      </c>
      <c r="B3410">
        <v>15.19</v>
      </c>
      <c r="C3410" s="2">
        <f t="shared" si="53"/>
        <v>8.7595957746003557E-4</v>
      </c>
    </row>
    <row r="3411" spans="1:3" x14ac:dyDescent="0.2">
      <c r="A3411" s="1">
        <v>41117</v>
      </c>
      <c r="B3411">
        <v>15.1767</v>
      </c>
      <c r="C3411" s="2">
        <f t="shared" si="53"/>
        <v>5.6938673864700778E-2</v>
      </c>
    </row>
    <row r="3412" spans="1:3" x14ac:dyDescent="0.2">
      <c r="A3412" s="1">
        <v>41116</v>
      </c>
      <c r="B3412">
        <v>14.3367</v>
      </c>
      <c r="C3412" s="2">
        <f t="shared" si="53"/>
        <v>1.4756059392674494E-2</v>
      </c>
    </row>
    <row r="3413" spans="1:3" x14ac:dyDescent="0.2">
      <c r="A3413" s="1">
        <v>41115</v>
      </c>
      <c r="B3413">
        <v>14.1267</v>
      </c>
      <c r="C3413" s="2">
        <f t="shared" si="53"/>
        <v>3.7872385692991305E-3</v>
      </c>
    </row>
    <row r="3414" spans="1:3" x14ac:dyDescent="0.2">
      <c r="A3414" s="1">
        <v>41114</v>
      </c>
      <c r="B3414">
        <v>14.0733</v>
      </c>
      <c r="C3414" s="2">
        <f t="shared" si="53"/>
        <v>-3.6968145367660563E-2</v>
      </c>
    </row>
    <row r="3415" spans="1:3" x14ac:dyDescent="0.2">
      <c r="A3415" s="1">
        <v>41113</v>
      </c>
      <c r="B3415">
        <v>14.603300000000001</v>
      </c>
      <c r="C3415" s="2">
        <f t="shared" si="53"/>
        <v>2.056443216303314E-3</v>
      </c>
    </row>
    <row r="3416" spans="1:3" x14ac:dyDescent="0.2">
      <c r="A3416" s="1">
        <v>41110</v>
      </c>
      <c r="B3416">
        <v>14.5733</v>
      </c>
      <c r="C3416" s="2">
        <f t="shared" si="53"/>
        <v>-1.0016025945826047E-2</v>
      </c>
    </row>
    <row r="3417" spans="1:3" x14ac:dyDescent="0.2">
      <c r="A3417" s="1">
        <v>41109</v>
      </c>
      <c r="B3417">
        <v>14.72</v>
      </c>
      <c r="C3417" s="2">
        <f t="shared" si="53"/>
        <v>8.6445940247444845E-3</v>
      </c>
    </row>
    <row r="3418" spans="1:3" x14ac:dyDescent="0.2">
      <c r="A3418" s="1">
        <v>41108</v>
      </c>
      <c r="B3418">
        <v>14.593299999999999</v>
      </c>
      <c r="C3418" s="2">
        <f t="shared" si="53"/>
        <v>8.022058844178807E-3</v>
      </c>
    </row>
    <row r="3419" spans="1:3" x14ac:dyDescent="0.2">
      <c r="A3419" s="1">
        <v>41107</v>
      </c>
      <c r="B3419">
        <v>14.476699999999999</v>
      </c>
      <c r="C3419" s="2">
        <f t="shared" si="53"/>
        <v>6.7021081389060993E-3</v>
      </c>
    </row>
    <row r="3420" spans="1:3" x14ac:dyDescent="0.2">
      <c r="A3420" s="1">
        <v>41106</v>
      </c>
      <c r="B3420">
        <v>14.38</v>
      </c>
      <c r="C3420" s="2">
        <f t="shared" si="53"/>
        <v>-1.1292054170964485E-2</v>
      </c>
    </row>
    <row r="3421" spans="1:3" x14ac:dyDescent="0.2">
      <c r="A3421" s="1">
        <v>41103</v>
      </c>
      <c r="B3421">
        <v>14.5433</v>
      </c>
      <c r="C3421" s="2">
        <f t="shared" si="53"/>
        <v>1.8970974975120191E-2</v>
      </c>
    </row>
    <row r="3422" spans="1:3" x14ac:dyDescent="0.2">
      <c r="A3422" s="1">
        <v>41102</v>
      </c>
      <c r="B3422">
        <v>14.27</v>
      </c>
      <c r="C3422" s="2">
        <f t="shared" si="53"/>
        <v>-1.5299324843845967E-2</v>
      </c>
    </row>
    <row r="3423" spans="1:3" x14ac:dyDescent="0.2">
      <c r="A3423" s="1">
        <v>41101</v>
      </c>
      <c r="B3423">
        <v>14.49</v>
      </c>
      <c r="C3423" s="2">
        <f t="shared" si="53"/>
        <v>-1.143881246734867E-2</v>
      </c>
    </row>
    <row r="3424" spans="1:3" x14ac:dyDescent="0.2">
      <c r="A3424" s="1">
        <v>41100</v>
      </c>
      <c r="B3424">
        <v>14.656700000000001</v>
      </c>
      <c r="C3424" s="2">
        <f t="shared" si="53"/>
        <v>-1.9813731036755728E-2</v>
      </c>
    </row>
    <row r="3425" spans="1:3" x14ac:dyDescent="0.2">
      <c r="A3425" s="1">
        <v>41099</v>
      </c>
      <c r="B3425">
        <v>14.95</v>
      </c>
      <c r="C3425" s="2">
        <f t="shared" si="53"/>
        <v>-3.1188770619647891E-3</v>
      </c>
    </row>
    <row r="3426" spans="1:3" x14ac:dyDescent="0.2">
      <c r="A3426" s="1">
        <v>41096</v>
      </c>
      <c r="B3426">
        <v>14.996700000000001</v>
      </c>
      <c r="C3426" s="2">
        <f t="shared" si="53"/>
        <v>-3.6018220555501246E-2</v>
      </c>
    </row>
    <row r="3427" spans="1:3" x14ac:dyDescent="0.2">
      <c r="A3427" s="1">
        <v>41095</v>
      </c>
      <c r="B3427">
        <v>15.5467</v>
      </c>
      <c r="C3427" s="2">
        <f t="shared" si="53"/>
        <v>7.1006062711128403E-3</v>
      </c>
    </row>
    <row r="3428" spans="1:3" x14ac:dyDescent="0.2">
      <c r="A3428" s="1">
        <v>41093</v>
      </c>
      <c r="B3428">
        <v>15.4367</v>
      </c>
      <c r="C3428" s="2">
        <f t="shared" si="53"/>
        <v>1.8747259227670475E-2</v>
      </c>
    </row>
    <row r="3429" spans="1:3" x14ac:dyDescent="0.2">
      <c r="A3429" s="1">
        <v>41092</v>
      </c>
      <c r="B3429">
        <v>15.15</v>
      </c>
      <c r="C3429" s="2">
        <f t="shared" si="53"/>
        <v>-1.3766195764147846E-2</v>
      </c>
    </row>
    <row r="3430" spans="1:3" x14ac:dyDescent="0.2">
      <c r="A3430" s="1">
        <v>41089</v>
      </c>
      <c r="B3430">
        <v>15.36</v>
      </c>
      <c r="C3430" s="2">
        <f t="shared" si="53"/>
        <v>5.371535899125373E-2</v>
      </c>
    </row>
    <row r="3431" spans="1:3" x14ac:dyDescent="0.2">
      <c r="A3431" s="1">
        <v>41088</v>
      </c>
      <c r="B3431">
        <v>14.556699999999999</v>
      </c>
      <c r="C3431" s="2">
        <f t="shared" si="53"/>
        <v>-1.5223546791783412E-2</v>
      </c>
    </row>
    <row r="3432" spans="1:3" x14ac:dyDescent="0.2">
      <c r="A3432" s="1">
        <v>41087</v>
      </c>
      <c r="B3432">
        <v>14.78</v>
      </c>
      <c r="C3432" s="2">
        <f t="shared" si="53"/>
        <v>3.6127427311234937E-3</v>
      </c>
    </row>
    <row r="3433" spans="1:3" x14ac:dyDescent="0.2">
      <c r="A3433" s="1">
        <v>41086</v>
      </c>
      <c r="B3433">
        <v>14.726699999999999</v>
      </c>
      <c r="C3433" s="2">
        <f t="shared" si="53"/>
        <v>2.3089983124648228E-4</v>
      </c>
    </row>
    <row r="3434" spans="1:3" x14ac:dyDescent="0.2">
      <c r="A3434" s="1">
        <v>41085</v>
      </c>
      <c r="B3434">
        <v>14.7233</v>
      </c>
      <c r="C3434" s="2">
        <f t="shared" si="53"/>
        <v>-2.4156898572946429E-2</v>
      </c>
    </row>
    <row r="3435" spans="1:3" x14ac:dyDescent="0.2">
      <c r="A3435" s="1">
        <v>41082</v>
      </c>
      <c r="B3435">
        <v>15.083299999999999</v>
      </c>
      <c r="C3435" s="2">
        <f t="shared" si="53"/>
        <v>-1.0774914663726402E-2</v>
      </c>
    </row>
    <row r="3436" spans="1:3" x14ac:dyDescent="0.2">
      <c r="A3436" s="1">
        <v>41081</v>
      </c>
      <c r="B3436">
        <v>15.246700000000001</v>
      </c>
      <c r="C3436" s="2">
        <f t="shared" si="53"/>
        <v>-3.5646853838562573E-2</v>
      </c>
    </row>
    <row r="3437" spans="1:3" x14ac:dyDescent="0.2">
      <c r="A3437" s="1">
        <v>41080</v>
      </c>
      <c r="B3437">
        <v>15.8</v>
      </c>
      <c r="C3437" s="2">
        <f t="shared" si="53"/>
        <v>-8.8217333291477646E-3</v>
      </c>
    </row>
    <row r="3438" spans="1:3" x14ac:dyDescent="0.2">
      <c r="A3438" s="1">
        <v>41079</v>
      </c>
      <c r="B3438">
        <v>15.94</v>
      </c>
      <c r="C3438" s="2">
        <f t="shared" si="53"/>
        <v>1.1781806227950905E-2</v>
      </c>
    </row>
    <row r="3439" spans="1:3" x14ac:dyDescent="0.2">
      <c r="A3439" s="1">
        <v>41078</v>
      </c>
      <c r="B3439">
        <v>15.753299999999999</v>
      </c>
      <c r="C3439" s="2">
        <f t="shared" si="53"/>
        <v>5.7294708021320669E-3</v>
      </c>
    </row>
    <row r="3440" spans="1:3" x14ac:dyDescent="0.2">
      <c r="A3440" s="1">
        <v>41075</v>
      </c>
      <c r="B3440">
        <v>15.6633</v>
      </c>
      <c r="C3440" s="2">
        <f t="shared" si="53"/>
        <v>1.0480372406784911E-2</v>
      </c>
    </row>
    <row r="3441" spans="1:3" x14ac:dyDescent="0.2">
      <c r="A3441" s="1">
        <v>41074</v>
      </c>
      <c r="B3441">
        <v>15.5</v>
      </c>
      <c r="C3441" s="2">
        <f t="shared" si="53"/>
        <v>0</v>
      </c>
    </row>
    <row r="3442" spans="1:3" x14ac:dyDescent="0.2">
      <c r="A3442" s="1">
        <v>41073</v>
      </c>
      <c r="B3442">
        <v>15.5</v>
      </c>
      <c r="C3442" s="2">
        <f t="shared" si="53"/>
        <v>-3.9015977556180748E-2</v>
      </c>
    </row>
    <row r="3443" spans="1:3" x14ac:dyDescent="0.2">
      <c r="A3443" s="1">
        <v>41072</v>
      </c>
      <c r="B3443">
        <v>16.116700000000002</v>
      </c>
      <c r="C3443" s="2">
        <f t="shared" si="53"/>
        <v>1.6894724727859422E-2</v>
      </c>
    </row>
    <row r="3444" spans="1:3" x14ac:dyDescent="0.2">
      <c r="A3444" s="1">
        <v>41071</v>
      </c>
      <c r="B3444">
        <v>15.8467</v>
      </c>
      <c r="C3444" s="2">
        <f t="shared" si="53"/>
        <v>-2.5949758803685587E-2</v>
      </c>
    </row>
    <row r="3445" spans="1:3" x14ac:dyDescent="0.2">
      <c r="A3445" s="1">
        <v>41068</v>
      </c>
      <c r="B3445">
        <v>16.263300000000001</v>
      </c>
      <c r="C3445" s="2">
        <f t="shared" si="53"/>
        <v>6.9909858885424669E-3</v>
      </c>
    </row>
    <row r="3446" spans="1:3" x14ac:dyDescent="0.2">
      <c r="A3446" s="1">
        <v>41067</v>
      </c>
      <c r="B3446">
        <v>16.149999999999999</v>
      </c>
      <c r="C3446" s="2">
        <f t="shared" si="53"/>
        <v>1.0162923108742948E-2</v>
      </c>
    </row>
    <row r="3447" spans="1:3" x14ac:dyDescent="0.2">
      <c r="A3447" s="1">
        <v>41066</v>
      </c>
      <c r="B3447">
        <v>15.986700000000001</v>
      </c>
      <c r="C3447" s="2">
        <f t="shared" si="53"/>
        <v>2.7053607809676868E-2</v>
      </c>
    </row>
    <row r="3448" spans="1:3" x14ac:dyDescent="0.2">
      <c r="A3448" s="1">
        <v>41065</v>
      </c>
      <c r="B3448">
        <v>15.56</v>
      </c>
      <c r="C3448" s="2">
        <f t="shared" si="53"/>
        <v>6.0141930160543281E-3</v>
      </c>
    </row>
    <row r="3449" spans="1:3" x14ac:dyDescent="0.2">
      <c r="A3449" s="1">
        <v>41064</v>
      </c>
      <c r="B3449">
        <v>15.466699999999999</v>
      </c>
      <c r="C3449" s="2">
        <f t="shared" si="53"/>
        <v>-3.6527952845473921E-3</v>
      </c>
    </row>
    <row r="3450" spans="1:3" x14ac:dyDescent="0.2">
      <c r="A3450" s="1">
        <v>41061</v>
      </c>
      <c r="B3450">
        <v>15.523300000000001</v>
      </c>
      <c r="C3450" s="2">
        <f t="shared" si="53"/>
        <v>-3.3784086934027131E-2</v>
      </c>
    </row>
    <row r="3451" spans="1:3" x14ac:dyDescent="0.2">
      <c r="A3451" s="1">
        <v>41060</v>
      </c>
      <c r="B3451">
        <v>16.056699999999999</v>
      </c>
      <c r="C3451" s="2">
        <f t="shared" si="53"/>
        <v>-5.8456785940029884E-2</v>
      </c>
    </row>
    <row r="3452" spans="1:3" x14ac:dyDescent="0.2">
      <c r="A3452" s="1">
        <v>41059</v>
      </c>
      <c r="B3452">
        <v>17.023299999999999</v>
      </c>
      <c r="C3452" s="2">
        <f t="shared" si="53"/>
        <v>-1.3037826935736154E-2</v>
      </c>
    </row>
    <row r="3453" spans="1:3" x14ac:dyDescent="0.2">
      <c r="A3453" s="1">
        <v>41058</v>
      </c>
      <c r="B3453">
        <v>17.246700000000001</v>
      </c>
      <c r="C3453" s="2">
        <f t="shared" si="53"/>
        <v>1.1470617099006084E-2</v>
      </c>
    </row>
    <row r="3454" spans="1:3" x14ac:dyDescent="0.2">
      <c r="A3454" s="1">
        <v>41054</v>
      </c>
      <c r="B3454">
        <v>17.05</v>
      </c>
      <c r="C3454" s="2">
        <f t="shared" si="53"/>
        <v>3.1309961636376824E-3</v>
      </c>
    </row>
    <row r="3455" spans="1:3" x14ac:dyDescent="0.2">
      <c r="A3455" s="1">
        <v>41053</v>
      </c>
      <c r="B3455">
        <v>16.996700000000001</v>
      </c>
      <c r="C3455" s="2">
        <f t="shared" si="53"/>
        <v>9.2621987517075913E-3</v>
      </c>
    </row>
    <row r="3456" spans="1:3" x14ac:dyDescent="0.2">
      <c r="A3456" s="1">
        <v>41052</v>
      </c>
      <c r="B3456">
        <v>16.84</v>
      </c>
      <c r="C3456" s="2">
        <f t="shared" si="53"/>
        <v>6.7507637201727651E-3</v>
      </c>
    </row>
    <row r="3457" spans="1:3" x14ac:dyDescent="0.2">
      <c r="A3457" s="1">
        <v>41051</v>
      </c>
      <c r="B3457">
        <v>16.726700000000001</v>
      </c>
      <c r="C3457" s="2">
        <f t="shared" si="53"/>
        <v>5.9802533821500361E-4</v>
      </c>
    </row>
    <row r="3458" spans="1:3" x14ac:dyDescent="0.2">
      <c r="A3458" s="1">
        <v>41050</v>
      </c>
      <c r="B3458">
        <v>16.716699999999999</v>
      </c>
      <c r="C3458" s="2">
        <f t="shared" si="53"/>
        <v>2.1770620419133507E-2</v>
      </c>
    </row>
    <row r="3459" spans="1:3" x14ac:dyDescent="0.2">
      <c r="A3459" s="1">
        <v>41047</v>
      </c>
      <c r="B3459">
        <v>16.3567</v>
      </c>
      <c r="C3459" s="2">
        <f t="shared" ref="C3459:C3522" si="54">+LN(B3459/B3460)</f>
        <v>-1.4234790882638577E-3</v>
      </c>
    </row>
    <row r="3460" spans="1:3" x14ac:dyDescent="0.2">
      <c r="A3460" s="1">
        <v>41046</v>
      </c>
      <c r="B3460">
        <v>16.38</v>
      </c>
      <c r="C3460" s="2">
        <f t="shared" si="54"/>
        <v>-2.7695930389257398E-2</v>
      </c>
    </row>
    <row r="3461" spans="1:3" x14ac:dyDescent="0.2">
      <c r="A3461" s="1">
        <v>41045</v>
      </c>
      <c r="B3461">
        <v>16.84</v>
      </c>
      <c r="C3461" s="2">
        <f t="shared" si="54"/>
        <v>7.9009826872754839E-4</v>
      </c>
    </row>
    <row r="3462" spans="1:3" x14ac:dyDescent="0.2">
      <c r="A3462" s="1">
        <v>41044</v>
      </c>
      <c r="B3462">
        <v>16.826699999999999</v>
      </c>
      <c r="C3462" s="2">
        <f t="shared" si="54"/>
        <v>-2.9670618798733903E-3</v>
      </c>
    </row>
    <row r="3463" spans="1:3" x14ac:dyDescent="0.2">
      <c r="A3463" s="1">
        <v>41043</v>
      </c>
      <c r="B3463">
        <v>16.8767</v>
      </c>
      <c r="C3463" s="2">
        <f t="shared" si="54"/>
        <v>-3.5695316605183998E-2</v>
      </c>
    </row>
    <row r="3464" spans="1:3" x14ac:dyDescent="0.2">
      <c r="A3464" s="1">
        <v>41040</v>
      </c>
      <c r="B3464">
        <v>17.489999999999998</v>
      </c>
      <c r="C3464" s="2">
        <f t="shared" si="54"/>
        <v>6.1193137992192207E-3</v>
      </c>
    </row>
    <row r="3465" spans="1:3" x14ac:dyDescent="0.2">
      <c r="A3465" s="1">
        <v>41039</v>
      </c>
      <c r="B3465">
        <v>17.383299999999998</v>
      </c>
      <c r="C3465" s="2">
        <f t="shared" si="54"/>
        <v>4.9942433680156394E-3</v>
      </c>
    </row>
    <row r="3466" spans="1:3" x14ac:dyDescent="0.2">
      <c r="A3466" s="1">
        <v>41038</v>
      </c>
      <c r="B3466">
        <v>17.296700000000001</v>
      </c>
      <c r="C3466" s="2">
        <f t="shared" si="54"/>
        <v>-1.1113557167234766E-2</v>
      </c>
    </row>
    <row r="3467" spans="1:3" x14ac:dyDescent="0.2">
      <c r="A3467" s="1">
        <v>41037</v>
      </c>
      <c r="B3467">
        <v>17.489999999999998</v>
      </c>
      <c r="C3467" s="2">
        <f t="shared" si="54"/>
        <v>3.0521086375609892E-3</v>
      </c>
    </row>
    <row r="3468" spans="1:3" x14ac:dyDescent="0.2">
      <c r="A3468" s="1">
        <v>41036</v>
      </c>
      <c r="B3468">
        <v>17.436699999999998</v>
      </c>
      <c r="C3468" s="2">
        <f t="shared" si="54"/>
        <v>-7.6246825548642767E-4</v>
      </c>
    </row>
    <row r="3469" spans="1:3" x14ac:dyDescent="0.2">
      <c r="A3469" s="1">
        <v>41033</v>
      </c>
      <c r="B3469">
        <v>17.45</v>
      </c>
      <c r="C3469" s="2">
        <f t="shared" si="54"/>
        <v>-1.6104579330038161E-2</v>
      </c>
    </row>
    <row r="3470" spans="1:3" x14ac:dyDescent="0.2">
      <c r="A3470" s="1">
        <v>41032</v>
      </c>
      <c r="B3470">
        <v>17.7333</v>
      </c>
      <c r="C3470" s="2">
        <f t="shared" si="54"/>
        <v>-9.3564848682350255E-3</v>
      </c>
    </row>
    <row r="3471" spans="1:3" x14ac:dyDescent="0.2">
      <c r="A3471" s="1">
        <v>41031</v>
      </c>
      <c r="B3471">
        <v>17.899999999999999</v>
      </c>
      <c r="C3471" s="2">
        <f t="shared" si="54"/>
        <v>4.6644931381247482E-3</v>
      </c>
    </row>
    <row r="3472" spans="1:3" x14ac:dyDescent="0.2">
      <c r="A3472" s="1">
        <v>41030</v>
      </c>
      <c r="B3472">
        <v>17.816700000000001</v>
      </c>
      <c r="C3472" s="2">
        <f t="shared" si="54"/>
        <v>2.6245775420246642E-3</v>
      </c>
    </row>
    <row r="3473" spans="1:3" x14ac:dyDescent="0.2">
      <c r="A3473" s="1">
        <v>41029</v>
      </c>
      <c r="B3473">
        <v>17.77</v>
      </c>
      <c r="C3473" s="2">
        <f t="shared" si="54"/>
        <v>-9.1476775952821204E-3</v>
      </c>
    </row>
    <row r="3474" spans="1:3" x14ac:dyDescent="0.2">
      <c r="A3474" s="1">
        <v>41026</v>
      </c>
      <c r="B3474">
        <v>17.933299999999999</v>
      </c>
      <c r="C3474" s="2">
        <f t="shared" si="54"/>
        <v>3.4410655401605421E-2</v>
      </c>
    </row>
    <row r="3475" spans="1:3" x14ac:dyDescent="0.2">
      <c r="A3475" s="1">
        <v>41025</v>
      </c>
      <c r="B3475">
        <v>17.326699999999999</v>
      </c>
      <c r="C3475" s="2">
        <f t="shared" si="54"/>
        <v>-7.3597481729587896E-2</v>
      </c>
    </row>
    <row r="3476" spans="1:3" x14ac:dyDescent="0.2">
      <c r="A3476" s="1">
        <v>41024</v>
      </c>
      <c r="B3476">
        <v>18.649999999999999</v>
      </c>
      <c r="C3476" s="2">
        <f t="shared" si="54"/>
        <v>1.9311273499399009E-2</v>
      </c>
    </row>
    <row r="3477" spans="1:3" x14ac:dyDescent="0.2">
      <c r="A3477" s="1">
        <v>41023</v>
      </c>
      <c r="B3477">
        <v>18.293299999999999</v>
      </c>
      <c r="C3477" s="2">
        <f t="shared" si="54"/>
        <v>1.4680880413109956E-2</v>
      </c>
    </row>
    <row r="3478" spans="1:3" x14ac:dyDescent="0.2">
      <c r="A3478" s="1">
        <v>41022</v>
      </c>
      <c r="B3478">
        <v>18.026700000000002</v>
      </c>
      <c r="C3478" s="2">
        <f t="shared" si="54"/>
        <v>-2.1040003067671027E-2</v>
      </c>
    </row>
    <row r="3479" spans="1:3" x14ac:dyDescent="0.2">
      <c r="A3479" s="1">
        <v>41019</v>
      </c>
      <c r="B3479">
        <v>18.41</v>
      </c>
      <c r="C3479" s="2">
        <f t="shared" si="54"/>
        <v>5.2664234150802515E-3</v>
      </c>
    </row>
    <row r="3480" spans="1:3" x14ac:dyDescent="0.2">
      <c r="A3480" s="1">
        <v>41018</v>
      </c>
      <c r="B3480">
        <v>18.313300000000002</v>
      </c>
      <c r="C3480" s="2">
        <f t="shared" si="54"/>
        <v>-1.9290385723725038E-2</v>
      </c>
    </row>
    <row r="3481" spans="1:3" x14ac:dyDescent="0.2">
      <c r="A3481" s="1">
        <v>41017</v>
      </c>
      <c r="B3481">
        <v>18.670000000000002</v>
      </c>
      <c r="C3481" s="2">
        <f t="shared" si="54"/>
        <v>1.7676977390054059E-4</v>
      </c>
    </row>
    <row r="3482" spans="1:3" x14ac:dyDescent="0.2">
      <c r="A3482" s="1">
        <v>41016</v>
      </c>
      <c r="B3482">
        <v>18.666699999999999</v>
      </c>
      <c r="C3482" s="2">
        <f t="shared" si="54"/>
        <v>2.4770294040214129E-2</v>
      </c>
    </row>
    <row r="3483" spans="1:3" x14ac:dyDescent="0.2">
      <c r="A3483" s="1">
        <v>41015</v>
      </c>
      <c r="B3483">
        <v>18.21</v>
      </c>
      <c r="C3483" s="2">
        <f t="shared" si="54"/>
        <v>3.2749003593870063E-2</v>
      </c>
    </row>
    <row r="3484" spans="1:3" x14ac:dyDescent="0.2">
      <c r="A3484" s="1">
        <v>41012</v>
      </c>
      <c r="B3484">
        <v>17.6233</v>
      </c>
      <c r="C3484" s="2">
        <f t="shared" si="54"/>
        <v>-3.9641466997192964E-3</v>
      </c>
    </row>
    <row r="3485" spans="1:3" x14ac:dyDescent="0.2">
      <c r="A3485" s="1">
        <v>41011</v>
      </c>
      <c r="B3485">
        <v>17.693300000000001</v>
      </c>
      <c r="C3485" s="2">
        <f t="shared" si="54"/>
        <v>1.7480490719001599E-2</v>
      </c>
    </row>
    <row r="3486" spans="1:3" x14ac:dyDescent="0.2">
      <c r="A3486" s="1">
        <v>41010</v>
      </c>
      <c r="B3486">
        <v>17.386700000000001</v>
      </c>
      <c r="C3486" s="2">
        <f t="shared" si="54"/>
        <v>1.2932162862994338E-2</v>
      </c>
    </row>
    <row r="3487" spans="1:3" x14ac:dyDescent="0.2">
      <c r="A3487" s="1">
        <v>41009</v>
      </c>
      <c r="B3487">
        <v>17.1633</v>
      </c>
      <c r="C3487" s="2">
        <f t="shared" si="54"/>
        <v>-3.9045233921403077E-2</v>
      </c>
    </row>
    <row r="3488" spans="1:3" x14ac:dyDescent="0.2">
      <c r="A3488" s="1">
        <v>41008</v>
      </c>
      <c r="B3488">
        <v>17.846699999999998</v>
      </c>
      <c r="C3488" s="2">
        <f t="shared" si="54"/>
        <v>-1.1698189855464541E-2</v>
      </c>
    </row>
    <row r="3489" spans="1:3" x14ac:dyDescent="0.2">
      <c r="A3489" s="1">
        <v>41004</v>
      </c>
      <c r="B3489">
        <v>18.056699999999999</v>
      </c>
      <c r="C3489" s="2">
        <f t="shared" si="54"/>
        <v>1.8514417705549951E-3</v>
      </c>
    </row>
    <row r="3490" spans="1:3" x14ac:dyDescent="0.2">
      <c r="A3490" s="1">
        <v>41003</v>
      </c>
      <c r="B3490">
        <v>18.023299999999999</v>
      </c>
      <c r="C3490" s="2">
        <f t="shared" si="54"/>
        <v>9.214544088015725E-4</v>
      </c>
    </row>
    <row r="3491" spans="1:3" x14ac:dyDescent="0.2">
      <c r="A3491" s="1">
        <v>41002</v>
      </c>
      <c r="B3491">
        <v>18.006699999999999</v>
      </c>
      <c r="C3491" s="2">
        <f t="shared" si="54"/>
        <v>1.6049965683946184E-2</v>
      </c>
    </row>
    <row r="3492" spans="1:3" x14ac:dyDescent="0.2">
      <c r="A3492" s="1">
        <v>41001</v>
      </c>
      <c r="B3492">
        <v>17.72</v>
      </c>
      <c r="C3492" s="2">
        <f t="shared" si="54"/>
        <v>1.8810004783502657E-3</v>
      </c>
    </row>
    <row r="3493" spans="1:3" x14ac:dyDescent="0.2">
      <c r="A3493" s="1">
        <v>40998</v>
      </c>
      <c r="B3493">
        <v>17.686699999999998</v>
      </c>
      <c r="C3493" s="2">
        <f t="shared" si="54"/>
        <v>1.347329605014843E-2</v>
      </c>
    </row>
    <row r="3494" spans="1:3" x14ac:dyDescent="0.2">
      <c r="A3494" s="1">
        <v>40997</v>
      </c>
      <c r="B3494">
        <v>17.45</v>
      </c>
      <c r="C3494" s="2">
        <f t="shared" si="54"/>
        <v>1.8912963173220072E-4</v>
      </c>
    </row>
    <row r="3495" spans="1:3" x14ac:dyDescent="0.2">
      <c r="A3495" s="1">
        <v>40996</v>
      </c>
      <c r="B3495">
        <v>17.4467</v>
      </c>
      <c r="C3495" s="2">
        <f t="shared" si="54"/>
        <v>-9.1289924046448288E-3</v>
      </c>
    </row>
    <row r="3496" spans="1:3" x14ac:dyDescent="0.2">
      <c r="A3496" s="1">
        <v>40995</v>
      </c>
      <c r="B3496">
        <v>17.6067</v>
      </c>
      <c r="C3496" s="2">
        <f t="shared" si="54"/>
        <v>1.6608157618259317E-2</v>
      </c>
    </row>
    <row r="3497" spans="1:3" x14ac:dyDescent="0.2">
      <c r="A3497" s="1">
        <v>40994</v>
      </c>
      <c r="B3497">
        <v>17.316700000000001</v>
      </c>
      <c r="C3497" s="2">
        <f t="shared" si="54"/>
        <v>1.8458009746873175E-2</v>
      </c>
    </row>
    <row r="3498" spans="1:3" x14ac:dyDescent="0.2">
      <c r="A3498" s="1">
        <v>40991</v>
      </c>
      <c r="B3498">
        <v>17</v>
      </c>
      <c r="C3498" s="2">
        <f t="shared" si="54"/>
        <v>3.7304790041096953E-3</v>
      </c>
    </row>
    <row r="3499" spans="1:3" x14ac:dyDescent="0.2">
      <c r="A3499" s="1">
        <v>40990</v>
      </c>
      <c r="B3499">
        <v>16.936699999999998</v>
      </c>
      <c r="C3499" s="2">
        <f t="shared" si="54"/>
        <v>-1.8717608812357844E-2</v>
      </c>
    </row>
    <row r="3500" spans="1:3" x14ac:dyDescent="0.2">
      <c r="A3500" s="1">
        <v>40989</v>
      </c>
      <c r="B3500">
        <v>17.256699999999999</v>
      </c>
      <c r="C3500" s="2">
        <f t="shared" si="54"/>
        <v>-1.9121179081761988E-4</v>
      </c>
    </row>
    <row r="3501" spans="1:3" x14ac:dyDescent="0.2">
      <c r="A3501" s="1">
        <v>40988</v>
      </c>
      <c r="B3501">
        <v>17.260000000000002</v>
      </c>
      <c r="C3501" s="2">
        <f t="shared" si="54"/>
        <v>-1.5333746840361597E-2</v>
      </c>
    </row>
    <row r="3502" spans="1:3" x14ac:dyDescent="0.2">
      <c r="A3502" s="1">
        <v>40987</v>
      </c>
      <c r="B3502">
        <v>17.526700000000002</v>
      </c>
      <c r="C3502" s="2">
        <f t="shared" si="54"/>
        <v>2.8568672761526553E-3</v>
      </c>
    </row>
    <row r="3503" spans="1:3" x14ac:dyDescent="0.2">
      <c r="A3503" s="1">
        <v>40984</v>
      </c>
      <c r="B3503">
        <v>17.476700000000001</v>
      </c>
      <c r="C3503" s="2">
        <f t="shared" si="54"/>
        <v>6.699855987286815E-3</v>
      </c>
    </row>
    <row r="3504" spans="1:3" x14ac:dyDescent="0.2">
      <c r="A3504" s="1">
        <v>40983</v>
      </c>
      <c r="B3504">
        <v>17.36</v>
      </c>
      <c r="C3504" s="2">
        <f t="shared" si="54"/>
        <v>7.325150623777847E-3</v>
      </c>
    </row>
    <row r="3505" spans="1:3" x14ac:dyDescent="0.2">
      <c r="A3505" s="1">
        <v>40982</v>
      </c>
      <c r="B3505">
        <v>17.2333</v>
      </c>
      <c r="C3505" s="2">
        <f t="shared" si="54"/>
        <v>-9.2415159871283327E-3</v>
      </c>
    </row>
    <row r="3506" spans="1:3" x14ac:dyDescent="0.2">
      <c r="A3506" s="1">
        <v>40981</v>
      </c>
      <c r="B3506">
        <v>17.3933</v>
      </c>
      <c r="C3506" s="2">
        <f t="shared" si="54"/>
        <v>1.7398500731154218E-2</v>
      </c>
    </row>
    <row r="3507" spans="1:3" x14ac:dyDescent="0.2">
      <c r="A3507" s="1">
        <v>40980</v>
      </c>
      <c r="B3507">
        <v>17.093299999999999</v>
      </c>
      <c r="C3507" s="2">
        <f t="shared" si="54"/>
        <v>2.9294092414587488E-3</v>
      </c>
    </row>
    <row r="3508" spans="1:3" x14ac:dyDescent="0.2">
      <c r="A3508" s="1">
        <v>40977</v>
      </c>
      <c r="B3508">
        <v>17.043299999999999</v>
      </c>
      <c r="C3508" s="2">
        <f t="shared" si="54"/>
        <v>2.0749723306313656E-2</v>
      </c>
    </row>
    <row r="3509" spans="1:3" x14ac:dyDescent="0.2">
      <c r="A3509" s="1">
        <v>40976</v>
      </c>
      <c r="B3509">
        <v>16.693300000000001</v>
      </c>
      <c r="C3509" s="2">
        <f t="shared" si="54"/>
        <v>1.6099381540752997E-2</v>
      </c>
    </row>
    <row r="3510" spans="1:3" x14ac:dyDescent="0.2">
      <c r="A3510" s="1">
        <v>40975</v>
      </c>
      <c r="B3510">
        <v>16.4267</v>
      </c>
      <c r="C3510" s="2">
        <f t="shared" si="54"/>
        <v>6.5167102399140992E-3</v>
      </c>
    </row>
    <row r="3511" spans="1:3" x14ac:dyDescent="0.2">
      <c r="A3511" s="1">
        <v>40974</v>
      </c>
      <c r="B3511">
        <v>16.32</v>
      </c>
      <c r="C3511" s="2">
        <f t="shared" si="54"/>
        <v>-3.1959307262409822E-2</v>
      </c>
    </row>
    <row r="3512" spans="1:3" x14ac:dyDescent="0.2">
      <c r="A3512" s="1">
        <v>40973</v>
      </c>
      <c r="B3512">
        <v>16.850000000000001</v>
      </c>
      <c r="C3512" s="2">
        <f t="shared" si="54"/>
        <v>-1.2778539702074269E-2</v>
      </c>
    </row>
    <row r="3513" spans="1:3" x14ac:dyDescent="0.2">
      <c r="A3513" s="1">
        <v>40970</v>
      </c>
      <c r="B3513">
        <v>17.066700000000001</v>
      </c>
      <c r="C3513" s="2">
        <f t="shared" si="54"/>
        <v>-1.010306873510188E-2</v>
      </c>
    </row>
    <row r="3514" spans="1:3" x14ac:dyDescent="0.2">
      <c r="A3514" s="1">
        <v>40969</v>
      </c>
      <c r="B3514">
        <v>17.239999999999998</v>
      </c>
      <c r="C3514" s="2">
        <f t="shared" si="54"/>
        <v>1.049572317201387E-2</v>
      </c>
    </row>
    <row r="3515" spans="1:3" x14ac:dyDescent="0.2">
      <c r="A3515" s="1">
        <v>40968</v>
      </c>
      <c r="B3515">
        <v>17.059999999999999</v>
      </c>
      <c r="C3515" s="2">
        <f t="shared" si="54"/>
        <v>-4.8708846628581787E-3</v>
      </c>
    </row>
    <row r="3516" spans="1:3" x14ac:dyDescent="0.2">
      <c r="A3516" s="1">
        <v>40967</v>
      </c>
      <c r="B3516">
        <v>17.1433</v>
      </c>
      <c r="C3516" s="2">
        <f t="shared" si="54"/>
        <v>-2.528402162579991E-3</v>
      </c>
    </row>
    <row r="3517" spans="1:3" x14ac:dyDescent="0.2">
      <c r="A3517" s="1">
        <v>40966</v>
      </c>
      <c r="B3517">
        <v>17.186699999999998</v>
      </c>
      <c r="C3517" s="2">
        <f t="shared" si="54"/>
        <v>7.7920955004211669E-3</v>
      </c>
    </row>
    <row r="3518" spans="1:3" x14ac:dyDescent="0.2">
      <c r="A3518" s="1">
        <v>40963</v>
      </c>
      <c r="B3518">
        <v>17.0533</v>
      </c>
      <c r="C3518" s="2">
        <f t="shared" si="54"/>
        <v>1.1734817960781076E-3</v>
      </c>
    </row>
    <row r="3519" spans="1:3" x14ac:dyDescent="0.2">
      <c r="A3519" s="1">
        <v>40962</v>
      </c>
      <c r="B3519">
        <v>17.033300000000001</v>
      </c>
      <c r="C3519" s="2">
        <f t="shared" si="54"/>
        <v>2.1157715961745805E-2</v>
      </c>
    </row>
    <row r="3520" spans="1:3" x14ac:dyDescent="0.2">
      <c r="A3520" s="1">
        <v>40961</v>
      </c>
      <c r="B3520">
        <v>16.6767</v>
      </c>
      <c r="C3520" s="2">
        <f t="shared" si="54"/>
        <v>-3.1909793680066642E-3</v>
      </c>
    </row>
    <row r="3521" spans="1:3" x14ac:dyDescent="0.2">
      <c r="A3521" s="1">
        <v>40960</v>
      </c>
      <c r="B3521">
        <v>16.73</v>
      </c>
      <c r="C3521" s="2">
        <f t="shared" si="54"/>
        <v>1.3843134092197657E-2</v>
      </c>
    </row>
    <row r="3522" spans="1:3" x14ac:dyDescent="0.2">
      <c r="A3522" s="1">
        <v>40956</v>
      </c>
      <c r="B3522">
        <v>16.5</v>
      </c>
      <c r="C3522" s="2">
        <f t="shared" si="54"/>
        <v>-6.8431984819944305E-3</v>
      </c>
    </row>
    <row r="3523" spans="1:3" x14ac:dyDescent="0.2">
      <c r="A3523" s="1">
        <v>40955</v>
      </c>
      <c r="B3523">
        <v>16.613299999999999</v>
      </c>
      <c r="C3523" s="2">
        <f t="shared" ref="C3523:C3586" si="55">+LN(B3523/B3524)</f>
        <v>1.9854755565201335E-2</v>
      </c>
    </row>
    <row r="3524" spans="1:3" x14ac:dyDescent="0.2">
      <c r="A3524" s="1">
        <v>40954</v>
      </c>
      <c r="B3524">
        <v>16.2867</v>
      </c>
      <c r="C3524" s="2">
        <f t="shared" si="55"/>
        <v>-1.8650175607099306E-2</v>
      </c>
    </row>
    <row r="3525" spans="1:3" x14ac:dyDescent="0.2">
      <c r="A3525" s="1">
        <v>40953</v>
      </c>
      <c r="B3525">
        <v>16.593299999999999</v>
      </c>
      <c r="C3525" s="2">
        <f t="shared" si="55"/>
        <v>-4.4137173276089601E-3</v>
      </c>
    </row>
    <row r="3526" spans="1:3" x14ac:dyDescent="0.2">
      <c r="A3526" s="1">
        <v>40952</v>
      </c>
      <c r="B3526">
        <v>16.666699999999999</v>
      </c>
      <c r="C3526" s="2">
        <f t="shared" si="55"/>
        <v>2.7167668070769535E-2</v>
      </c>
    </row>
    <row r="3527" spans="1:3" x14ac:dyDescent="0.2">
      <c r="A3527" s="1">
        <v>40949</v>
      </c>
      <c r="B3527">
        <v>16.22</v>
      </c>
      <c r="C3527" s="2">
        <f t="shared" si="55"/>
        <v>1.0301234900069903E-3</v>
      </c>
    </row>
    <row r="3528" spans="1:3" x14ac:dyDescent="0.2">
      <c r="A3528" s="1">
        <v>40948</v>
      </c>
      <c r="B3528">
        <v>16.203299999999999</v>
      </c>
      <c r="C3528" s="2">
        <f t="shared" si="55"/>
        <v>4.3294662606202993E-3</v>
      </c>
    </row>
    <row r="3529" spans="1:3" x14ac:dyDescent="0.2">
      <c r="A3529" s="1">
        <v>40947</v>
      </c>
      <c r="B3529">
        <v>16.133299999999998</v>
      </c>
      <c r="C3529" s="2">
        <f t="shared" si="55"/>
        <v>-3.3044584524458197E-3</v>
      </c>
    </row>
    <row r="3530" spans="1:3" x14ac:dyDescent="0.2">
      <c r="A3530" s="1">
        <v>40946</v>
      </c>
      <c r="B3530">
        <v>16.186699999999998</v>
      </c>
      <c r="C3530" s="2">
        <f t="shared" si="55"/>
        <v>-4.51818673057952E-3</v>
      </c>
    </row>
    <row r="3531" spans="1:3" x14ac:dyDescent="0.2">
      <c r="A3531" s="1">
        <v>40945</v>
      </c>
      <c r="B3531">
        <v>16.260000000000002</v>
      </c>
      <c r="C3531" s="2">
        <f t="shared" si="55"/>
        <v>-3.0703125132577613E-3</v>
      </c>
    </row>
    <row r="3532" spans="1:3" x14ac:dyDescent="0.2">
      <c r="A3532" s="1">
        <v>40942</v>
      </c>
      <c r="B3532">
        <v>16.309999999999999</v>
      </c>
      <c r="C3532" s="2">
        <f t="shared" si="55"/>
        <v>2.7555843225528485E-2</v>
      </c>
    </row>
    <row r="3533" spans="1:3" x14ac:dyDescent="0.2">
      <c r="A3533" s="1">
        <v>40941</v>
      </c>
      <c r="B3533">
        <v>15.8667</v>
      </c>
      <c r="C3533" s="2">
        <f t="shared" si="55"/>
        <v>-1.6253710074063499E-2</v>
      </c>
    </row>
    <row r="3534" spans="1:3" x14ac:dyDescent="0.2">
      <c r="A3534" s="1">
        <v>40940</v>
      </c>
      <c r="B3534">
        <v>16.1267</v>
      </c>
      <c r="C3534" s="2">
        <f t="shared" si="55"/>
        <v>5.0879877958262605E-2</v>
      </c>
    </row>
    <row r="3535" spans="1:3" x14ac:dyDescent="0.2">
      <c r="A3535" s="1">
        <v>40939</v>
      </c>
      <c r="B3535">
        <v>15.326700000000001</v>
      </c>
      <c r="C3535" s="2">
        <f t="shared" si="55"/>
        <v>3.8577076581950025E-2</v>
      </c>
    </row>
    <row r="3536" spans="1:3" x14ac:dyDescent="0.2">
      <c r="A3536" s="1">
        <v>40938</v>
      </c>
      <c r="B3536">
        <v>14.746700000000001</v>
      </c>
      <c r="C3536" s="2">
        <f t="shared" si="55"/>
        <v>9.9978002269543627E-3</v>
      </c>
    </row>
    <row r="3537" spans="1:3" x14ac:dyDescent="0.2">
      <c r="A3537" s="1">
        <v>40935</v>
      </c>
      <c r="B3537">
        <v>14.6</v>
      </c>
      <c r="C3537" s="2">
        <f t="shared" si="55"/>
        <v>1.5971652005242261E-3</v>
      </c>
    </row>
    <row r="3538" spans="1:3" x14ac:dyDescent="0.2">
      <c r="A3538" s="1">
        <v>40934</v>
      </c>
      <c r="B3538">
        <v>14.576700000000001</v>
      </c>
      <c r="C3538" s="2">
        <f t="shared" si="55"/>
        <v>-4.3331450193990805E-3</v>
      </c>
    </row>
    <row r="3539" spans="1:3" x14ac:dyDescent="0.2">
      <c r="A3539" s="1">
        <v>40933</v>
      </c>
      <c r="B3539">
        <v>14.64</v>
      </c>
      <c r="C3539" s="2">
        <f t="shared" si="55"/>
        <v>1.1908051950105128E-2</v>
      </c>
    </row>
    <row r="3540" spans="1:3" x14ac:dyDescent="0.2">
      <c r="A3540" s="1">
        <v>40932</v>
      </c>
      <c r="B3540">
        <v>14.466699999999999</v>
      </c>
      <c r="C3540" s="2">
        <f t="shared" si="55"/>
        <v>3.2333247262574289E-3</v>
      </c>
    </row>
    <row r="3541" spans="1:3" x14ac:dyDescent="0.2">
      <c r="A3541" s="1">
        <v>40931</v>
      </c>
      <c r="B3541">
        <v>14.42</v>
      </c>
      <c r="C3541" s="2">
        <f t="shared" si="55"/>
        <v>3.7031032322873405E-3</v>
      </c>
    </row>
    <row r="3542" spans="1:3" x14ac:dyDescent="0.2">
      <c r="A3542" s="1">
        <v>40928</v>
      </c>
      <c r="B3542">
        <v>14.3667</v>
      </c>
      <c r="C3542" s="2">
        <f t="shared" si="55"/>
        <v>-2.293446516017493E-2</v>
      </c>
    </row>
    <row r="3543" spans="1:3" x14ac:dyDescent="0.2">
      <c r="A3543" s="1">
        <v>40927</v>
      </c>
      <c r="B3543">
        <v>14.7</v>
      </c>
      <c r="C3543" s="2">
        <f t="shared" si="55"/>
        <v>2.4327543181896109E-2</v>
      </c>
    </row>
    <row r="3544" spans="1:3" x14ac:dyDescent="0.2">
      <c r="A3544" s="1">
        <v>40926</v>
      </c>
      <c r="B3544">
        <v>14.3467</v>
      </c>
      <c r="C3544" s="2">
        <f t="shared" si="55"/>
        <v>1.5453326829948499E-2</v>
      </c>
    </row>
    <row r="3545" spans="1:3" x14ac:dyDescent="0.2">
      <c r="A3545" s="1">
        <v>40925</v>
      </c>
      <c r="B3545">
        <v>14.1267</v>
      </c>
      <c r="C3545" s="2">
        <f t="shared" si="55"/>
        <v>1.7379944791370533E-2</v>
      </c>
    </row>
    <row r="3546" spans="1:3" x14ac:dyDescent="0.2">
      <c r="A3546" s="1">
        <v>40921</v>
      </c>
      <c r="B3546">
        <v>13.8833</v>
      </c>
      <c r="C3546" s="2">
        <f t="shared" si="55"/>
        <v>-6.4616868641729289E-3</v>
      </c>
    </row>
    <row r="3547" spans="1:3" x14ac:dyDescent="0.2">
      <c r="A3547" s="1">
        <v>40920</v>
      </c>
      <c r="B3547">
        <v>13.9733</v>
      </c>
      <c r="C3547" s="2">
        <f t="shared" si="55"/>
        <v>-2.4329159332882617E-4</v>
      </c>
    </row>
    <row r="3548" spans="1:3" x14ac:dyDescent="0.2">
      <c r="A3548" s="1">
        <v>40919</v>
      </c>
      <c r="B3548">
        <v>13.976699999999999</v>
      </c>
      <c r="C3548" s="2">
        <f t="shared" si="55"/>
        <v>3.5939774793528514E-2</v>
      </c>
    </row>
    <row r="3549" spans="1:3" x14ac:dyDescent="0.2">
      <c r="A3549" s="1">
        <v>40918</v>
      </c>
      <c r="B3549">
        <v>13.4833</v>
      </c>
      <c r="C3549" s="2">
        <f t="shared" si="55"/>
        <v>1.2185217533205818E-2</v>
      </c>
    </row>
    <row r="3550" spans="1:3" x14ac:dyDescent="0.2">
      <c r="A3550" s="1">
        <v>40917</v>
      </c>
      <c r="B3550">
        <v>13.32</v>
      </c>
      <c r="C3550" s="2">
        <f t="shared" si="55"/>
        <v>-7.4794664312926237E-3</v>
      </c>
    </row>
    <row r="3551" spans="1:3" x14ac:dyDescent="0.2">
      <c r="A3551" s="1">
        <v>40914</v>
      </c>
      <c r="B3551">
        <v>13.42</v>
      </c>
      <c r="C3551" s="2">
        <f t="shared" si="55"/>
        <v>-3.2744150898836789E-2</v>
      </c>
    </row>
    <row r="3552" spans="1:3" x14ac:dyDescent="0.2">
      <c r="A3552" s="1">
        <v>40913</v>
      </c>
      <c r="B3552">
        <v>13.8667</v>
      </c>
      <c r="C3552" s="2">
        <f t="shared" si="55"/>
        <v>4.336300853346315E-3</v>
      </c>
    </row>
    <row r="3553" spans="1:3" x14ac:dyDescent="0.2">
      <c r="A3553" s="1">
        <v>40912</v>
      </c>
      <c r="B3553">
        <v>13.806699999999999</v>
      </c>
      <c r="C3553" s="2">
        <f t="shared" si="55"/>
        <v>4.8538942586720459E-4</v>
      </c>
    </row>
    <row r="3554" spans="1:3" x14ac:dyDescent="0.2">
      <c r="A3554" s="1">
        <v>40911</v>
      </c>
      <c r="B3554">
        <v>13.8</v>
      </c>
      <c r="C3554" s="2">
        <f t="shared" si="55"/>
        <v>1.239534645471773E-2</v>
      </c>
    </row>
    <row r="3555" spans="1:3" x14ac:dyDescent="0.2">
      <c r="A3555" s="1">
        <v>40907</v>
      </c>
      <c r="B3555">
        <v>13.63</v>
      </c>
      <c r="C3555" s="2">
        <f t="shared" si="55"/>
        <v>-7.7978375667173781E-3</v>
      </c>
    </row>
    <row r="3556" spans="1:3" x14ac:dyDescent="0.2">
      <c r="A3556" s="1">
        <v>40906</v>
      </c>
      <c r="B3556">
        <v>13.736700000000001</v>
      </c>
      <c r="C3556" s="2">
        <f t="shared" si="55"/>
        <v>2.4316501276641873E-2</v>
      </c>
    </row>
    <row r="3557" spans="1:3" x14ac:dyDescent="0.2">
      <c r="A3557" s="1">
        <v>40905</v>
      </c>
      <c r="B3557">
        <v>13.406700000000001</v>
      </c>
      <c r="C3557" s="2">
        <f t="shared" si="55"/>
        <v>-4.7104084237558578E-3</v>
      </c>
    </row>
    <row r="3558" spans="1:3" x14ac:dyDescent="0.2">
      <c r="A3558" s="1">
        <v>40904</v>
      </c>
      <c r="B3558">
        <v>13.47</v>
      </c>
      <c r="C3558" s="2">
        <f t="shared" si="55"/>
        <v>3.7188588787369771E-3</v>
      </c>
    </row>
    <row r="3559" spans="1:3" x14ac:dyDescent="0.2">
      <c r="A3559" s="1">
        <v>40900</v>
      </c>
      <c r="B3559">
        <v>13.42</v>
      </c>
      <c r="C3559" s="2">
        <f t="shared" si="55"/>
        <v>9.7342588183818492E-3</v>
      </c>
    </row>
    <row r="3560" spans="1:3" x14ac:dyDescent="0.2">
      <c r="A3560" s="1">
        <v>40899</v>
      </c>
      <c r="B3560">
        <v>13.29</v>
      </c>
      <c r="C3560" s="2">
        <f t="shared" si="55"/>
        <v>1.1099749646938729E-2</v>
      </c>
    </row>
    <row r="3561" spans="1:3" x14ac:dyDescent="0.2">
      <c r="A3561" s="1">
        <v>40898</v>
      </c>
      <c r="B3561">
        <v>13.1433</v>
      </c>
      <c r="C3561" s="2">
        <f t="shared" si="55"/>
        <v>-4.0546752589006325E-3</v>
      </c>
    </row>
    <row r="3562" spans="1:3" x14ac:dyDescent="0.2">
      <c r="A3562" s="1">
        <v>40897</v>
      </c>
      <c r="B3562">
        <v>13.1967</v>
      </c>
      <c r="C3562" s="2">
        <f t="shared" si="55"/>
        <v>4.2570486761187902E-2</v>
      </c>
    </row>
    <row r="3563" spans="1:3" x14ac:dyDescent="0.2">
      <c r="A3563" s="1">
        <v>40896</v>
      </c>
      <c r="B3563">
        <v>12.646699999999999</v>
      </c>
      <c r="C3563" s="2">
        <f t="shared" si="55"/>
        <v>-3.1578890508872004E-3</v>
      </c>
    </row>
    <row r="3564" spans="1:3" x14ac:dyDescent="0.2">
      <c r="A3564" s="1">
        <v>40893</v>
      </c>
      <c r="B3564">
        <v>12.6867</v>
      </c>
      <c r="C3564" s="2">
        <f t="shared" si="55"/>
        <v>3.4267700331318562E-3</v>
      </c>
    </row>
    <row r="3565" spans="1:3" x14ac:dyDescent="0.2">
      <c r="A3565" s="1">
        <v>40892</v>
      </c>
      <c r="B3565">
        <v>12.6433</v>
      </c>
      <c r="C3565" s="2">
        <f t="shared" si="55"/>
        <v>-2.7821926867853397E-2</v>
      </c>
    </row>
    <row r="3566" spans="1:3" x14ac:dyDescent="0.2">
      <c r="A3566" s="1">
        <v>40891</v>
      </c>
      <c r="B3566">
        <v>13</v>
      </c>
      <c r="C3566" s="2">
        <f t="shared" si="55"/>
        <v>-2.1309786586750985E-2</v>
      </c>
    </row>
    <row r="3567" spans="1:3" x14ac:dyDescent="0.2">
      <c r="A3567" s="1">
        <v>40890</v>
      </c>
      <c r="B3567">
        <v>13.28</v>
      </c>
      <c r="C3567" s="2">
        <f t="shared" si="55"/>
        <v>-3.4292288581085191E-2</v>
      </c>
    </row>
    <row r="3568" spans="1:3" x14ac:dyDescent="0.2">
      <c r="A3568" s="1">
        <v>40889</v>
      </c>
      <c r="B3568">
        <v>13.7433</v>
      </c>
      <c r="C3568" s="2">
        <f t="shared" si="55"/>
        <v>-2.6332333235349645E-2</v>
      </c>
    </row>
    <row r="3569" spans="1:3" x14ac:dyDescent="0.2">
      <c r="A3569" s="1">
        <v>40886</v>
      </c>
      <c r="B3569">
        <v>14.11</v>
      </c>
      <c r="C3569" s="2">
        <f t="shared" si="55"/>
        <v>2.9487933030643444E-2</v>
      </c>
    </row>
    <row r="3570" spans="1:3" x14ac:dyDescent="0.2">
      <c r="A3570" s="1">
        <v>40885</v>
      </c>
      <c r="B3570">
        <v>13.7</v>
      </c>
      <c r="C3570" s="2">
        <f t="shared" si="55"/>
        <v>-4.1233004934412731E-2</v>
      </c>
    </row>
    <row r="3571" spans="1:3" x14ac:dyDescent="0.2">
      <c r="A3571" s="1">
        <v>40884</v>
      </c>
      <c r="B3571">
        <v>14.2767</v>
      </c>
      <c r="C3571" s="2">
        <f t="shared" si="55"/>
        <v>-6.0475044643863015E-3</v>
      </c>
    </row>
    <row r="3572" spans="1:3" x14ac:dyDescent="0.2">
      <c r="A3572" s="1">
        <v>40883</v>
      </c>
      <c r="B3572">
        <v>14.363300000000001</v>
      </c>
      <c r="C3572" s="2">
        <f t="shared" si="55"/>
        <v>-2.3668639163743378E-4</v>
      </c>
    </row>
    <row r="3573" spans="1:3" x14ac:dyDescent="0.2">
      <c r="A3573" s="1">
        <v>40882</v>
      </c>
      <c r="B3573">
        <v>14.3667</v>
      </c>
      <c r="C3573" s="2">
        <f t="shared" si="55"/>
        <v>1.0263604249420827E-2</v>
      </c>
    </row>
    <row r="3574" spans="1:3" x14ac:dyDescent="0.2">
      <c r="A3574" s="1">
        <v>40879</v>
      </c>
      <c r="B3574">
        <v>14.22</v>
      </c>
      <c r="C3574" s="2">
        <f t="shared" si="55"/>
        <v>1.6398811418321681E-3</v>
      </c>
    </row>
    <row r="3575" spans="1:3" x14ac:dyDescent="0.2">
      <c r="A3575" s="1">
        <v>40878</v>
      </c>
      <c r="B3575">
        <v>14.1967</v>
      </c>
      <c r="C3575" s="2">
        <f t="shared" si="55"/>
        <v>-9.3456986068177674E-3</v>
      </c>
    </row>
    <row r="3576" spans="1:3" x14ac:dyDescent="0.2">
      <c r="A3576" s="1">
        <v>40877</v>
      </c>
      <c r="B3576">
        <v>14.33</v>
      </c>
      <c r="C3576" s="2">
        <f t="shared" si="55"/>
        <v>5.9421141822927639E-2</v>
      </c>
    </row>
    <row r="3577" spans="1:3" x14ac:dyDescent="0.2">
      <c r="A3577" s="1">
        <v>40876</v>
      </c>
      <c r="B3577">
        <v>13.503299999999999</v>
      </c>
      <c r="C3577" s="2">
        <f t="shared" si="55"/>
        <v>3.4569767365352604E-3</v>
      </c>
    </row>
    <row r="3578" spans="1:3" x14ac:dyDescent="0.2">
      <c r="A3578" s="1">
        <v>40875</v>
      </c>
      <c r="B3578">
        <v>13.4567</v>
      </c>
      <c r="C3578" s="2">
        <f t="shared" si="55"/>
        <v>5.2378453236169568E-2</v>
      </c>
    </row>
    <row r="3579" spans="1:3" x14ac:dyDescent="0.2">
      <c r="A3579" s="1">
        <v>40872</v>
      </c>
      <c r="B3579">
        <v>12.77</v>
      </c>
      <c r="C3579" s="2">
        <f t="shared" si="55"/>
        <v>-2.3465008811236481E-3</v>
      </c>
    </row>
    <row r="3580" spans="1:3" x14ac:dyDescent="0.2">
      <c r="A3580" s="1">
        <v>40870</v>
      </c>
      <c r="B3580">
        <v>12.8</v>
      </c>
      <c r="C3580" s="2">
        <f t="shared" si="55"/>
        <v>-6.0131853367178863E-2</v>
      </c>
    </row>
    <row r="3581" spans="1:3" x14ac:dyDescent="0.2">
      <c r="A3581" s="1">
        <v>40869</v>
      </c>
      <c r="B3581">
        <v>13.593299999999999</v>
      </c>
      <c r="C3581" s="2">
        <f t="shared" si="55"/>
        <v>4.9115142981153636E-3</v>
      </c>
    </row>
    <row r="3582" spans="1:3" x14ac:dyDescent="0.2">
      <c r="A3582" s="1">
        <v>40868</v>
      </c>
      <c r="B3582">
        <v>13.5267</v>
      </c>
      <c r="C3582" s="2">
        <f t="shared" si="55"/>
        <v>-1.8066425450236973E-2</v>
      </c>
    </row>
    <row r="3583" spans="1:3" x14ac:dyDescent="0.2">
      <c r="A3583" s="1">
        <v>40865</v>
      </c>
      <c r="B3583">
        <v>13.773300000000001</v>
      </c>
      <c r="C3583" s="2">
        <f t="shared" si="55"/>
        <v>-3.8695700458246714E-3</v>
      </c>
    </row>
    <row r="3584" spans="1:3" x14ac:dyDescent="0.2">
      <c r="A3584" s="1">
        <v>40864</v>
      </c>
      <c r="B3584">
        <v>13.826700000000001</v>
      </c>
      <c r="C3584" s="2">
        <f t="shared" si="55"/>
        <v>-3.1789153642693767E-2</v>
      </c>
    </row>
    <row r="3585" spans="1:3" x14ac:dyDescent="0.2">
      <c r="A3585" s="1">
        <v>40863</v>
      </c>
      <c r="B3585">
        <v>14.273300000000001</v>
      </c>
      <c r="C3585" s="2">
        <f t="shared" si="55"/>
        <v>-1.598555060622258E-2</v>
      </c>
    </row>
    <row r="3586" spans="1:3" x14ac:dyDescent="0.2">
      <c r="A3586" s="1">
        <v>40862</v>
      </c>
      <c r="B3586">
        <v>14.503299999999999</v>
      </c>
      <c r="C3586" s="2">
        <f t="shared" si="55"/>
        <v>-4.6185715648335175E-4</v>
      </c>
    </row>
    <row r="3587" spans="1:3" x14ac:dyDescent="0.2">
      <c r="A3587" s="1">
        <v>40861</v>
      </c>
      <c r="B3587">
        <v>14.51</v>
      </c>
      <c r="C3587" s="2">
        <f t="shared" ref="C3587:C3650" si="56">+LN(B3587/B3588)</f>
        <v>-1.6405015889732318E-2</v>
      </c>
    </row>
    <row r="3588" spans="1:3" x14ac:dyDescent="0.2">
      <c r="A3588" s="1">
        <v>40858</v>
      </c>
      <c r="B3588">
        <v>14.75</v>
      </c>
      <c r="C3588" s="2">
        <f t="shared" si="56"/>
        <v>3.2383125874390607E-2</v>
      </c>
    </row>
    <row r="3589" spans="1:3" x14ac:dyDescent="0.2">
      <c r="A3589" s="1">
        <v>40857</v>
      </c>
      <c r="B3589">
        <v>14.28</v>
      </c>
      <c r="C3589" s="2">
        <f t="shared" si="56"/>
        <v>1.4015419252884772E-3</v>
      </c>
    </row>
    <row r="3590" spans="1:3" x14ac:dyDescent="0.2">
      <c r="A3590" s="1">
        <v>40856</v>
      </c>
      <c r="B3590">
        <v>14.26</v>
      </c>
      <c r="C3590" s="2">
        <f t="shared" si="56"/>
        <v>-5.1924231349838756E-2</v>
      </c>
    </row>
    <row r="3591" spans="1:3" x14ac:dyDescent="0.2">
      <c r="A3591" s="1">
        <v>40855</v>
      </c>
      <c r="B3591">
        <v>15.02</v>
      </c>
      <c r="C3591" s="2">
        <f t="shared" si="56"/>
        <v>2.1535152551298179E-2</v>
      </c>
    </row>
    <row r="3592" spans="1:3" x14ac:dyDescent="0.2">
      <c r="A3592" s="1">
        <v>40854</v>
      </c>
      <c r="B3592">
        <v>14.7</v>
      </c>
      <c r="C3592" s="2">
        <f t="shared" si="56"/>
        <v>-7.2322872491280667E-3</v>
      </c>
    </row>
    <row r="3593" spans="1:3" x14ac:dyDescent="0.2">
      <c r="A3593" s="1">
        <v>40851</v>
      </c>
      <c r="B3593">
        <v>14.806699999999999</v>
      </c>
      <c r="C3593" s="2">
        <f t="shared" si="56"/>
        <v>1.351652939164982E-3</v>
      </c>
    </row>
    <row r="3594" spans="1:3" x14ac:dyDescent="0.2">
      <c r="A3594" s="1">
        <v>40850</v>
      </c>
      <c r="B3594">
        <v>14.7867</v>
      </c>
      <c r="C3594" s="2">
        <f t="shared" si="56"/>
        <v>4.3540117837106131E-2</v>
      </c>
    </row>
    <row r="3595" spans="1:3" x14ac:dyDescent="0.2">
      <c r="A3595" s="1">
        <v>40849</v>
      </c>
      <c r="B3595">
        <v>14.156700000000001</v>
      </c>
      <c r="C3595" s="2">
        <f t="shared" si="56"/>
        <v>2.1902777624199853E-2</v>
      </c>
    </row>
    <row r="3596" spans="1:3" x14ac:dyDescent="0.2">
      <c r="A3596" s="1">
        <v>40848</v>
      </c>
      <c r="B3596">
        <v>13.85</v>
      </c>
      <c r="C3596" s="2">
        <f t="shared" si="56"/>
        <v>-3.2903942315539163E-2</v>
      </c>
    </row>
    <row r="3597" spans="1:3" x14ac:dyDescent="0.2">
      <c r="A3597" s="1">
        <v>40847</v>
      </c>
      <c r="B3597">
        <v>14.3133</v>
      </c>
      <c r="C3597" s="2">
        <f t="shared" si="56"/>
        <v>-2.2793718019364285E-2</v>
      </c>
    </row>
    <row r="3598" spans="1:3" x14ac:dyDescent="0.2">
      <c r="A3598" s="1">
        <v>40844</v>
      </c>
      <c r="B3598">
        <v>14.6433</v>
      </c>
      <c r="C3598" s="2">
        <f t="shared" si="56"/>
        <v>3.8727383332898763E-3</v>
      </c>
    </row>
    <row r="3599" spans="1:3" x14ac:dyDescent="0.2">
      <c r="A3599" s="1">
        <v>40843</v>
      </c>
      <c r="B3599">
        <v>14.5867</v>
      </c>
      <c r="C3599" s="2">
        <f t="shared" si="56"/>
        <v>7.4705639160223269E-2</v>
      </c>
    </row>
    <row r="3600" spans="1:3" x14ac:dyDescent="0.2">
      <c r="A3600" s="1">
        <v>40842</v>
      </c>
      <c r="B3600">
        <v>13.5367</v>
      </c>
      <c r="C3600" s="2">
        <f t="shared" si="56"/>
        <v>2.014737929279805E-2</v>
      </c>
    </row>
    <row r="3601" spans="1:3" x14ac:dyDescent="0.2">
      <c r="A3601" s="1">
        <v>40841</v>
      </c>
      <c r="B3601">
        <v>13.2667</v>
      </c>
      <c r="C3601" s="2">
        <f t="shared" si="56"/>
        <v>-1.6691534037724633E-2</v>
      </c>
    </row>
    <row r="3602" spans="1:3" x14ac:dyDescent="0.2">
      <c r="A3602" s="1">
        <v>40840</v>
      </c>
      <c r="B3602">
        <v>13.49</v>
      </c>
      <c r="C3602" s="2">
        <f t="shared" si="56"/>
        <v>2.5275992508376147E-2</v>
      </c>
    </row>
    <row r="3603" spans="1:3" x14ac:dyDescent="0.2">
      <c r="A3603" s="1">
        <v>40837</v>
      </c>
      <c r="B3603">
        <v>13.1533</v>
      </c>
      <c r="C3603" s="2">
        <f t="shared" si="56"/>
        <v>2.8267109485389533E-2</v>
      </c>
    </row>
    <row r="3604" spans="1:3" x14ac:dyDescent="0.2">
      <c r="A3604" s="1">
        <v>40836</v>
      </c>
      <c r="B3604">
        <v>12.7867</v>
      </c>
      <c r="C3604" s="2">
        <f t="shared" si="56"/>
        <v>-1.1144624557867343E-2</v>
      </c>
    </row>
    <row r="3605" spans="1:3" x14ac:dyDescent="0.2">
      <c r="A3605" s="1">
        <v>40835</v>
      </c>
      <c r="B3605">
        <v>12.93</v>
      </c>
      <c r="C3605" s="2">
        <f t="shared" si="56"/>
        <v>-1.5600796777725521E-2</v>
      </c>
    </row>
    <row r="3606" spans="1:3" x14ac:dyDescent="0.2">
      <c r="A3606" s="1">
        <v>40834</v>
      </c>
      <c r="B3606">
        <v>13.1333</v>
      </c>
      <c r="C3606" s="2">
        <f t="shared" si="56"/>
        <v>3.1975431649515405E-2</v>
      </c>
    </row>
    <row r="3607" spans="1:3" x14ac:dyDescent="0.2">
      <c r="A3607" s="1">
        <v>40833</v>
      </c>
      <c r="B3607">
        <v>12.72</v>
      </c>
      <c r="C3607" s="2">
        <f t="shared" si="56"/>
        <v>-1.5856325785522894E-2</v>
      </c>
    </row>
    <row r="3608" spans="1:3" x14ac:dyDescent="0.2">
      <c r="A3608" s="1">
        <v>40830</v>
      </c>
      <c r="B3608">
        <v>12.923299999999999</v>
      </c>
      <c r="C3608" s="2">
        <f t="shared" si="56"/>
        <v>1.9266220925873746E-2</v>
      </c>
    </row>
    <row r="3609" spans="1:3" x14ac:dyDescent="0.2">
      <c r="A3609" s="1">
        <v>40829</v>
      </c>
      <c r="B3609">
        <v>12.6767</v>
      </c>
      <c r="C3609" s="2">
        <f t="shared" si="56"/>
        <v>-1.5653813896766188E-2</v>
      </c>
    </row>
    <row r="3610" spans="1:3" x14ac:dyDescent="0.2">
      <c r="A3610" s="1">
        <v>40828</v>
      </c>
      <c r="B3610">
        <v>12.8767</v>
      </c>
      <c r="C3610" s="2">
        <f t="shared" si="56"/>
        <v>2.4369018366160157E-2</v>
      </c>
    </row>
    <row r="3611" spans="1:3" x14ac:dyDescent="0.2">
      <c r="A3611" s="1">
        <v>40827</v>
      </c>
      <c r="B3611">
        <v>12.566700000000001</v>
      </c>
      <c r="C3611" s="2">
        <f t="shared" si="56"/>
        <v>-6.8675924159666982E-3</v>
      </c>
    </row>
    <row r="3612" spans="1:3" x14ac:dyDescent="0.2">
      <c r="A3612" s="1">
        <v>40826</v>
      </c>
      <c r="B3612">
        <v>12.6533</v>
      </c>
      <c r="C3612" s="2">
        <f t="shared" si="56"/>
        <v>4.7195015608757988E-2</v>
      </c>
    </row>
    <row r="3613" spans="1:3" x14ac:dyDescent="0.2">
      <c r="A3613" s="1">
        <v>40823</v>
      </c>
      <c r="B3613">
        <v>12.07</v>
      </c>
      <c r="C3613" s="2">
        <f t="shared" si="56"/>
        <v>8.5952427718759654E-3</v>
      </c>
    </row>
    <row r="3614" spans="1:3" x14ac:dyDescent="0.2">
      <c r="A3614" s="1">
        <v>40822</v>
      </c>
      <c r="B3614">
        <v>11.966699999999999</v>
      </c>
      <c r="C3614" s="2">
        <f t="shared" si="56"/>
        <v>2.2256939020787549E-2</v>
      </c>
    </row>
    <row r="3615" spans="1:3" x14ac:dyDescent="0.2">
      <c r="A3615" s="1">
        <v>40821</v>
      </c>
      <c r="B3615">
        <v>11.7033</v>
      </c>
      <c r="C3615" s="2">
        <f t="shared" si="56"/>
        <v>-7.1009238348560032E-3</v>
      </c>
    </row>
    <row r="3616" spans="1:3" x14ac:dyDescent="0.2">
      <c r="A3616" s="1">
        <v>40820</v>
      </c>
      <c r="B3616">
        <v>11.7867</v>
      </c>
      <c r="C3616" s="2">
        <f t="shared" si="56"/>
        <v>8.5270559475668181E-2</v>
      </c>
    </row>
    <row r="3617" spans="1:3" x14ac:dyDescent="0.2">
      <c r="A3617" s="1">
        <v>40819</v>
      </c>
      <c r="B3617">
        <v>10.8233</v>
      </c>
      <c r="C3617" s="2">
        <f t="shared" si="56"/>
        <v>-5.0156211022220364E-2</v>
      </c>
    </row>
    <row r="3618" spans="1:3" x14ac:dyDescent="0.2">
      <c r="A3618" s="1">
        <v>40816</v>
      </c>
      <c r="B3618">
        <v>11.38</v>
      </c>
      <c r="C3618" s="2">
        <f t="shared" si="56"/>
        <v>-3.1425436492899778E-2</v>
      </c>
    </row>
    <row r="3619" spans="1:3" x14ac:dyDescent="0.2">
      <c r="A3619" s="1">
        <v>40815</v>
      </c>
      <c r="B3619">
        <v>11.7433</v>
      </c>
      <c r="C3619" s="2">
        <f t="shared" si="56"/>
        <v>1.6883183333099169E-2</v>
      </c>
    </row>
    <row r="3620" spans="1:3" x14ac:dyDescent="0.2">
      <c r="A3620" s="1">
        <v>40814</v>
      </c>
      <c r="B3620">
        <v>11.5467</v>
      </c>
      <c r="C3620" s="2">
        <f t="shared" si="56"/>
        <v>-3.850696793001479E-2</v>
      </c>
    </row>
    <row r="3621" spans="1:3" x14ac:dyDescent="0.2">
      <c r="A3621" s="1">
        <v>40813</v>
      </c>
      <c r="B3621">
        <v>12</v>
      </c>
      <c r="C3621" s="2">
        <f t="shared" si="56"/>
        <v>1.8223374971843447E-2</v>
      </c>
    </row>
    <row r="3622" spans="1:3" x14ac:dyDescent="0.2">
      <c r="A3622" s="1">
        <v>40812</v>
      </c>
      <c r="B3622">
        <v>11.783300000000001</v>
      </c>
      <c r="C3622" s="2">
        <f t="shared" si="56"/>
        <v>3.5115870596312986E-2</v>
      </c>
    </row>
    <row r="3623" spans="1:3" x14ac:dyDescent="0.2">
      <c r="A3623" s="1">
        <v>40809</v>
      </c>
      <c r="B3623">
        <v>11.3767</v>
      </c>
      <c r="C3623" s="2">
        <f t="shared" si="56"/>
        <v>2.7934080116318798E-2</v>
      </c>
    </row>
    <row r="3624" spans="1:3" x14ac:dyDescent="0.2">
      <c r="A3624" s="1">
        <v>40808</v>
      </c>
      <c r="B3624">
        <v>11.0633</v>
      </c>
      <c r="C3624" s="2">
        <f t="shared" si="56"/>
        <v>-3.7843767757139345E-2</v>
      </c>
    </row>
    <row r="3625" spans="1:3" x14ac:dyDescent="0.2">
      <c r="A3625" s="1">
        <v>40807</v>
      </c>
      <c r="B3625">
        <v>11.49</v>
      </c>
      <c r="C3625" s="2">
        <f t="shared" si="56"/>
        <v>-4.7861389504652123E-2</v>
      </c>
    </row>
    <row r="3626" spans="1:3" x14ac:dyDescent="0.2">
      <c r="A3626" s="1">
        <v>40806</v>
      </c>
      <c r="B3626">
        <v>12.0533</v>
      </c>
      <c r="C3626" s="2">
        <f t="shared" si="56"/>
        <v>-4.2237036614848691E-2</v>
      </c>
    </row>
    <row r="3627" spans="1:3" x14ac:dyDescent="0.2">
      <c r="A3627" s="1">
        <v>40805</v>
      </c>
      <c r="B3627">
        <v>12.5733</v>
      </c>
      <c r="C3627" s="2">
        <f t="shared" si="56"/>
        <v>-2.3831664481070184E-3</v>
      </c>
    </row>
    <row r="3628" spans="1:3" x14ac:dyDescent="0.2">
      <c r="A3628" s="1">
        <v>40802</v>
      </c>
      <c r="B3628">
        <v>12.603300000000001</v>
      </c>
      <c r="C3628" s="2">
        <f t="shared" si="56"/>
        <v>-5.0178182054887175E-3</v>
      </c>
    </row>
    <row r="3629" spans="1:3" x14ac:dyDescent="0.2">
      <c r="A3629" s="1">
        <v>40801</v>
      </c>
      <c r="B3629">
        <v>12.666700000000001</v>
      </c>
      <c r="C3629" s="2">
        <f t="shared" si="56"/>
        <v>1.2712001922195923E-2</v>
      </c>
    </row>
    <row r="3630" spans="1:3" x14ac:dyDescent="0.2">
      <c r="A3630" s="1">
        <v>40800</v>
      </c>
      <c r="B3630">
        <v>12.5067</v>
      </c>
      <c r="C3630" s="2">
        <f t="shared" si="56"/>
        <v>2.5377880154972839E-2</v>
      </c>
    </row>
    <row r="3631" spans="1:3" x14ac:dyDescent="0.2">
      <c r="A3631" s="1">
        <v>40799</v>
      </c>
      <c r="B3631">
        <v>12.193300000000001</v>
      </c>
      <c r="C3631" s="2">
        <f t="shared" si="56"/>
        <v>3.081445972704757E-2</v>
      </c>
    </row>
    <row r="3632" spans="1:3" x14ac:dyDescent="0.2">
      <c r="A3632" s="1">
        <v>40798</v>
      </c>
      <c r="B3632">
        <v>11.8233</v>
      </c>
      <c r="C3632" s="2">
        <f t="shared" si="56"/>
        <v>-4.2200209483539107E-3</v>
      </c>
    </row>
    <row r="3633" spans="1:3" x14ac:dyDescent="0.2">
      <c r="A3633" s="1">
        <v>40795</v>
      </c>
      <c r="B3633">
        <v>11.8733</v>
      </c>
      <c r="C3633" s="2">
        <f t="shared" si="56"/>
        <v>-4.5820723744721105E-2</v>
      </c>
    </row>
    <row r="3634" spans="1:3" x14ac:dyDescent="0.2">
      <c r="A3634" s="1">
        <v>40794</v>
      </c>
      <c r="B3634">
        <v>12.43</v>
      </c>
      <c r="C3634" s="2">
        <f t="shared" si="56"/>
        <v>-2.4633744621397537E-2</v>
      </c>
    </row>
    <row r="3635" spans="1:3" x14ac:dyDescent="0.2">
      <c r="A3635" s="1">
        <v>40793</v>
      </c>
      <c r="B3635">
        <v>12.74</v>
      </c>
      <c r="C3635" s="2">
        <f t="shared" si="56"/>
        <v>4.3581226797591181E-2</v>
      </c>
    </row>
    <row r="3636" spans="1:3" x14ac:dyDescent="0.2">
      <c r="A3636" s="1">
        <v>40792</v>
      </c>
      <c r="B3636">
        <v>12.1967</v>
      </c>
      <c r="C3636" s="2">
        <f t="shared" si="56"/>
        <v>-1.3566983338815699E-2</v>
      </c>
    </row>
    <row r="3637" spans="1:3" x14ac:dyDescent="0.2">
      <c r="A3637" s="1">
        <v>40788</v>
      </c>
      <c r="B3637">
        <v>12.363300000000001</v>
      </c>
      <c r="C3637" s="2">
        <f t="shared" si="56"/>
        <v>-3.8868181024634747E-2</v>
      </c>
    </row>
    <row r="3638" spans="1:3" x14ac:dyDescent="0.2">
      <c r="A3638" s="1">
        <v>40787</v>
      </c>
      <c r="B3638">
        <v>12.853300000000001</v>
      </c>
      <c r="C3638" s="2">
        <f t="shared" si="56"/>
        <v>-2.3581338187294527E-2</v>
      </c>
    </row>
    <row r="3639" spans="1:3" x14ac:dyDescent="0.2">
      <c r="A3639" s="1">
        <v>40786</v>
      </c>
      <c r="B3639">
        <v>13.16</v>
      </c>
      <c r="C3639" s="2">
        <f t="shared" si="56"/>
        <v>-4.0419721889853408E-3</v>
      </c>
    </row>
    <row r="3640" spans="1:3" x14ac:dyDescent="0.2">
      <c r="A3640" s="1">
        <v>40785</v>
      </c>
      <c r="B3640">
        <v>13.2133</v>
      </c>
      <c r="C3640" s="2">
        <f t="shared" si="56"/>
        <v>1.371627731097359E-2</v>
      </c>
    </row>
    <row r="3641" spans="1:3" x14ac:dyDescent="0.2">
      <c r="A3641" s="1">
        <v>40784</v>
      </c>
      <c r="B3641">
        <v>13.033300000000001</v>
      </c>
      <c r="C3641" s="2">
        <f t="shared" si="56"/>
        <v>5.1691948017963021E-2</v>
      </c>
    </row>
    <row r="3642" spans="1:3" x14ac:dyDescent="0.2">
      <c r="A3642" s="1">
        <v>40781</v>
      </c>
      <c r="B3642">
        <v>12.3767</v>
      </c>
      <c r="C3642" s="2">
        <f t="shared" si="56"/>
        <v>3.2577080069916546E-2</v>
      </c>
    </row>
    <row r="3643" spans="1:3" x14ac:dyDescent="0.2">
      <c r="A3643" s="1">
        <v>40780</v>
      </c>
      <c r="B3643">
        <v>11.98</v>
      </c>
      <c r="C3643" s="2">
        <f t="shared" si="56"/>
        <v>-4.4088772984649124E-2</v>
      </c>
    </row>
    <row r="3644" spans="1:3" x14ac:dyDescent="0.2">
      <c r="A3644" s="1">
        <v>40779</v>
      </c>
      <c r="B3644">
        <v>12.52</v>
      </c>
      <c r="C3644" s="2">
        <f t="shared" si="56"/>
        <v>2.0439091777564557E-2</v>
      </c>
    </row>
    <row r="3645" spans="1:3" x14ac:dyDescent="0.2">
      <c r="A3645" s="1">
        <v>40778</v>
      </c>
      <c r="B3645">
        <v>12.2667</v>
      </c>
      <c r="C3645" s="2">
        <f t="shared" si="56"/>
        <v>5.38765696737157E-2</v>
      </c>
    </row>
    <row r="3646" spans="1:3" x14ac:dyDescent="0.2">
      <c r="A3646" s="1">
        <v>40777</v>
      </c>
      <c r="B3646">
        <v>11.6233</v>
      </c>
      <c r="C3646" s="2">
        <f t="shared" si="56"/>
        <v>1.8810802161324362E-2</v>
      </c>
    </row>
    <row r="3647" spans="1:3" x14ac:dyDescent="0.2">
      <c r="A3647" s="1">
        <v>40774</v>
      </c>
      <c r="B3647">
        <v>11.406700000000001</v>
      </c>
      <c r="C3647" s="2">
        <f t="shared" si="56"/>
        <v>-3.8405407765811E-2</v>
      </c>
    </row>
    <row r="3648" spans="1:3" x14ac:dyDescent="0.2">
      <c r="A3648" s="1">
        <v>40773</v>
      </c>
      <c r="B3648">
        <v>11.853300000000001</v>
      </c>
      <c r="C3648" s="2">
        <f t="shared" si="56"/>
        <v>-6.2145502980786152E-2</v>
      </c>
    </row>
    <row r="3649" spans="1:3" x14ac:dyDescent="0.2">
      <c r="A3649" s="1">
        <v>40772</v>
      </c>
      <c r="B3649">
        <v>12.613300000000001</v>
      </c>
      <c r="C3649" s="2">
        <f t="shared" si="56"/>
        <v>-1.8335156215597729E-2</v>
      </c>
    </row>
    <row r="3650" spans="1:3" x14ac:dyDescent="0.2">
      <c r="A3650" s="1">
        <v>40771</v>
      </c>
      <c r="B3650">
        <v>12.8467</v>
      </c>
      <c r="C3650" s="2">
        <f t="shared" si="56"/>
        <v>-3.1416115984920084E-2</v>
      </c>
    </row>
    <row r="3651" spans="1:3" x14ac:dyDescent="0.2">
      <c r="A3651" s="1">
        <v>40770</v>
      </c>
      <c r="B3651">
        <v>13.2567</v>
      </c>
      <c r="C3651" s="2">
        <f t="shared" ref="C3651:C3714" si="57">+LN(B3651/B3652)</f>
        <v>2.2380796865326364E-2</v>
      </c>
    </row>
    <row r="3652" spans="1:3" x14ac:dyDescent="0.2">
      <c r="A3652" s="1">
        <v>40767</v>
      </c>
      <c r="B3652">
        <v>12.9633</v>
      </c>
      <c r="C3652" s="2">
        <f t="shared" si="57"/>
        <v>1.5807010224492442E-2</v>
      </c>
    </row>
    <row r="3653" spans="1:3" x14ac:dyDescent="0.2">
      <c r="A3653" s="1">
        <v>40766</v>
      </c>
      <c r="B3653">
        <v>12.76</v>
      </c>
      <c r="C3653" s="2">
        <f t="shared" si="57"/>
        <v>6.2517576117569904E-2</v>
      </c>
    </row>
    <row r="3654" spans="1:3" x14ac:dyDescent="0.2">
      <c r="A3654" s="1">
        <v>40765</v>
      </c>
      <c r="B3654">
        <v>11.986700000000001</v>
      </c>
      <c r="C3654" s="2">
        <f t="shared" si="57"/>
        <v>-4.1666907655047082E-2</v>
      </c>
    </row>
    <row r="3655" spans="1:3" x14ac:dyDescent="0.2">
      <c r="A3655" s="1">
        <v>40764</v>
      </c>
      <c r="B3655">
        <v>12.496700000000001</v>
      </c>
      <c r="C3655" s="2">
        <f t="shared" si="57"/>
        <v>7.0733702176182398E-2</v>
      </c>
    </row>
    <row r="3656" spans="1:3" x14ac:dyDescent="0.2">
      <c r="A3656" s="1">
        <v>40763</v>
      </c>
      <c r="B3656">
        <v>11.6433</v>
      </c>
      <c r="C3656" s="2">
        <f t="shared" si="57"/>
        <v>-0.10481928550582757</v>
      </c>
    </row>
    <row r="3657" spans="1:3" x14ac:dyDescent="0.2">
      <c r="A3657" s="1">
        <v>40760</v>
      </c>
      <c r="B3657">
        <v>12.93</v>
      </c>
      <c r="C3657" s="2">
        <f t="shared" si="57"/>
        <v>2.552529919065843E-4</v>
      </c>
    </row>
    <row r="3658" spans="1:3" x14ac:dyDescent="0.2">
      <c r="A3658" s="1">
        <v>40759</v>
      </c>
      <c r="B3658">
        <v>12.9267</v>
      </c>
      <c r="C3658" s="2">
        <f t="shared" si="57"/>
        <v>-6.8268010397664058E-2</v>
      </c>
    </row>
    <row r="3659" spans="1:3" x14ac:dyDescent="0.2">
      <c r="A3659" s="1">
        <v>40758</v>
      </c>
      <c r="B3659">
        <v>13.84</v>
      </c>
      <c r="C3659" s="2">
        <f t="shared" si="57"/>
        <v>4.1052357705426241E-3</v>
      </c>
    </row>
    <row r="3660" spans="1:3" x14ac:dyDescent="0.2">
      <c r="A3660" s="1">
        <v>40757</v>
      </c>
      <c r="B3660">
        <v>13.783300000000001</v>
      </c>
      <c r="C3660" s="2">
        <f t="shared" si="57"/>
        <v>-4.7465047768578156E-2</v>
      </c>
    </row>
    <row r="3661" spans="1:3" x14ac:dyDescent="0.2">
      <c r="A3661" s="1">
        <v>40756</v>
      </c>
      <c r="B3661">
        <v>14.4533</v>
      </c>
      <c r="C3661" s="2">
        <f t="shared" si="57"/>
        <v>-1.3060130780692113E-2</v>
      </c>
    </row>
    <row r="3662" spans="1:3" x14ac:dyDescent="0.2">
      <c r="A3662" s="1">
        <v>40753</v>
      </c>
      <c r="B3662">
        <v>14.6433</v>
      </c>
      <c r="C3662" s="2">
        <f t="shared" si="57"/>
        <v>-5.0000104167056405E-3</v>
      </c>
    </row>
    <row r="3663" spans="1:3" x14ac:dyDescent="0.2">
      <c r="A3663" s="1">
        <v>40752</v>
      </c>
      <c r="B3663">
        <v>14.716699999999999</v>
      </c>
      <c r="C3663" s="2">
        <f t="shared" si="57"/>
        <v>-6.8701549988513438E-2</v>
      </c>
    </row>
    <row r="3664" spans="1:3" x14ac:dyDescent="0.2">
      <c r="A3664" s="1">
        <v>40751</v>
      </c>
      <c r="B3664">
        <v>15.763299999999999</v>
      </c>
      <c r="C3664" s="2">
        <f t="shared" si="57"/>
        <v>-4.4463071107855461E-2</v>
      </c>
    </row>
    <row r="3665" spans="1:3" x14ac:dyDescent="0.2">
      <c r="A3665" s="1">
        <v>40750</v>
      </c>
      <c r="B3665">
        <v>16.48</v>
      </c>
      <c r="C3665" s="2">
        <f t="shared" si="57"/>
        <v>-2.1211542931898496E-2</v>
      </c>
    </row>
    <row r="3666" spans="1:3" x14ac:dyDescent="0.2">
      <c r="A3666" s="1">
        <v>40749</v>
      </c>
      <c r="B3666">
        <v>16.833300000000001</v>
      </c>
      <c r="C3666" s="2">
        <f t="shared" si="57"/>
        <v>-3.9794140095656246E-4</v>
      </c>
    </row>
    <row r="3667" spans="1:3" x14ac:dyDescent="0.2">
      <c r="A3667" s="1">
        <v>40746</v>
      </c>
      <c r="B3667">
        <v>16.84</v>
      </c>
      <c r="C3667" s="2">
        <f t="shared" si="57"/>
        <v>-5.9364798419010538E-4</v>
      </c>
    </row>
    <row r="3668" spans="1:3" x14ac:dyDescent="0.2">
      <c r="A3668" s="1">
        <v>40745</v>
      </c>
      <c r="B3668">
        <v>16.850000000000001</v>
      </c>
      <c r="C3668" s="2">
        <f t="shared" si="57"/>
        <v>6.3524785486349872E-3</v>
      </c>
    </row>
    <row r="3669" spans="1:3" x14ac:dyDescent="0.2">
      <c r="A3669" s="1">
        <v>40744</v>
      </c>
      <c r="B3669">
        <v>16.743300000000001</v>
      </c>
      <c r="C3669" s="2">
        <f t="shared" si="57"/>
        <v>-1.9928407549982085E-3</v>
      </c>
    </row>
    <row r="3670" spans="1:3" x14ac:dyDescent="0.2">
      <c r="A3670" s="1">
        <v>40743</v>
      </c>
      <c r="B3670">
        <v>16.776700000000002</v>
      </c>
      <c r="C3670" s="2">
        <f t="shared" si="57"/>
        <v>1.9665541793353163E-2</v>
      </c>
    </row>
    <row r="3671" spans="1:3" x14ac:dyDescent="0.2">
      <c r="A3671" s="1">
        <v>40742</v>
      </c>
      <c r="B3671">
        <v>16.45</v>
      </c>
      <c r="C3671" s="2">
        <f t="shared" si="57"/>
        <v>-1.1682255827096274E-2</v>
      </c>
    </row>
    <row r="3672" spans="1:3" x14ac:dyDescent="0.2">
      <c r="A3672" s="1">
        <v>40739</v>
      </c>
      <c r="B3672">
        <v>16.6433</v>
      </c>
      <c r="C3672" s="2">
        <f t="shared" si="57"/>
        <v>-2.0426554591891353E-4</v>
      </c>
    </row>
    <row r="3673" spans="1:3" x14ac:dyDescent="0.2">
      <c r="A3673" s="1">
        <v>40738</v>
      </c>
      <c r="B3673">
        <v>16.646699999999999</v>
      </c>
      <c r="C3673" s="2">
        <f t="shared" si="57"/>
        <v>-2.5889379544596008E-2</v>
      </c>
    </row>
    <row r="3674" spans="1:3" x14ac:dyDescent="0.2">
      <c r="A3674" s="1">
        <v>40737</v>
      </c>
      <c r="B3674">
        <v>17.083300000000001</v>
      </c>
      <c r="C3674" s="2">
        <f t="shared" si="57"/>
        <v>-9.7708537962213401E-4</v>
      </c>
    </row>
    <row r="3675" spans="1:3" x14ac:dyDescent="0.2">
      <c r="A3675" s="1">
        <v>40736</v>
      </c>
      <c r="B3675">
        <v>17.100000000000001</v>
      </c>
      <c r="C3675" s="2">
        <f t="shared" si="57"/>
        <v>-1.4704226527305074E-2</v>
      </c>
    </row>
    <row r="3676" spans="1:3" x14ac:dyDescent="0.2">
      <c r="A3676" s="1">
        <v>40735</v>
      </c>
      <c r="B3676">
        <v>17.353300000000001</v>
      </c>
      <c r="C3676" s="2">
        <f t="shared" si="57"/>
        <v>-2.9525289126289902E-2</v>
      </c>
    </row>
    <row r="3677" spans="1:3" x14ac:dyDescent="0.2">
      <c r="A3677" s="1">
        <v>40732</v>
      </c>
      <c r="B3677">
        <v>17.8733</v>
      </c>
      <c r="C3677" s="2">
        <f t="shared" si="57"/>
        <v>-4.0982748595549141E-3</v>
      </c>
    </row>
    <row r="3678" spans="1:3" x14ac:dyDescent="0.2">
      <c r="A3678" s="1">
        <v>40731</v>
      </c>
      <c r="B3678">
        <v>17.9467</v>
      </c>
      <c r="C3678" s="2">
        <f t="shared" si="57"/>
        <v>3.1643565011363708E-3</v>
      </c>
    </row>
    <row r="3679" spans="1:3" x14ac:dyDescent="0.2">
      <c r="A3679" s="1">
        <v>40730</v>
      </c>
      <c r="B3679">
        <v>17.89</v>
      </c>
      <c r="C3679" s="2">
        <f t="shared" si="57"/>
        <v>1.237361118902266E-2</v>
      </c>
    </row>
    <row r="3680" spans="1:3" x14ac:dyDescent="0.2">
      <c r="A3680" s="1">
        <v>40729</v>
      </c>
      <c r="B3680">
        <v>17.670000000000002</v>
      </c>
      <c r="C3680" s="2">
        <f t="shared" si="57"/>
        <v>2.8314472044348629E-2</v>
      </c>
    </row>
    <row r="3681" spans="1:3" x14ac:dyDescent="0.2">
      <c r="A3681" s="1">
        <v>40725</v>
      </c>
      <c r="B3681">
        <v>17.1767</v>
      </c>
      <c r="C3681" s="2">
        <f t="shared" si="57"/>
        <v>1.7027484439845229E-2</v>
      </c>
    </row>
    <row r="3682" spans="1:3" x14ac:dyDescent="0.2">
      <c r="A3682" s="1">
        <v>40724</v>
      </c>
      <c r="B3682">
        <v>16.886700000000001</v>
      </c>
      <c r="C3682" s="2">
        <f t="shared" si="57"/>
        <v>8.1280715763357679E-3</v>
      </c>
    </row>
    <row r="3683" spans="1:3" x14ac:dyDescent="0.2">
      <c r="A3683" s="1">
        <v>40723</v>
      </c>
      <c r="B3683">
        <v>16.75</v>
      </c>
      <c r="C3683" s="2">
        <f t="shared" si="57"/>
        <v>1.1812780554305246E-2</v>
      </c>
    </row>
    <row r="3684" spans="1:3" x14ac:dyDescent="0.2">
      <c r="A3684" s="1">
        <v>40722</v>
      </c>
      <c r="B3684">
        <v>16.5533</v>
      </c>
      <c r="C3684" s="2">
        <f t="shared" si="57"/>
        <v>1.3171367065586919E-2</v>
      </c>
    </row>
    <row r="3685" spans="1:3" x14ac:dyDescent="0.2">
      <c r="A3685" s="1">
        <v>40721</v>
      </c>
      <c r="B3685">
        <v>16.3367</v>
      </c>
      <c r="C3685" s="2">
        <f t="shared" si="57"/>
        <v>3.2740679155032156E-3</v>
      </c>
    </row>
    <row r="3686" spans="1:3" x14ac:dyDescent="0.2">
      <c r="A3686" s="1">
        <v>40718</v>
      </c>
      <c r="B3686">
        <v>16.283300000000001</v>
      </c>
      <c r="C3686" s="2">
        <f t="shared" si="57"/>
        <v>-1.0592646386502393E-2</v>
      </c>
    </row>
    <row r="3687" spans="1:3" x14ac:dyDescent="0.2">
      <c r="A3687" s="1">
        <v>40717</v>
      </c>
      <c r="B3687">
        <v>16.456700000000001</v>
      </c>
      <c r="C3687" s="2">
        <f t="shared" si="57"/>
        <v>-2.4276717816855533E-3</v>
      </c>
    </row>
    <row r="3688" spans="1:3" x14ac:dyDescent="0.2">
      <c r="A3688" s="1">
        <v>40716</v>
      </c>
      <c r="B3688">
        <v>16.496700000000001</v>
      </c>
      <c r="C3688" s="2">
        <f t="shared" si="57"/>
        <v>-1.1451634032531846E-2</v>
      </c>
    </row>
    <row r="3689" spans="1:3" x14ac:dyDescent="0.2">
      <c r="A3689" s="1">
        <v>40715</v>
      </c>
      <c r="B3689">
        <v>16.686699999999998</v>
      </c>
      <c r="C3689" s="2">
        <f t="shared" si="57"/>
        <v>2.1810190432919006E-2</v>
      </c>
    </row>
    <row r="3690" spans="1:3" x14ac:dyDescent="0.2">
      <c r="A3690" s="1">
        <v>40714</v>
      </c>
      <c r="B3690">
        <v>16.326699999999999</v>
      </c>
      <c r="C3690" s="2">
        <f t="shared" si="57"/>
        <v>1.7092954927455852E-2</v>
      </c>
    </row>
    <row r="3691" spans="1:3" x14ac:dyDescent="0.2">
      <c r="A3691" s="1">
        <v>40711</v>
      </c>
      <c r="B3691">
        <v>16.05</v>
      </c>
      <c r="C3691" s="2">
        <f t="shared" si="57"/>
        <v>5.6232575543622605E-3</v>
      </c>
    </row>
    <row r="3692" spans="1:3" x14ac:dyDescent="0.2">
      <c r="A3692" s="1">
        <v>40710</v>
      </c>
      <c r="B3692">
        <v>15.96</v>
      </c>
      <c r="C3692" s="2">
        <f t="shared" si="57"/>
        <v>-1.8779348242000977E-3</v>
      </c>
    </row>
    <row r="3693" spans="1:3" x14ac:dyDescent="0.2">
      <c r="A3693" s="1">
        <v>40709</v>
      </c>
      <c r="B3693">
        <v>15.99</v>
      </c>
      <c r="C3693" s="2">
        <f t="shared" si="57"/>
        <v>-1.2843990938354338E-2</v>
      </c>
    </row>
    <row r="3694" spans="1:3" x14ac:dyDescent="0.2">
      <c r="A3694" s="1">
        <v>40708</v>
      </c>
      <c r="B3694">
        <v>16.1967</v>
      </c>
      <c r="C3694" s="2">
        <f t="shared" si="57"/>
        <v>1.9539274990204598E-2</v>
      </c>
    </row>
    <row r="3695" spans="1:3" x14ac:dyDescent="0.2">
      <c r="A3695" s="1">
        <v>40707</v>
      </c>
      <c r="B3695">
        <v>15.8833</v>
      </c>
      <c r="C3695" s="2">
        <f t="shared" si="57"/>
        <v>-9.6116028170236227E-3</v>
      </c>
    </row>
    <row r="3696" spans="1:3" x14ac:dyDescent="0.2">
      <c r="A3696" s="1">
        <v>40704</v>
      </c>
      <c r="B3696">
        <v>16.0367</v>
      </c>
      <c r="C3696" s="2">
        <f t="shared" si="57"/>
        <v>-1.8124061371337409E-2</v>
      </c>
    </row>
    <row r="3697" spans="1:3" x14ac:dyDescent="0.2">
      <c r="A3697" s="1">
        <v>40703</v>
      </c>
      <c r="B3697">
        <v>16.329999999999998</v>
      </c>
      <c r="C3697" s="2">
        <f t="shared" si="57"/>
        <v>6.3458733015493932E-3</v>
      </c>
    </row>
    <row r="3698" spans="1:3" x14ac:dyDescent="0.2">
      <c r="A3698" s="1">
        <v>40702</v>
      </c>
      <c r="B3698">
        <v>16.226700000000001</v>
      </c>
      <c r="C3698" s="2">
        <f t="shared" si="57"/>
        <v>-4.7095076285795876E-3</v>
      </c>
    </row>
    <row r="3699" spans="1:3" x14ac:dyDescent="0.2">
      <c r="A3699" s="1">
        <v>40701</v>
      </c>
      <c r="B3699">
        <v>16.3033</v>
      </c>
      <c r="C3699" s="2">
        <f t="shared" si="57"/>
        <v>-1.2259936680561803E-3</v>
      </c>
    </row>
    <row r="3700" spans="1:3" x14ac:dyDescent="0.2">
      <c r="A3700" s="1">
        <v>40700</v>
      </c>
      <c r="B3700">
        <v>16.3233</v>
      </c>
      <c r="C3700" s="2">
        <f t="shared" si="57"/>
        <v>-1.5404559937692384E-2</v>
      </c>
    </row>
    <row r="3701" spans="1:3" x14ac:dyDescent="0.2">
      <c r="A3701" s="1">
        <v>40697</v>
      </c>
      <c r="B3701">
        <v>16.576699999999999</v>
      </c>
      <c r="C3701" s="2">
        <f t="shared" si="57"/>
        <v>-9.205420083580362E-3</v>
      </c>
    </row>
    <row r="3702" spans="1:3" x14ac:dyDescent="0.2">
      <c r="A3702" s="1">
        <v>40696</v>
      </c>
      <c r="B3702">
        <v>16.73</v>
      </c>
      <c r="C3702" s="2">
        <f t="shared" si="57"/>
        <v>4.3909771120106099E-3</v>
      </c>
    </row>
    <row r="3703" spans="1:3" x14ac:dyDescent="0.2">
      <c r="A3703" s="1">
        <v>40695</v>
      </c>
      <c r="B3703">
        <v>16.656700000000001</v>
      </c>
      <c r="C3703" s="2">
        <f t="shared" si="57"/>
        <v>-1.1733945433713052E-2</v>
      </c>
    </row>
    <row r="3704" spans="1:3" x14ac:dyDescent="0.2">
      <c r="A3704" s="1">
        <v>40694</v>
      </c>
      <c r="B3704">
        <v>16.853300000000001</v>
      </c>
      <c r="C3704" s="2">
        <f t="shared" si="57"/>
        <v>2.0174493051112973E-2</v>
      </c>
    </row>
    <row r="3705" spans="1:3" x14ac:dyDescent="0.2">
      <c r="A3705" s="1">
        <v>40690</v>
      </c>
      <c r="B3705">
        <v>16.5167</v>
      </c>
      <c r="C3705" s="2">
        <f t="shared" si="57"/>
        <v>4.4538908578371748E-3</v>
      </c>
    </row>
    <row r="3706" spans="1:3" x14ac:dyDescent="0.2">
      <c r="A3706" s="1">
        <v>40689</v>
      </c>
      <c r="B3706">
        <v>16.443300000000001</v>
      </c>
      <c r="C3706" s="2">
        <f t="shared" si="57"/>
        <v>9.1641190448613786E-3</v>
      </c>
    </row>
    <row r="3707" spans="1:3" x14ac:dyDescent="0.2">
      <c r="A3707" s="1">
        <v>40688</v>
      </c>
      <c r="B3707">
        <v>16.293299999999999</v>
      </c>
      <c r="C3707" s="2">
        <f t="shared" si="57"/>
        <v>1.400517329153393E-2</v>
      </c>
    </row>
    <row r="3708" spans="1:3" x14ac:dyDescent="0.2">
      <c r="A3708" s="1">
        <v>40687</v>
      </c>
      <c r="B3708">
        <v>16.066700000000001</v>
      </c>
      <c r="C3708" s="2">
        <f t="shared" si="57"/>
        <v>-4.966887349140265E-3</v>
      </c>
    </row>
    <row r="3709" spans="1:3" x14ac:dyDescent="0.2">
      <c r="A3709" s="1">
        <v>40686</v>
      </c>
      <c r="B3709">
        <v>16.146699999999999</v>
      </c>
      <c r="C3709" s="2">
        <f t="shared" si="57"/>
        <v>-2.5473710042505274E-2</v>
      </c>
    </row>
    <row r="3710" spans="1:3" x14ac:dyDescent="0.2">
      <c r="A3710" s="1">
        <v>40683</v>
      </c>
      <c r="B3710">
        <v>16.563300000000002</v>
      </c>
      <c r="C3710" s="2">
        <f t="shared" si="57"/>
        <v>-2.0144759526585392E-3</v>
      </c>
    </row>
    <row r="3711" spans="1:3" x14ac:dyDescent="0.2">
      <c r="A3711" s="1">
        <v>40682</v>
      </c>
      <c r="B3711">
        <v>16.596699999999998</v>
      </c>
      <c r="C3711" s="2">
        <f t="shared" si="57"/>
        <v>1.517783830991338E-2</v>
      </c>
    </row>
    <row r="3712" spans="1:3" x14ac:dyDescent="0.2">
      <c r="A3712" s="1">
        <v>40681</v>
      </c>
      <c r="B3712">
        <v>16.346699999999998</v>
      </c>
      <c r="C3712" s="2">
        <f t="shared" si="57"/>
        <v>2.3940450087817144E-2</v>
      </c>
    </row>
    <row r="3713" spans="1:3" x14ac:dyDescent="0.2">
      <c r="A3713" s="1">
        <v>40680</v>
      </c>
      <c r="B3713">
        <v>15.96</v>
      </c>
      <c r="C3713" s="2">
        <f t="shared" si="57"/>
        <v>-1.8210373059833494E-2</v>
      </c>
    </row>
    <row r="3714" spans="1:3" x14ac:dyDescent="0.2">
      <c r="A3714" s="1">
        <v>40679</v>
      </c>
      <c r="B3714">
        <v>16.253299999999999</v>
      </c>
      <c r="C3714" s="2">
        <f t="shared" si="57"/>
        <v>-1.9497001627808621E-2</v>
      </c>
    </row>
    <row r="3715" spans="1:3" x14ac:dyDescent="0.2">
      <c r="A3715" s="1">
        <v>40676</v>
      </c>
      <c r="B3715">
        <v>16.5733</v>
      </c>
      <c r="C3715" s="2">
        <f t="shared" ref="C3715:C3778" si="58">+LN(B3715/B3716)</f>
        <v>6.6593055282872828E-3</v>
      </c>
    </row>
    <row r="3716" spans="1:3" x14ac:dyDescent="0.2">
      <c r="A3716" s="1">
        <v>40675</v>
      </c>
      <c r="B3716">
        <v>16.4633</v>
      </c>
      <c r="C3716" s="2">
        <f t="shared" si="58"/>
        <v>5.2740682543992359E-3</v>
      </c>
    </row>
    <row r="3717" spans="1:3" x14ac:dyDescent="0.2">
      <c r="A3717" s="1">
        <v>40674</v>
      </c>
      <c r="B3717">
        <v>16.3767</v>
      </c>
      <c r="C3717" s="2">
        <f t="shared" si="58"/>
        <v>-8.9119130865164438E-3</v>
      </c>
    </row>
    <row r="3718" spans="1:3" x14ac:dyDescent="0.2">
      <c r="A3718" s="1">
        <v>40673</v>
      </c>
      <c r="B3718">
        <v>16.523299999999999</v>
      </c>
      <c r="C3718" s="2">
        <f t="shared" si="58"/>
        <v>1.5245778059372264E-2</v>
      </c>
    </row>
    <row r="3719" spans="1:3" x14ac:dyDescent="0.2">
      <c r="A3719" s="1">
        <v>40672</v>
      </c>
      <c r="B3719">
        <v>16.273299999999999</v>
      </c>
      <c r="C3719" s="2">
        <f t="shared" si="58"/>
        <v>1.1327766949470677E-2</v>
      </c>
    </row>
    <row r="3720" spans="1:3" x14ac:dyDescent="0.2">
      <c r="A3720" s="1">
        <v>40669</v>
      </c>
      <c r="B3720">
        <v>16.09</v>
      </c>
      <c r="C3720" s="2">
        <f t="shared" si="58"/>
        <v>1.0384507498140138E-3</v>
      </c>
    </row>
    <row r="3721" spans="1:3" x14ac:dyDescent="0.2">
      <c r="A3721" s="1">
        <v>40668</v>
      </c>
      <c r="B3721">
        <v>16.0733</v>
      </c>
      <c r="C3721" s="2">
        <f t="shared" si="58"/>
        <v>-5.9981633345376865E-3</v>
      </c>
    </row>
    <row r="3722" spans="1:3" x14ac:dyDescent="0.2">
      <c r="A3722" s="1">
        <v>40667</v>
      </c>
      <c r="B3722">
        <v>16.170000000000002</v>
      </c>
      <c r="C3722" s="2">
        <f t="shared" si="58"/>
        <v>-2.1008443231199173E-2</v>
      </c>
    </row>
    <row r="3723" spans="1:3" x14ac:dyDescent="0.2">
      <c r="A3723" s="1">
        <v>40666</v>
      </c>
      <c r="B3723">
        <v>16.513300000000001</v>
      </c>
      <c r="C3723" s="2">
        <f t="shared" si="58"/>
        <v>-3.6268498890900851E-3</v>
      </c>
    </row>
    <row r="3724" spans="1:3" x14ac:dyDescent="0.2">
      <c r="A3724" s="1">
        <v>40665</v>
      </c>
      <c r="B3724">
        <v>16.5733</v>
      </c>
      <c r="C3724" s="2">
        <f t="shared" si="58"/>
        <v>-6.2195689214210662E-3</v>
      </c>
    </row>
    <row r="3725" spans="1:3" x14ac:dyDescent="0.2">
      <c r="A3725" s="1">
        <v>40662</v>
      </c>
      <c r="B3725">
        <v>16.6767</v>
      </c>
      <c r="C3725" s="2">
        <f t="shared" si="58"/>
        <v>-1.0735668248091097E-2</v>
      </c>
    </row>
    <row r="3726" spans="1:3" x14ac:dyDescent="0.2">
      <c r="A3726" s="1">
        <v>40661</v>
      </c>
      <c r="B3726">
        <v>16.8567</v>
      </c>
      <c r="C3726" s="2">
        <f t="shared" si="58"/>
        <v>7.4705493576026613E-2</v>
      </c>
    </row>
    <row r="3727" spans="1:3" x14ac:dyDescent="0.2">
      <c r="A3727" s="1">
        <v>40660</v>
      </c>
      <c r="B3727">
        <v>15.6433</v>
      </c>
      <c r="C3727" s="2">
        <f t="shared" si="58"/>
        <v>-2.3433046194711676E-3</v>
      </c>
    </row>
    <row r="3728" spans="1:3" x14ac:dyDescent="0.2">
      <c r="A3728" s="1">
        <v>40659</v>
      </c>
      <c r="B3728">
        <v>15.68</v>
      </c>
      <c r="C3728" s="2">
        <f t="shared" si="58"/>
        <v>1.8882515015057628E-2</v>
      </c>
    </row>
    <row r="3729" spans="1:3" x14ac:dyDescent="0.2">
      <c r="A3729" s="1">
        <v>40658</v>
      </c>
      <c r="B3729">
        <v>15.386699999999999</v>
      </c>
      <c r="C3729" s="2">
        <f t="shared" si="58"/>
        <v>1.951639019902559E-3</v>
      </c>
    </row>
    <row r="3730" spans="1:3" x14ac:dyDescent="0.2">
      <c r="A3730" s="1">
        <v>40654</v>
      </c>
      <c r="B3730">
        <v>15.3567</v>
      </c>
      <c r="C3730" s="2">
        <f t="shared" si="58"/>
        <v>2.1723242107680226E-2</v>
      </c>
    </row>
    <row r="3731" spans="1:3" x14ac:dyDescent="0.2">
      <c r="A3731" s="1">
        <v>40653</v>
      </c>
      <c r="B3731">
        <v>15.0267</v>
      </c>
      <c r="C3731" s="2">
        <f t="shared" si="58"/>
        <v>5.5655799319896428E-3</v>
      </c>
    </row>
    <row r="3732" spans="1:3" x14ac:dyDescent="0.2">
      <c r="A3732" s="1">
        <v>40652</v>
      </c>
      <c r="B3732">
        <v>14.943300000000001</v>
      </c>
      <c r="C3732" s="2">
        <f t="shared" si="58"/>
        <v>1.2565821908193713E-2</v>
      </c>
    </row>
    <row r="3733" spans="1:3" x14ac:dyDescent="0.2">
      <c r="A3733" s="1">
        <v>40651</v>
      </c>
      <c r="B3733">
        <v>14.7567</v>
      </c>
      <c r="C3733" s="2">
        <f t="shared" si="58"/>
        <v>-2.344113708115618E-2</v>
      </c>
    </row>
    <row r="3734" spans="1:3" x14ac:dyDescent="0.2">
      <c r="A3734" s="1">
        <v>40648</v>
      </c>
      <c r="B3734">
        <v>15.1067</v>
      </c>
      <c r="C3734" s="2">
        <f t="shared" si="58"/>
        <v>4.6293399524606441E-2</v>
      </c>
    </row>
    <row r="3735" spans="1:3" x14ac:dyDescent="0.2">
      <c r="A3735" s="1">
        <v>40647</v>
      </c>
      <c r="B3735">
        <v>14.423299999999999</v>
      </c>
      <c r="C3735" s="2">
        <f t="shared" si="58"/>
        <v>-7.5976136102793718E-3</v>
      </c>
    </row>
    <row r="3736" spans="1:3" x14ac:dyDescent="0.2">
      <c r="A3736" s="1">
        <v>40646</v>
      </c>
      <c r="B3736">
        <v>14.533300000000001</v>
      </c>
      <c r="C3736" s="2">
        <f t="shared" si="58"/>
        <v>8.9852211123149835E-3</v>
      </c>
    </row>
    <row r="3737" spans="1:3" x14ac:dyDescent="0.2">
      <c r="A3737" s="1">
        <v>40645</v>
      </c>
      <c r="B3737">
        <v>14.4033</v>
      </c>
      <c r="C3737" s="2">
        <f t="shared" si="58"/>
        <v>-1.1280754766383934E-2</v>
      </c>
    </row>
    <row r="3738" spans="1:3" x14ac:dyDescent="0.2">
      <c r="A3738" s="1">
        <v>40644</v>
      </c>
      <c r="B3738">
        <v>14.566700000000001</v>
      </c>
      <c r="C3738" s="2">
        <f t="shared" si="58"/>
        <v>-6.6096716856796902E-3</v>
      </c>
    </row>
    <row r="3739" spans="1:3" x14ac:dyDescent="0.2">
      <c r="A3739" s="1">
        <v>40641</v>
      </c>
      <c r="B3739">
        <v>14.6633</v>
      </c>
      <c r="C3739" s="2">
        <f t="shared" si="58"/>
        <v>-9.5023554422478482E-3</v>
      </c>
    </row>
    <row r="3740" spans="1:3" x14ac:dyDescent="0.2">
      <c r="A3740" s="1">
        <v>40640</v>
      </c>
      <c r="B3740">
        <v>14.8033</v>
      </c>
      <c r="C3740" s="2">
        <f t="shared" si="58"/>
        <v>-7.4033033667689589E-3</v>
      </c>
    </row>
    <row r="3741" spans="1:3" x14ac:dyDescent="0.2">
      <c r="A3741" s="1">
        <v>40639</v>
      </c>
      <c r="B3741">
        <v>14.9133</v>
      </c>
      <c r="C3741" s="2">
        <f t="shared" si="58"/>
        <v>-4.4625458340409093E-3</v>
      </c>
    </row>
    <row r="3742" spans="1:3" x14ac:dyDescent="0.2">
      <c r="A3742" s="1">
        <v>40638</v>
      </c>
      <c r="B3742">
        <v>14.98</v>
      </c>
      <c r="C3742" s="2">
        <f t="shared" si="58"/>
        <v>-1.3342230131366103E-3</v>
      </c>
    </row>
    <row r="3743" spans="1:3" x14ac:dyDescent="0.2">
      <c r="A3743" s="1">
        <v>40637</v>
      </c>
      <c r="B3743">
        <v>15</v>
      </c>
      <c r="C3743" s="2">
        <f t="shared" si="58"/>
        <v>-2.8825082451734594E-3</v>
      </c>
    </row>
    <row r="3744" spans="1:3" x14ac:dyDescent="0.2">
      <c r="A3744" s="1">
        <v>40634</v>
      </c>
      <c r="B3744">
        <v>15.0433</v>
      </c>
      <c r="C3744" s="2">
        <f t="shared" si="58"/>
        <v>-7.9453252786657828E-3</v>
      </c>
    </row>
    <row r="3745" spans="1:3" x14ac:dyDescent="0.2">
      <c r="A3745" s="1">
        <v>40633</v>
      </c>
      <c r="B3745">
        <v>15.1633</v>
      </c>
      <c r="C3745" s="2">
        <f t="shared" si="58"/>
        <v>2.3798253592230621E-2</v>
      </c>
    </row>
    <row r="3746" spans="1:3" x14ac:dyDescent="0.2">
      <c r="A3746" s="1">
        <v>40632</v>
      </c>
      <c r="B3746">
        <v>14.806699999999999</v>
      </c>
      <c r="C3746" s="2">
        <f t="shared" si="58"/>
        <v>1.2231155354925059E-2</v>
      </c>
    </row>
    <row r="3747" spans="1:3" x14ac:dyDescent="0.2">
      <c r="A3747" s="1">
        <v>40631</v>
      </c>
      <c r="B3747">
        <v>14.6267</v>
      </c>
      <c r="C3747" s="2">
        <f t="shared" si="58"/>
        <v>7.094369377504582E-3</v>
      </c>
    </row>
    <row r="3748" spans="1:3" x14ac:dyDescent="0.2">
      <c r="A3748" s="1">
        <v>40630</v>
      </c>
      <c r="B3748">
        <v>14.523300000000001</v>
      </c>
      <c r="C3748" s="2">
        <f t="shared" si="58"/>
        <v>2.2954999687978426E-3</v>
      </c>
    </row>
    <row r="3749" spans="1:3" x14ac:dyDescent="0.2">
      <c r="A3749" s="1">
        <v>40627</v>
      </c>
      <c r="B3749">
        <v>14.49</v>
      </c>
      <c r="C3749" s="2">
        <f t="shared" si="58"/>
        <v>1.0636073167070511E-2</v>
      </c>
    </row>
    <row r="3750" spans="1:3" x14ac:dyDescent="0.2">
      <c r="A3750" s="1">
        <v>40626</v>
      </c>
      <c r="B3750">
        <v>14.3367</v>
      </c>
      <c r="C3750" s="2">
        <f t="shared" si="58"/>
        <v>1.1462770197079544E-2</v>
      </c>
    </row>
    <row r="3751" spans="1:3" x14ac:dyDescent="0.2">
      <c r="A3751" s="1">
        <v>40625</v>
      </c>
      <c r="B3751">
        <v>14.173299999999999</v>
      </c>
      <c r="C3751" s="2">
        <f t="shared" si="58"/>
        <v>-3.9924991333200478E-3</v>
      </c>
    </row>
    <row r="3752" spans="1:3" x14ac:dyDescent="0.2">
      <c r="A3752" s="1">
        <v>40624</v>
      </c>
      <c r="B3752">
        <v>14.23</v>
      </c>
      <c r="C3752" s="2">
        <f t="shared" si="58"/>
        <v>-1.8745595536576686E-3</v>
      </c>
    </row>
    <row r="3753" spans="1:3" x14ac:dyDescent="0.2">
      <c r="A3753" s="1">
        <v>40623</v>
      </c>
      <c r="B3753">
        <v>14.2567</v>
      </c>
      <c r="C3753" s="2">
        <f t="shared" si="58"/>
        <v>2.7015797005669358E-2</v>
      </c>
    </row>
    <row r="3754" spans="1:3" x14ac:dyDescent="0.2">
      <c r="A3754" s="1">
        <v>40620</v>
      </c>
      <c r="B3754">
        <v>13.8767</v>
      </c>
      <c r="C3754" s="2">
        <f t="shared" si="58"/>
        <v>1.0868333357881215E-2</v>
      </c>
    </row>
    <row r="3755" spans="1:3" x14ac:dyDescent="0.2">
      <c r="A3755" s="1">
        <v>40619</v>
      </c>
      <c r="B3755">
        <v>13.726699999999999</v>
      </c>
      <c r="C3755" s="2">
        <f t="shared" si="58"/>
        <v>1.5172770677050225E-2</v>
      </c>
    </row>
    <row r="3756" spans="1:3" x14ac:dyDescent="0.2">
      <c r="A3756" s="1">
        <v>40618</v>
      </c>
      <c r="B3756">
        <v>13.52</v>
      </c>
      <c r="C3756" s="2">
        <f t="shared" si="58"/>
        <v>-1.4925047542814462E-2</v>
      </c>
    </row>
    <row r="3757" spans="1:3" x14ac:dyDescent="0.2">
      <c r="A3757" s="1">
        <v>40617</v>
      </c>
      <c r="B3757">
        <v>13.7233</v>
      </c>
      <c r="C3757" s="2">
        <f t="shared" si="58"/>
        <v>-9.673752016858236E-3</v>
      </c>
    </row>
    <row r="3758" spans="1:3" x14ac:dyDescent="0.2">
      <c r="A3758" s="1">
        <v>40616</v>
      </c>
      <c r="B3758">
        <v>13.8567</v>
      </c>
      <c r="C3758" s="2">
        <f t="shared" si="58"/>
        <v>3.8611761636742964E-3</v>
      </c>
    </row>
    <row r="3759" spans="1:3" x14ac:dyDescent="0.2">
      <c r="A3759" s="1">
        <v>40613</v>
      </c>
      <c r="B3759">
        <v>13.8033</v>
      </c>
      <c r="C3759" s="2">
        <f t="shared" si="58"/>
        <v>1.3126131888214619E-2</v>
      </c>
    </row>
    <row r="3760" spans="1:3" x14ac:dyDescent="0.2">
      <c r="A3760" s="1">
        <v>40612</v>
      </c>
      <c r="B3760">
        <v>13.6233</v>
      </c>
      <c r="C3760" s="2">
        <f t="shared" si="58"/>
        <v>-2.4178117582365297E-2</v>
      </c>
    </row>
    <row r="3761" spans="1:3" x14ac:dyDescent="0.2">
      <c r="A3761" s="1">
        <v>40611</v>
      </c>
      <c r="B3761">
        <v>13.9567</v>
      </c>
      <c r="C3761" s="2">
        <f t="shared" si="58"/>
        <v>-7.1624518701205191E-4</v>
      </c>
    </row>
    <row r="3762" spans="1:3" x14ac:dyDescent="0.2">
      <c r="A3762" s="1">
        <v>40610</v>
      </c>
      <c r="B3762">
        <v>13.966699999999999</v>
      </c>
      <c r="C3762" s="2">
        <f t="shared" si="58"/>
        <v>1.782130259424004E-2</v>
      </c>
    </row>
    <row r="3763" spans="1:3" x14ac:dyDescent="0.2">
      <c r="A3763" s="1">
        <v>40609</v>
      </c>
      <c r="B3763">
        <v>13.72</v>
      </c>
      <c r="C3763" s="2">
        <f t="shared" si="58"/>
        <v>-1.6968103316337315E-3</v>
      </c>
    </row>
    <row r="3764" spans="1:3" x14ac:dyDescent="0.2">
      <c r="A3764" s="1">
        <v>40606</v>
      </c>
      <c r="B3764">
        <v>13.7433</v>
      </c>
      <c r="C3764" s="2">
        <f t="shared" si="58"/>
        <v>-1.9698043239930876E-2</v>
      </c>
    </row>
    <row r="3765" spans="1:3" x14ac:dyDescent="0.2">
      <c r="A3765" s="1">
        <v>40605</v>
      </c>
      <c r="B3765">
        <v>14.0167</v>
      </c>
      <c r="C3765" s="2">
        <f t="shared" si="58"/>
        <v>3.8056209916985953E-2</v>
      </c>
    </row>
    <row r="3766" spans="1:3" x14ac:dyDescent="0.2">
      <c r="A3766" s="1">
        <v>40604</v>
      </c>
      <c r="B3766">
        <v>13.4933</v>
      </c>
      <c r="C3766" s="2">
        <f t="shared" si="58"/>
        <v>7.6851062492365365E-3</v>
      </c>
    </row>
    <row r="3767" spans="1:3" x14ac:dyDescent="0.2">
      <c r="A3767" s="1">
        <v>40603</v>
      </c>
      <c r="B3767">
        <v>13.39</v>
      </c>
      <c r="C3767" s="2">
        <f t="shared" si="58"/>
        <v>-1.3353314143696643E-2</v>
      </c>
    </row>
    <row r="3768" spans="1:3" x14ac:dyDescent="0.2">
      <c r="A3768" s="1">
        <v>40602</v>
      </c>
      <c r="B3768">
        <v>13.57</v>
      </c>
      <c r="C3768" s="2">
        <f t="shared" si="58"/>
        <v>-2.4315392868647944E-4</v>
      </c>
    </row>
    <row r="3769" spans="1:3" x14ac:dyDescent="0.2">
      <c r="A3769" s="1">
        <v>40599</v>
      </c>
      <c r="B3769">
        <v>13.5733</v>
      </c>
      <c r="C3769" s="2">
        <f t="shared" si="58"/>
        <v>1.7584994202397536E-2</v>
      </c>
    </row>
    <row r="3770" spans="1:3" x14ac:dyDescent="0.2">
      <c r="A3770" s="1">
        <v>40598</v>
      </c>
      <c r="B3770">
        <v>13.3367</v>
      </c>
      <c r="C3770" s="2">
        <f t="shared" si="58"/>
        <v>2.7555983453586919E-3</v>
      </c>
    </row>
    <row r="3771" spans="1:3" x14ac:dyDescent="0.2">
      <c r="A3771" s="1">
        <v>40597</v>
      </c>
      <c r="B3771">
        <v>13.3</v>
      </c>
      <c r="C3771" s="2">
        <f t="shared" si="58"/>
        <v>-2.3283220817825509E-2</v>
      </c>
    </row>
    <row r="3772" spans="1:3" x14ac:dyDescent="0.2">
      <c r="A3772" s="1">
        <v>40596</v>
      </c>
      <c r="B3772">
        <v>13.613300000000001</v>
      </c>
      <c r="C3772" s="2">
        <f t="shared" si="58"/>
        <v>-3.8900556400897651E-2</v>
      </c>
    </row>
    <row r="3773" spans="1:3" x14ac:dyDescent="0.2">
      <c r="A3773" s="1">
        <v>40592</v>
      </c>
      <c r="B3773">
        <v>14.1533</v>
      </c>
      <c r="C3773" s="2">
        <f t="shared" si="58"/>
        <v>-6.3388082625015114E-3</v>
      </c>
    </row>
    <row r="3774" spans="1:3" x14ac:dyDescent="0.2">
      <c r="A3774" s="1">
        <v>40591</v>
      </c>
      <c r="B3774">
        <v>14.2433</v>
      </c>
      <c r="C3774" s="2">
        <f t="shared" si="58"/>
        <v>7.7529056324776588E-3</v>
      </c>
    </row>
    <row r="3775" spans="1:3" x14ac:dyDescent="0.2">
      <c r="A3775" s="1">
        <v>40590</v>
      </c>
      <c r="B3775">
        <v>14.1333</v>
      </c>
      <c r="C3775" s="2">
        <f t="shared" si="58"/>
        <v>-6.3477498856887825E-3</v>
      </c>
    </row>
    <row r="3776" spans="1:3" x14ac:dyDescent="0.2">
      <c r="A3776" s="1">
        <v>40589</v>
      </c>
      <c r="B3776">
        <v>14.2233</v>
      </c>
      <c r="C3776" s="2">
        <f t="shared" si="58"/>
        <v>3.9873247614740917E-3</v>
      </c>
    </row>
    <row r="3777" spans="1:3" x14ac:dyDescent="0.2">
      <c r="A3777" s="1">
        <v>40588</v>
      </c>
      <c r="B3777">
        <v>14.166700000000001</v>
      </c>
      <c r="C3777" s="2">
        <f t="shared" si="58"/>
        <v>7.3255729652534291E-3</v>
      </c>
    </row>
    <row r="3778" spans="1:3" x14ac:dyDescent="0.2">
      <c r="A3778" s="1">
        <v>40585</v>
      </c>
      <c r="B3778">
        <v>14.0633</v>
      </c>
      <c r="C3778" s="2">
        <f t="shared" si="58"/>
        <v>1.263701968951967E-2</v>
      </c>
    </row>
    <row r="3779" spans="1:3" x14ac:dyDescent="0.2">
      <c r="A3779" s="1">
        <v>40584</v>
      </c>
      <c r="B3779">
        <v>13.886699999999999</v>
      </c>
      <c r="C3779" s="2">
        <f t="shared" ref="C3779:C3842" si="59">+LN(B3779/B3780)</f>
        <v>1.6701303847856484E-2</v>
      </c>
    </row>
    <row r="3780" spans="1:3" x14ac:dyDescent="0.2">
      <c r="A3780" s="1">
        <v>40583</v>
      </c>
      <c r="B3780">
        <v>13.656700000000001</v>
      </c>
      <c r="C3780" s="2">
        <f t="shared" si="59"/>
        <v>-1.3816693397166161E-2</v>
      </c>
    </row>
    <row r="3781" spans="1:3" x14ac:dyDescent="0.2">
      <c r="A3781" s="1">
        <v>40582</v>
      </c>
      <c r="B3781">
        <v>13.8467</v>
      </c>
      <c r="C3781" s="2">
        <f t="shared" si="59"/>
        <v>3.8639700752286644E-3</v>
      </c>
    </row>
    <row r="3782" spans="1:3" x14ac:dyDescent="0.2">
      <c r="A3782" s="1">
        <v>40581</v>
      </c>
      <c r="B3782">
        <v>13.7933</v>
      </c>
      <c r="C3782" s="2">
        <f t="shared" si="59"/>
        <v>2.0257009038460765E-2</v>
      </c>
    </row>
    <row r="3783" spans="1:3" x14ac:dyDescent="0.2">
      <c r="A3783" s="1">
        <v>40578</v>
      </c>
      <c r="B3783">
        <v>13.5167</v>
      </c>
      <c r="C3783" s="2">
        <f t="shared" si="59"/>
        <v>1.2362725371331601E-3</v>
      </c>
    </row>
    <row r="3784" spans="1:3" x14ac:dyDescent="0.2">
      <c r="A3784" s="1">
        <v>40577</v>
      </c>
      <c r="B3784">
        <v>13.5</v>
      </c>
      <c r="C3784" s="2">
        <f t="shared" si="59"/>
        <v>3.7105793965357746E-3</v>
      </c>
    </row>
    <row r="3785" spans="1:3" x14ac:dyDescent="0.2">
      <c r="A3785" s="1">
        <v>40576</v>
      </c>
      <c r="B3785">
        <v>13.45</v>
      </c>
      <c r="C3785" s="2">
        <f t="shared" si="59"/>
        <v>-1.9875516249891166E-2</v>
      </c>
    </row>
    <row r="3786" spans="1:3" x14ac:dyDescent="0.2">
      <c r="A3786" s="1">
        <v>40575</v>
      </c>
      <c r="B3786">
        <v>13.72</v>
      </c>
      <c r="C3786" s="2">
        <f t="shared" si="59"/>
        <v>-3.156646596783453E-2</v>
      </c>
    </row>
    <row r="3787" spans="1:3" x14ac:dyDescent="0.2">
      <c r="A3787" s="1">
        <v>40574</v>
      </c>
      <c r="B3787">
        <v>14.16</v>
      </c>
      <c r="C3787" s="2">
        <f t="shared" si="59"/>
        <v>7.7986924858188394E-3</v>
      </c>
    </row>
    <row r="3788" spans="1:3" x14ac:dyDescent="0.2">
      <c r="A3788" s="1">
        <v>40571</v>
      </c>
      <c r="B3788">
        <v>14.05</v>
      </c>
      <c r="C3788" s="2">
        <f t="shared" si="59"/>
        <v>-1.6569894237921288E-3</v>
      </c>
    </row>
    <row r="3789" spans="1:3" x14ac:dyDescent="0.2">
      <c r="A3789" s="1">
        <v>40570</v>
      </c>
      <c r="B3789">
        <v>14.0733</v>
      </c>
      <c r="C3789" s="2">
        <f t="shared" si="59"/>
        <v>8.799876936172327E-3</v>
      </c>
    </row>
    <row r="3790" spans="1:3" x14ac:dyDescent="0.2">
      <c r="A3790" s="1">
        <v>40569</v>
      </c>
      <c r="B3790">
        <v>13.95</v>
      </c>
      <c r="C3790" s="2">
        <f t="shared" si="59"/>
        <v>5.5133786638961752E-3</v>
      </c>
    </row>
    <row r="3791" spans="1:3" x14ac:dyDescent="0.2">
      <c r="A3791" s="1">
        <v>40568</v>
      </c>
      <c r="B3791">
        <v>13.8733</v>
      </c>
      <c r="C3791" s="2">
        <f t="shared" si="59"/>
        <v>1.1972594289875321E-3</v>
      </c>
    </row>
    <row r="3792" spans="1:3" x14ac:dyDescent="0.2">
      <c r="A3792" s="1">
        <v>40567</v>
      </c>
      <c r="B3792">
        <v>13.8567</v>
      </c>
      <c r="C3792" s="2">
        <f t="shared" si="59"/>
        <v>7.4900748573033553E-3</v>
      </c>
    </row>
    <row r="3793" spans="1:3" x14ac:dyDescent="0.2">
      <c r="A3793" s="1">
        <v>40564</v>
      </c>
      <c r="B3793">
        <v>13.753299999999999</v>
      </c>
      <c r="C3793" s="2">
        <f t="shared" si="59"/>
        <v>1.2923707135257284E-2</v>
      </c>
    </row>
    <row r="3794" spans="1:3" x14ac:dyDescent="0.2">
      <c r="A3794" s="1">
        <v>40563</v>
      </c>
      <c r="B3794">
        <v>13.576700000000001</v>
      </c>
      <c r="C3794" s="2">
        <f t="shared" si="59"/>
        <v>-7.8210229918368509E-3</v>
      </c>
    </row>
    <row r="3795" spans="1:3" x14ac:dyDescent="0.2">
      <c r="A3795" s="1">
        <v>40562</v>
      </c>
      <c r="B3795">
        <v>13.683299999999999</v>
      </c>
      <c r="C3795" s="2">
        <f t="shared" si="59"/>
        <v>1.2138941161532169E-3</v>
      </c>
    </row>
    <row r="3796" spans="1:3" x14ac:dyDescent="0.2">
      <c r="A3796" s="1">
        <v>40561</v>
      </c>
      <c r="B3796">
        <v>13.666700000000001</v>
      </c>
      <c r="C3796" s="2">
        <f t="shared" si="59"/>
        <v>2.1447829548682455E-2</v>
      </c>
    </row>
    <row r="3797" spans="1:3" x14ac:dyDescent="0.2">
      <c r="A3797" s="1">
        <v>40557</v>
      </c>
      <c r="B3797">
        <v>13.3767</v>
      </c>
      <c r="C3797" s="2">
        <f t="shared" si="59"/>
        <v>7.2552434606437443E-3</v>
      </c>
    </row>
    <row r="3798" spans="1:3" x14ac:dyDescent="0.2">
      <c r="A3798" s="1">
        <v>40556</v>
      </c>
      <c r="B3798">
        <v>13.28</v>
      </c>
      <c r="C3798" s="2">
        <f t="shared" si="59"/>
        <v>-2.7597426216646333E-3</v>
      </c>
    </row>
    <row r="3799" spans="1:3" x14ac:dyDescent="0.2">
      <c r="A3799" s="1">
        <v>40555</v>
      </c>
      <c r="B3799">
        <v>13.316700000000001</v>
      </c>
      <c r="C3799" s="2">
        <f t="shared" si="59"/>
        <v>7.038461611572136E-3</v>
      </c>
    </row>
    <row r="3800" spans="1:3" x14ac:dyDescent="0.2">
      <c r="A3800" s="1">
        <v>40554</v>
      </c>
      <c r="B3800">
        <v>13.2233</v>
      </c>
      <c r="C3800" s="2">
        <f t="shared" si="59"/>
        <v>3.2798959840189663E-3</v>
      </c>
    </row>
    <row r="3801" spans="1:3" x14ac:dyDescent="0.2">
      <c r="A3801" s="1">
        <v>40553</v>
      </c>
      <c r="B3801">
        <v>13.18</v>
      </c>
      <c r="C3801" s="2">
        <f t="shared" si="59"/>
        <v>5.5769792317440642E-3</v>
      </c>
    </row>
    <row r="3802" spans="1:3" x14ac:dyDescent="0.2">
      <c r="A3802" s="1">
        <v>40550</v>
      </c>
      <c r="B3802">
        <v>13.1067</v>
      </c>
      <c r="C3802" s="2">
        <f t="shared" si="59"/>
        <v>-7.3432485049155097E-3</v>
      </c>
    </row>
    <row r="3803" spans="1:3" x14ac:dyDescent="0.2">
      <c r="A3803" s="1">
        <v>40549</v>
      </c>
      <c r="B3803">
        <v>13.2033</v>
      </c>
      <c r="C3803" s="2">
        <f t="shared" si="59"/>
        <v>-4.0362866589300104E-3</v>
      </c>
    </row>
    <row r="3804" spans="1:3" x14ac:dyDescent="0.2">
      <c r="A3804" s="1">
        <v>40548</v>
      </c>
      <c r="B3804">
        <v>13.2567</v>
      </c>
      <c r="C3804" s="2">
        <f t="shared" si="59"/>
        <v>3.2791869203062114E-3</v>
      </c>
    </row>
    <row r="3805" spans="1:3" x14ac:dyDescent="0.2">
      <c r="A3805" s="1">
        <v>40547</v>
      </c>
      <c r="B3805">
        <v>13.2133</v>
      </c>
      <c r="C3805" s="2">
        <f t="shared" si="59"/>
        <v>-1.8253225194460963E-2</v>
      </c>
    </row>
    <row r="3806" spans="1:3" x14ac:dyDescent="0.2">
      <c r="A3806" s="1">
        <v>40546</v>
      </c>
      <c r="B3806">
        <v>13.4567</v>
      </c>
      <c r="C3806" s="2">
        <f t="shared" si="59"/>
        <v>2.3055364656844015E-2</v>
      </c>
    </row>
    <row r="3807" spans="1:3" x14ac:dyDescent="0.2">
      <c r="A3807" s="1">
        <v>40543</v>
      </c>
      <c r="B3807">
        <v>13.15</v>
      </c>
      <c r="C3807" s="2">
        <f t="shared" si="59"/>
        <v>-7.5757938084576558E-3</v>
      </c>
    </row>
    <row r="3808" spans="1:3" x14ac:dyDescent="0.2">
      <c r="A3808" s="1">
        <v>40542</v>
      </c>
      <c r="B3808">
        <v>13.25</v>
      </c>
      <c r="C3808" s="2">
        <f t="shared" si="59"/>
        <v>-4.2701153498047812E-3</v>
      </c>
    </row>
    <row r="3809" spans="1:3" x14ac:dyDescent="0.2">
      <c r="A3809" s="1">
        <v>40541</v>
      </c>
      <c r="B3809">
        <v>13.306699999999999</v>
      </c>
      <c r="C3809" s="2">
        <f t="shared" si="59"/>
        <v>-9.9899733020707214E-4</v>
      </c>
    </row>
    <row r="3810" spans="1:3" x14ac:dyDescent="0.2">
      <c r="A3810" s="1">
        <v>40540</v>
      </c>
      <c r="B3810">
        <v>13.32</v>
      </c>
      <c r="C3810" s="2">
        <f t="shared" si="59"/>
        <v>0</v>
      </c>
    </row>
    <row r="3811" spans="1:3" x14ac:dyDescent="0.2">
      <c r="A3811" s="1">
        <v>40539</v>
      </c>
      <c r="B3811">
        <v>13.32</v>
      </c>
      <c r="C3811" s="2">
        <f t="shared" si="59"/>
        <v>1.75078097222147E-3</v>
      </c>
    </row>
    <row r="3812" spans="1:3" x14ac:dyDescent="0.2">
      <c r="A3812" s="1">
        <v>40535</v>
      </c>
      <c r="B3812">
        <v>13.2967</v>
      </c>
      <c r="C3812" s="2">
        <f t="shared" si="59"/>
        <v>-9.9751263951244704E-3</v>
      </c>
    </row>
    <row r="3813" spans="1:3" x14ac:dyDescent="0.2">
      <c r="A3813" s="1">
        <v>40534</v>
      </c>
      <c r="B3813">
        <v>13.43</v>
      </c>
      <c r="C3813" s="2">
        <f t="shared" si="59"/>
        <v>7.4487899161040244E-4</v>
      </c>
    </row>
    <row r="3814" spans="1:3" x14ac:dyDescent="0.2">
      <c r="A3814" s="1">
        <v>40533</v>
      </c>
      <c r="B3814">
        <v>13.42</v>
      </c>
      <c r="C3814" s="2">
        <f t="shared" si="59"/>
        <v>7.2317493679502857E-3</v>
      </c>
    </row>
    <row r="3815" spans="1:3" x14ac:dyDescent="0.2">
      <c r="A3815" s="1">
        <v>40532</v>
      </c>
      <c r="B3815">
        <v>13.3233</v>
      </c>
      <c r="C3815" s="2">
        <f t="shared" si="59"/>
        <v>8.5402636413514765E-3</v>
      </c>
    </row>
    <row r="3816" spans="1:3" x14ac:dyDescent="0.2">
      <c r="A3816" s="1">
        <v>40529</v>
      </c>
      <c r="B3816">
        <v>13.21</v>
      </c>
      <c r="C3816" s="2">
        <f t="shared" si="59"/>
        <v>-1.2633953724430396E-3</v>
      </c>
    </row>
    <row r="3817" spans="1:3" x14ac:dyDescent="0.2">
      <c r="A3817" s="1">
        <v>40528</v>
      </c>
      <c r="B3817">
        <v>13.226699999999999</v>
      </c>
      <c r="C3817" s="2">
        <f t="shared" si="59"/>
        <v>8.610531559148156E-3</v>
      </c>
    </row>
    <row r="3818" spans="1:3" x14ac:dyDescent="0.2">
      <c r="A3818" s="1">
        <v>40527</v>
      </c>
      <c r="B3818">
        <v>13.113300000000001</v>
      </c>
      <c r="C3818" s="2">
        <f t="shared" si="59"/>
        <v>-8.6105315591480831E-3</v>
      </c>
    </row>
    <row r="3819" spans="1:3" x14ac:dyDescent="0.2">
      <c r="A3819" s="1">
        <v>40526</v>
      </c>
      <c r="B3819">
        <v>13.226699999999999</v>
      </c>
      <c r="C3819" s="2">
        <f t="shared" si="59"/>
        <v>9.3734070262173012E-3</v>
      </c>
    </row>
    <row r="3820" spans="1:3" x14ac:dyDescent="0.2">
      <c r="A3820" s="1">
        <v>40525</v>
      </c>
      <c r="B3820">
        <v>13.103300000000001</v>
      </c>
      <c r="C3820" s="2">
        <f t="shared" si="59"/>
        <v>-2.2868826810317671E-3</v>
      </c>
    </row>
    <row r="3821" spans="1:3" x14ac:dyDescent="0.2">
      <c r="A3821" s="1">
        <v>40522</v>
      </c>
      <c r="B3821">
        <v>13.1333</v>
      </c>
      <c r="C3821" s="2">
        <f t="shared" si="59"/>
        <v>9.6863802496063457E-3</v>
      </c>
    </row>
    <row r="3822" spans="1:3" x14ac:dyDescent="0.2">
      <c r="A3822" s="1">
        <v>40521</v>
      </c>
      <c r="B3822">
        <v>13.0067</v>
      </c>
      <c r="C3822" s="2">
        <f t="shared" si="59"/>
        <v>6.9435615388074128E-3</v>
      </c>
    </row>
    <row r="3823" spans="1:3" x14ac:dyDescent="0.2">
      <c r="A3823" s="1">
        <v>40520</v>
      </c>
      <c r="B3823">
        <v>12.916700000000001</v>
      </c>
      <c r="C3823" s="2">
        <f t="shared" si="59"/>
        <v>-7.7389201878167498E-4</v>
      </c>
    </row>
    <row r="3824" spans="1:3" x14ac:dyDescent="0.2">
      <c r="A3824" s="1">
        <v>40519</v>
      </c>
      <c r="B3824">
        <v>12.9267</v>
      </c>
      <c r="C3824" s="2">
        <f t="shared" si="59"/>
        <v>9.5919895942196236E-3</v>
      </c>
    </row>
    <row r="3825" spans="1:3" x14ac:dyDescent="0.2">
      <c r="A3825" s="1">
        <v>40518</v>
      </c>
      <c r="B3825">
        <v>12.8033</v>
      </c>
      <c r="C3825" s="2">
        <f t="shared" si="59"/>
        <v>6.0008013992365623E-3</v>
      </c>
    </row>
    <row r="3826" spans="1:3" x14ac:dyDescent="0.2">
      <c r="A3826" s="1">
        <v>40515</v>
      </c>
      <c r="B3826">
        <v>12.726699999999999</v>
      </c>
      <c r="C3826" s="2">
        <f t="shared" si="59"/>
        <v>-3.1380696827361687E-3</v>
      </c>
    </row>
    <row r="3827" spans="1:3" x14ac:dyDescent="0.2">
      <c r="A3827" s="1">
        <v>40514</v>
      </c>
      <c r="B3827">
        <v>12.7667</v>
      </c>
      <c r="C3827" s="2">
        <f t="shared" si="59"/>
        <v>3.5616260375765756E-2</v>
      </c>
    </row>
    <row r="3828" spans="1:3" x14ac:dyDescent="0.2">
      <c r="A3828" s="1">
        <v>40513</v>
      </c>
      <c r="B3828">
        <v>12.32</v>
      </c>
      <c r="C3828" s="2">
        <f t="shared" si="59"/>
        <v>2.7426256306299787E-2</v>
      </c>
    </row>
    <row r="3829" spans="1:3" x14ac:dyDescent="0.2">
      <c r="A3829" s="1">
        <v>40512</v>
      </c>
      <c r="B3829">
        <v>11.986700000000001</v>
      </c>
      <c r="C3829" s="2">
        <f t="shared" si="59"/>
        <v>7.25930168159028E-3</v>
      </c>
    </row>
    <row r="3830" spans="1:3" x14ac:dyDescent="0.2">
      <c r="A3830" s="1">
        <v>40511</v>
      </c>
      <c r="B3830">
        <v>11.9</v>
      </c>
      <c r="C3830" s="2">
        <f t="shared" si="59"/>
        <v>-1.0865129869103764E-2</v>
      </c>
    </row>
    <row r="3831" spans="1:3" x14ac:dyDescent="0.2">
      <c r="A3831" s="1">
        <v>40508</v>
      </c>
      <c r="B3831">
        <v>12.03</v>
      </c>
      <c r="C3831" s="2">
        <f t="shared" si="59"/>
        <v>-4.975134640113843E-3</v>
      </c>
    </row>
    <row r="3832" spans="1:3" x14ac:dyDescent="0.2">
      <c r="A3832" s="1">
        <v>40506</v>
      </c>
      <c r="B3832">
        <v>12.09</v>
      </c>
      <c r="C3832" s="2">
        <f t="shared" si="59"/>
        <v>1.7244611487528635E-2</v>
      </c>
    </row>
    <row r="3833" spans="1:3" x14ac:dyDescent="0.2">
      <c r="A3833" s="1">
        <v>40505</v>
      </c>
      <c r="B3833">
        <v>11.8833</v>
      </c>
      <c r="C3833" s="2">
        <f t="shared" si="59"/>
        <v>-1.1712380717296959E-2</v>
      </c>
    </row>
    <row r="3834" spans="1:3" x14ac:dyDescent="0.2">
      <c r="A3834" s="1">
        <v>40504</v>
      </c>
      <c r="B3834">
        <v>12.023300000000001</v>
      </c>
      <c r="C3834" s="2">
        <f t="shared" si="59"/>
        <v>-5.5709613011773872E-4</v>
      </c>
    </row>
    <row r="3835" spans="1:3" x14ac:dyDescent="0.2">
      <c r="A3835" s="1">
        <v>40501</v>
      </c>
      <c r="B3835">
        <v>12.03</v>
      </c>
      <c r="C3835" s="2">
        <f t="shared" si="59"/>
        <v>-4.975134640113843E-3</v>
      </c>
    </row>
    <row r="3836" spans="1:3" x14ac:dyDescent="0.2">
      <c r="A3836" s="1">
        <v>40500</v>
      </c>
      <c r="B3836">
        <v>12.09</v>
      </c>
      <c r="C3836" s="2">
        <f t="shared" si="59"/>
        <v>2.2018977368114367E-2</v>
      </c>
    </row>
    <row r="3837" spans="1:3" x14ac:dyDescent="0.2">
      <c r="A3837" s="1">
        <v>40499</v>
      </c>
      <c r="B3837">
        <v>11.826700000000001</v>
      </c>
      <c r="C3837" s="2">
        <f t="shared" si="59"/>
        <v>-9.8107644289728672E-3</v>
      </c>
    </row>
    <row r="3838" spans="1:3" x14ac:dyDescent="0.2">
      <c r="A3838" s="1">
        <v>40498</v>
      </c>
      <c r="B3838">
        <v>11.943300000000001</v>
      </c>
      <c r="C3838" s="2">
        <f t="shared" si="59"/>
        <v>-6.4014774195017728E-3</v>
      </c>
    </row>
    <row r="3839" spans="1:3" x14ac:dyDescent="0.2">
      <c r="A3839" s="1">
        <v>40497</v>
      </c>
      <c r="B3839">
        <v>12.02</v>
      </c>
      <c r="C3839" s="2">
        <f t="shared" si="59"/>
        <v>5.5645382244929528E-3</v>
      </c>
    </row>
    <row r="3840" spans="1:3" x14ac:dyDescent="0.2">
      <c r="A3840" s="1">
        <v>40494</v>
      </c>
      <c r="B3840">
        <v>11.9533</v>
      </c>
      <c r="C3840" s="2">
        <f t="shared" si="59"/>
        <v>-1.659334696431668E-2</v>
      </c>
    </row>
    <row r="3841" spans="1:3" x14ac:dyDescent="0.2">
      <c r="A3841" s="1">
        <v>40493</v>
      </c>
      <c r="B3841">
        <v>12.1533</v>
      </c>
      <c r="C3841" s="2">
        <f t="shared" si="59"/>
        <v>5.2220732201837374E-3</v>
      </c>
    </row>
    <row r="3842" spans="1:3" x14ac:dyDescent="0.2">
      <c r="A3842" s="1">
        <v>40492</v>
      </c>
      <c r="B3842">
        <v>12.09</v>
      </c>
      <c r="C3842" s="2">
        <f t="shared" si="59"/>
        <v>-2.7291560874508205E-4</v>
      </c>
    </row>
    <row r="3843" spans="1:3" x14ac:dyDescent="0.2">
      <c r="A3843" s="1">
        <v>40491</v>
      </c>
      <c r="B3843">
        <v>12.093299999999999</v>
      </c>
      <c r="C3843" s="2">
        <f t="shared" ref="C3843:C3906" si="60">+LN(B3843/B3844)</f>
        <v>1.1003877287775658E-3</v>
      </c>
    </row>
    <row r="3844" spans="1:3" x14ac:dyDescent="0.2">
      <c r="A3844" s="1">
        <v>40490</v>
      </c>
      <c r="B3844">
        <v>12.08</v>
      </c>
      <c r="C3844" s="2">
        <f t="shared" si="60"/>
        <v>6.6445427186685108E-3</v>
      </c>
    </row>
    <row r="3845" spans="1:3" x14ac:dyDescent="0.2">
      <c r="A3845" s="1">
        <v>40487</v>
      </c>
      <c r="B3845">
        <v>12</v>
      </c>
      <c r="C3845" s="2">
        <f t="shared" si="60"/>
        <v>6.1270655219803089E-3</v>
      </c>
    </row>
    <row r="3846" spans="1:3" x14ac:dyDescent="0.2">
      <c r="A3846" s="1">
        <v>40486</v>
      </c>
      <c r="B3846">
        <v>11.9267</v>
      </c>
      <c r="C3846" s="2">
        <f t="shared" si="60"/>
        <v>1.8618256790857629E-2</v>
      </c>
    </row>
    <row r="3847" spans="1:3" x14ac:dyDescent="0.2">
      <c r="A3847" s="1">
        <v>40485</v>
      </c>
      <c r="B3847">
        <v>11.7067</v>
      </c>
      <c r="C3847" s="2">
        <f t="shared" si="60"/>
        <v>-1.7069656862614103E-3</v>
      </c>
    </row>
    <row r="3848" spans="1:3" x14ac:dyDescent="0.2">
      <c r="A3848" s="1">
        <v>40484</v>
      </c>
      <c r="B3848">
        <v>11.726699999999999</v>
      </c>
      <c r="C3848" s="2">
        <f t="shared" si="60"/>
        <v>1.546861130343838E-2</v>
      </c>
    </row>
    <row r="3849" spans="1:3" x14ac:dyDescent="0.2">
      <c r="A3849" s="1">
        <v>40483</v>
      </c>
      <c r="B3849">
        <v>11.5467</v>
      </c>
      <c r="C3849" s="2">
        <f t="shared" si="60"/>
        <v>6.6647507167061897E-3</v>
      </c>
    </row>
    <row r="3850" spans="1:3" x14ac:dyDescent="0.2">
      <c r="A3850" s="1">
        <v>40480</v>
      </c>
      <c r="B3850">
        <v>11.47</v>
      </c>
      <c r="C3850" s="2">
        <f t="shared" si="60"/>
        <v>-1.1588748884457354E-3</v>
      </c>
    </row>
    <row r="3851" spans="1:3" x14ac:dyDescent="0.2">
      <c r="A3851" s="1">
        <v>40479</v>
      </c>
      <c r="B3851">
        <v>11.4833</v>
      </c>
      <c r="C3851" s="2">
        <f t="shared" si="60"/>
        <v>-8.6705996109840144E-3</v>
      </c>
    </row>
    <row r="3852" spans="1:3" x14ac:dyDescent="0.2">
      <c r="A3852" s="1">
        <v>40478</v>
      </c>
      <c r="B3852">
        <v>11.583299999999999</v>
      </c>
      <c r="C3852" s="2">
        <f t="shared" si="60"/>
        <v>-2.5865874072997868E-3</v>
      </c>
    </row>
    <row r="3853" spans="1:3" x14ac:dyDescent="0.2">
      <c r="A3853" s="1">
        <v>40477</v>
      </c>
      <c r="B3853">
        <v>11.613300000000001</v>
      </c>
      <c r="C3853" s="2">
        <f t="shared" si="60"/>
        <v>-1.5668838294226429E-2</v>
      </c>
    </row>
    <row r="3854" spans="1:3" x14ac:dyDescent="0.2">
      <c r="A3854" s="1">
        <v>40476</v>
      </c>
      <c r="B3854">
        <v>11.7967</v>
      </c>
      <c r="C3854" s="2">
        <f t="shared" si="60"/>
        <v>9.086055858258375E-3</v>
      </c>
    </row>
    <row r="3855" spans="1:3" x14ac:dyDescent="0.2">
      <c r="A3855" s="1">
        <v>40473</v>
      </c>
      <c r="B3855">
        <v>11.69</v>
      </c>
      <c r="C3855" s="2">
        <f t="shared" si="60"/>
        <v>1.8711178660537061E-2</v>
      </c>
    </row>
    <row r="3856" spans="1:3" x14ac:dyDescent="0.2">
      <c r="A3856" s="1">
        <v>40472</v>
      </c>
      <c r="B3856">
        <v>11.4733</v>
      </c>
      <c r="C3856" s="2">
        <f t="shared" si="60"/>
        <v>5.5324329494556386E-3</v>
      </c>
    </row>
    <row r="3857" spans="1:3" x14ac:dyDescent="0.2">
      <c r="A3857" s="1">
        <v>40471</v>
      </c>
      <c r="B3857">
        <v>11.41</v>
      </c>
      <c r="C3857" s="2">
        <f t="shared" si="60"/>
        <v>2.0963160226217911E-2</v>
      </c>
    </row>
    <row r="3858" spans="1:3" x14ac:dyDescent="0.2">
      <c r="A3858" s="1">
        <v>40470</v>
      </c>
      <c r="B3858">
        <v>11.173299999999999</v>
      </c>
      <c r="C3858" s="2">
        <f t="shared" si="60"/>
        <v>-5.3555776789868358E-3</v>
      </c>
    </row>
    <row r="3859" spans="1:3" x14ac:dyDescent="0.2">
      <c r="A3859" s="1">
        <v>40469</v>
      </c>
      <c r="B3859">
        <v>11.2333</v>
      </c>
      <c r="C3859" s="2">
        <f t="shared" si="60"/>
        <v>1.0434099136976023E-2</v>
      </c>
    </row>
    <row r="3860" spans="1:3" x14ac:dyDescent="0.2">
      <c r="A3860" s="1">
        <v>40466</v>
      </c>
      <c r="B3860">
        <v>11.1167</v>
      </c>
      <c r="C3860" s="2">
        <f t="shared" si="60"/>
        <v>-1.2212936780174382E-2</v>
      </c>
    </row>
    <row r="3861" spans="1:3" x14ac:dyDescent="0.2">
      <c r="A3861" s="1">
        <v>40465</v>
      </c>
      <c r="B3861">
        <v>11.253299999999999</v>
      </c>
      <c r="C3861" s="2">
        <f t="shared" si="60"/>
        <v>8.9260007270054557E-3</v>
      </c>
    </row>
    <row r="3862" spans="1:3" x14ac:dyDescent="0.2">
      <c r="A3862" s="1">
        <v>40464</v>
      </c>
      <c r="B3862">
        <v>11.1533</v>
      </c>
      <c r="C3862" s="2">
        <f t="shared" si="60"/>
        <v>1.5960573782784163E-2</v>
      </c>
    </row>
    <row r="3863" spans="1:3" x14ac:dyDescent="0.2">
      <c r="A3863" s="1">
        <v>40463</v>
      </c>
      <c r="B3863">
        <v>10.976699999999999</v>
      </c>
      <c r="C3863" s="2">
        <f t="shared" si="60"/>
        <v>1.2215133697513656E-3</v>
      </c>
    </row>
    <row r="3864" spans="1:3" x14ac:dyDescent="0.2">
      <c r="A3864" s="1">
        <v>40462</v>
      </c>
      <c r="B3864">
        <v>10.9633</v>
      </c>
      <c r="C3864" s="2">
        <f t="shared" si="60"/>
        <v>3.3439958068553557E-3</v>
      </c>
    </row>
    <row r="3865" spans="1:3" x14ac:dyDescent="0.2">
      <c r="A3865" s="1">
        <v>40459</v>
      </c>
      <c r="B3865">
        <v>10.9267</v>
      </c>
      <c r="C3865" s="2">
        <f t="shared" si="60"/>
        <v>1.7234246202836676E-2</v>
      </c>
    </row>
    <row r="3866" spans="1:3" x14ac:dyDescent="0.2">
      <c r="A3866" s="1">
        <v>40458</v>
      </c>
      <c r="B3866">
        <v>10.74</v>
      </c>
      <c r="C3866" s="2">
        <f t="shared" si="60"/>
        <v>-4.0235520031953378E-3</v>
      </c>
    </row>
    <row r="3867" spans="1:3" x14ac:dyDescent="0.2">
      <c r="A3867" s="1">
        <v>40457</v>
      </c>
      <c r="B3867">
        <v>10.783300000000001</v>
      </c>
      <c r="C3867" s="2">
        <f t="shared" si="60"/>
        <v>-4.9398805356821235E-3</v>
      </c>
    </row>
    <row r="3868" spans="1:3" x14ac:dyDescent="0.2">
      <c r="A3868" s="1">
        <v>40456</v>
      </c>
      <c r="B3868">
        <v>10.8367</v>
      </c>
      <c r="C3868" s="2">
        <f t="shared" si="60"/>
        <v>3.4424496737150624E-2</v>
      </c>
    </row>
    <row r="3869" spans="1:3" x14ac:dyDescent="0.2">
      <c r="A3869" s="1">
        <v>40455</v>
      </c>
      <c r="B3869">
        <v>10.47</v>
      </c>
      <c r="C3869" s="2">
        <f t="shared" si="60"/>
        <v>-1.2651248540042263E-2</v>
      </c>
    </row>
    <row r="3870" spans="1:3" x14ac:dyDescent="0.2">
      <c r="A3870" s="1">
        <v>40452</v>
      </c>
      <c r="B3870">
        <v>10.603300000000001</v>
      </c>
      <c r="C3870" s="2">
        <f t="shared" si="60"/>
        <v>2.5118049089057253E-3</v>
      </c>
    </row>
    <row r="3871" spans="1:3" x14ac:dyDescent="0.2">
      <c r="A3871" s="1">
        <v>40451</v>
      </c>
      <c r="B3871">
        <v>10.576700000000001</v>
      </c>
      <c r="C3871" s="2">
        <f t="shared" si="60"/>
        <v>4.4251423676979909E-3</v>
      </c>
    </row>
    <row r="3872" spans="1:3" x14ac:dyDescent="0.2">
      <c r="A3872" s="1">
        <v>40450</v>
      </c>
      <c r="B3872">
        <v>10.53</v>
      </c>
      <c r="C3872" s="2">
        <f t="shared" si="60"/>
        <v>2.208443091029395E-2</v>
      </c>
    </row>
    <row r="3873" spans="1:3" x14ac:dyDescent="0.2">
      <c r="A3873" s="1">
        <v>40449</v>
      </c>
      <c r="B3873">
        <v>10.3</v>
      </c>
      <c r="C3873" s="2">
        <f t="shared" si="60"/>
        <v>1.139477161387514E-2</v>
      </c>
    </row>
    <row r="3874" spans="1:3" x14ac:dyDescent="0.2">
      <c r="A3874" s="1">
        <v>40448</v>
      </c>
      <c r="B3874">
        <v>10.183299999999999</v>
      </c>
      <c r="C3874" s="2">
        <f t="shared" si="60"/>
        <v>-8.1565244376801821E-3</v>
      </c>
    </row>
    <row r="3875" spans="1:3" x14ac:dyDescent="0.2">
      <c r="A3875" s="1">
        <v>40445</v>
      </c>
      <c r="B3875">
        <v>10.2667</v>
      </c>
      <c r="C3875" s="2">
        <f t="shared" si="60"/>
        <v>3.0328576462888113E-2</v>
      </c>
    </row>
    <row r="3876" spans="1:3" x14ac:dyDescent="0.2">
      <c r="A3876" s="1">
        <v>40444</v>
      </c>
      <c r="B3876">
        <v>9.9600000000000009</v>
      </c>
      <c r="C3876" s="2">
        <f t="shared" si="60"/>
        <v>-1.3958352250706801E-2</v>
      </c>
    </row>
    <row r="3877" spans="1:3" x14ac:dyDescent="0.2">
      <c r="A3877" s="1">
        <v>40443</v>
      </c>
      <c r="B3877">
        <v>10.1</v>
      </c>
      <c r="C3877" s="2">
        <f t="shared" si="60"/>
        <v>-1.9782400121057075E-3</v>
      </c>
    </row>
    <row r="3878" spans="1:3" x14ac:dyDescent="0.2">
      <c r="A3878" s="1">
        <v>40442</v>
      </c>
      <c r="B3878">
        <v>10.119999999999999</v>
      </c>
      <c r="C3878" s="2">
        <f t="shared" si="60"/>
        <v>-5.5871296807470609E-3</v>
      </c>
    </row>
    <row r="3879" spans="1:3" x14ac:dyDescent="0.2">
      <c r="A3879" s="1">
        <v>40441</v>
      </c>
      <c r="B3879">
        <v>10.1767</v>
      </c>
      <c r="C3879" s="2">
        <f t="shared" si="60"/>
        <v>1.3523679276483338E-2</v>
      </c>
    </row>
    <row r="3880" spans="1:3" x14ac:dyDescent="0.2">
      <c r="A3880" s="1">
        <v>40438</v>
      </c>
      <c r="B3880">
        <v>10.039999999999999</v>
      </c>
      <c r="C3880" s="2">
        <f t="shared" si="60"/>
        <v>6.6755344151759905E-4</v>
      </c>
    </row>
    <row r="3881" spans="1:3" x14ac:dyDescent="0.2">
      <c r="A3881" s="1">
        <v>40437</v>
      </c>
      <c r="B3881">
        <v>10.033300000000001</v>
      </c>
      <c r="C3881" s="2">
        <f t="shared" si="60"/>
        <v>8.0054063465604709E-3</v>
      </c>
    </row>
    <row r="3882" spans="1:3" x14ac:dyDescent="0.2">
      <c r="A3882" s="1">
        <v>40436</v>
      </c>
      <c r="B3882">
        <v>9.9533000000000005</v>
      </c>
      <c r="C3882" s="2">
        <f t="shared" si="60"/>
        <v>5.0361195448405706E-3</v>
      </c>
    </row>
    <row r="3883" spans="1:3" x14ac:dyDescent="0.2">
      <c r="A3883" s="1">
        <v>40435</v>
      </c>
      <c r="B3883">
        <v>9.9032999999999998</v>
      </c>
      <c r="C3883" s="2">
        <f t="shared" si="60"/>
        <v>-1.0386833713585111E-2</v>
      </c>
    </row>
    <row r="3884" spans="1:3" x14ac:dyDescent="0.2">
      <c r="A3884" s="1">
        <v>40434</v>
      </c>
      <c r="B3884">
        <v>10.0067</v>
      </c>
      <c r="C3884" s="2">
        <f t="shared" si="60"/>
        <v>1.6118494974503465E-2</v>
      </c>
    </row>
    <row r="3885" spans="1:3" x14ac:dyDescent="0.2">
      <c r="A3885" s="1">
        <v>40431</v>
      </c>
      <c r="B3885">
        <v>9.8467000000000002</v>
      </c>
      <c r="C3885" s="2">
        <f t="shared" si="60"/>
        <v>-2.6977703988662512E-3</v>
      </c>
    </row>
    <row r="3886" spans="1:3" x14ac:dyDescent="0.2">
      <c r="A3886" s="1">
        <v>40430</v>
      </c>
      <c r="B3886">
        <v>9.8733000000000004</v>
      </c>
      <c r="C3886" s="2">
        <f t="shared" si="60"/>
        <v>1.0179966365288172E-2</v>
      </c>
    </row>
    <row r="3887" spans="1:3" x14ac:dyDescent="0.2">
      <c r="A3887" s="1">
        <v>40429</v>
      </c>
      <c r="B3887">
        <v>9.7733000000000008</v>
      </c>
      <c r="C3887" s="2">
        <f t="shared" si="60"/>
        <v>1.3617772783232705E-3</v>
      </c>
    </row>
    <row r="3888" spans="1:3" x14ac:dyDescent="0.2">
      <c r="A3888" s="1">
        <v>40428</v>
      </c>
      <c r="B3888">
        <v>9.76</v>
      </c>
      <c r="C3888" s="2">
        <f t="shared" si="60"/>
        <v>-9.1790547589963561E-3</v>
      </c>
    </row>
    <row r="3889" spans="1:3" x14ac:dyDescent="0.2">
      <c r="A3889" s="1">
        <v>40424</v>
      </c>
      <c r="B3889">
        <v>9.85</v>
      </c>
      <c r="C3889" s="2">
        <f t="shared" si="60"/>
        <v>1.2596773758541964E-2</v>
      </c>
    </row>
    <row r="3890" spans="1:3" x14ac:dyDescent="0.2">
      <c r="A3890" s="1">
        <v>40423</v>
      </c>
      <c r="B3890">
        <v>9.7266999999999992</v>
      </c>
      <c r="C3890" s="2">
        <f t="shared" si="60"/>
        <v>1.3455392047239157E-2</v>
      </c>
    </row>
    <row r="3891" spans="1:3" x14ac:dyDescent="0.2">
      <c r="A3891" s="1">
        <v>40422</v>
      </c>
      <c r="B3891">
        <v>9.5967000000000002</v>
      </c>
      <c r="C3891" s="2">
        <f t="shared" si="60"/>
        <v>3.105011344969473E-2</v>
      </c>
    </row>
    <row r="3892" spans="1:3" x14ac:dyDescent="0.2">
      <c r="A3892" s="1">
        <v>40421</v>
      </c>
      <c r="B3892">
        <v>9.3033000000000001</v>
      </c>
      <c r="C3892" s="2">
        <f t="shared" si="60"/>
        <v>-3.9370763122298404E-3</v>
      </c>
    </row>
    <row r="3893" spans="1:3" x14ac:dyDescent="0.2">
      <c r="A3893" s="1">
        <v>40420</v>
      </c>
      <c r="B3893">
        <v>9.34</v>
      </c>
      <c r="C3893" s="2">
        <f t="shared" si="60"/>
        <v>-1.5932360381085274E-2</v>
      </c>
    </row>
    <row r="3894" spans="1:3" x14ac:dyDescent="0.2">
      <c r="A3894" s="1">
        <v>40417</v>
      </c>
      <c r="B3894">
        <v>9.49</v>
      </c>
      <c r="C3894" s="2">
        <f t="shared" si="60"/>
        <v>2.0224212462626096E-2</v>
      </c>
    </row>
    <row r="3895" spans="1:3" x14ac:dyDescent="0.2">
      <c r="A3895" s="1">
        <v>40416</v>
      </c>
      <c r="B3895">
        <v>9.3000000000000007</v>
      </c>
      <c r="C3895" s="2">
        <f t="shared" si="60"/>
        <v>2.1528533611010927E-3</v>
      </c>
    </row>
    <row r="3896" spans="1:3" x14ac:dyDescent="0.2">
      <c r="A3896" s="1">
        <v>40415</v>
      </c>
      <c r="B3896">
        <v>9.2799999999999994</v>
      </c>
      <c r="C3896" s="2">
        <f t="shared" si="60"/>
        <v>9.7456104305135207E-3</v>
      </c>
    </row>
    <row r="3897" spans="1:3" x14ac:dyDescent="0.2">
      <c r="A3897" s="1">
        <v>40414</v>
      </c>
      <c r="B3897">
        <v>9.19</v>
      </c>
      <c r="C3897" s="2">
        <f t="shared" si="60"/>
        <v>-3.4574883152606803E-2</v>
      </c>
    </row>
    <row r="3898" spans="1:3" x14ac:dyDescent="0.2">
      <c r="A3898" s="1">
        <v>40413</v>
      </c>
      <c r="B3898">
        <v>9.5132999999999992</v>
      </c>
      <c r="C3898" s="2">
        <f t="shared" si="60"/>
        <v>-1.5644385273969646E-2</v>
      </c>
    </row>
    <row r="3899" spans="1:3" x14ac:dyDescent="0.2">
      <c r="A3899" s="1">
        <v>40410</v>
      </c>
      <c r="B3899">
        <v>9.6632999999999996</v>
      </c>
      <c r="C3899" s="2">
        <f t="shared" si="60"/>
        <v>1.3772894432776015E-3</v>
      </c>
    </row>
    <row r="3900" spans="1:3" x14ac:dyDescent="0.2">
      <c r="A3900" s="1">
        <v>40409</v>
      </c>
      <c r="B3900">
        <v>9.65</v>
      </c>
      <c r="C3900" s="2">
        <f t="shared" si="60"/>
        <v>-2.8602562706186576E-2</v>
      </c>
    </row>
    <row r="3901" spans="1:3" x14ac:dyDescent="0.2">
      <c r="A3901" s="1">
        <v>40408</v>
      </c>
      <c r="B3901">
        <v>9.93</v>
      </c>
      <c r="C3901" s="2">
        <f t="shared" si="60"/>
        <v>3.3591098177747228E-3</v>
      </c>
    </row>
    <row r="3902" spans="1:3" x14ac:dyDescent="0.2">
      <c r="A3902" s="1">
        <v>40407</v>
      </c>
      <c r="B3902">
        <v>9.8966999999999992</v>
      </c>
      <c r="C3902" s="2">
        <f t="shared" si="60"/>
        <v>1.8705287855236709E-2</v>
      </c>
    </row>
    <row r="3903" spans="1:3" x14ac:dyDescent="0.2">
      <c r="A3903" s="1">
        <v>40406</v>
      </c>
      <c r="B3903">
        <v>9.7133000000000003</v>
      </c>
      <c r="C3903" s="2">
        <f t="shared" si="60"/>
        <v>-8.8863052924565908E-3</v>
      </c>
    </row>
    <row r="3904" spans="1:3" x14ac:dyDescent="0.2">
      <c r="A3904" s="1">
        <v>40403</v>
      </c>
      <c r="B3904">
        <v>9.8000000000000007</v>
      </c>
      <c r="C3904" s="2">
        <f t="shared" si="60"/>
        <v>-1.6525956345078675E-2</v>
      </c>
    </row>
    <row r="3905" spans="1:3" x14ac:dyDescent="0.2">
      <c r="A3905" s="1">
        <v>40402</v>
      </c>
      <c r="B3905">
        <v>9.9633000000000003</v>
      </c>
      <c r="C3905" s="2">
        <f t="shared" si="60"/>
        <v>-1.4943047246334103E-2</v>
      </c>
    </row>
    <row r="3906" spans="1:3" x14ac:dyDescent="0.2">
      <c r="A3906" s="1">
        <v>40401</v>
      </c>
      <c r="B3906">
        <v>10.113300000000001</v>
      </c>
      <c r="C3906" s="2">
        <f t="shared" si="60"/>
        <v>-4.5425897791392604E-2</v>
      </c>
    </row>
    <row r="3907" spans="1:3" x14ac:dyDescent="0.2">
      <c r="A3907" s="1">
        <v>40400</v>
      </c>
      <c r="B3907">
        <v>10.583299999999999</v>
      </c>
      <c r="C3907" s="2">
        <f t="shared" ref="C3907:C3970" si="61">+LN(B3907/B3908)</f>
        <v>-1.4073771228036751E-2</v>
      </c>
    </row>
    <row r="3908" spans="1:3" x14ac:dyDescent="0.2">
      <c r="A3908" s="1">
        <v>40399</v>
      </c>
      <c r="B3908">
        <v>10.7333</v>
      </c>
      <c r="C3908" s="2">
        <f t="shared" si="61"/>
        <v>4.9782247553197536E-3</v>
      </c>
    </row>
    <row r="3909" spans="1:3" x14ac:dyDescent="0.2">
      <c r="A3909" s="1">
        <v>40396</v>
      </c>
      <c r="B3909">
        <v>10.68</v>
      </c>
      <c r="C3909" s="2">
        <f t="shared" si="61"/>
        <v>6.2753768456152428E-4</v>
      </c>
    </row>
    <row r="3910" spans="1:3" x14ac:dyDescent="0.2">
      <c r="A3910" s="1">
        <v>40395</v>
      </c>
      <c r="B3910">
        <v>10.673299999999999</v>
      </c>
      <c r="C3910" s="2">
        <f t="shared" si="61"/>
        <v>-1.5497700164012954E-2</v>
      </c>
    </row>
    <row r="3911" spans="1:3" x14ac:dyDescent="0.2">
      <c r="A3911" s="1">
        <v>40394</v>
      </c>
      <c r="B3911">
        <v>10.84</v>
      </c>
      <c r="C3911" s="2">
        <f t="shared" si="61"/>
        <v>2.5535449227218034E-2</v>
      </c>
    </row>
    <row r="3912" spans="1:3" x14ac:dyDescent="0.2">
      <c r="A3912" s="1">
        <v>40393</v>
      </c>
      <c r="B3912">
        <v>10.566700000000001</v>
      </c>
      <c r="C3912" s="2">
        <f t="shared" si="61"/>
        <v>-1.1292430875741248E-2</v>
      </c>
    </row>
    <row r="3913" spans="1:3" x14ac:dyDescent="0.2">
      <c r="A3913" s="1">
        <v>40392</v>
      </c>
      <c r="B3913">
        <v>10.6867</v>
      </c>
      <c r="C3913" s="2">
        <f t="shared" si="61"/>
        <v>1.5408131327392605E-2</v>
      </c>
    </row>
    <row r="3914" spans="1:3" x14ac:dyDescent="0.2">
      <c r="A3914" s="1">
        <v>40389</v>
      </c>
      <c r="B3914">
        <v>10.523300000000001</v>
      </c>
      <c r="C3914" s="2">
        <f t="shared" si="61"/>
        <v>4.7626848645172465E-3</v>
      </c>
    </row>
    <row r="3915" spans="1:3" x14ac:dyDescent="0.2">
      <c r="A3915" s="1">
        <v>40388</v>
      </c>
      <c r="B3915">
        <v>10.4733</v>
      </c>
      <c r="C3915" s="2">
        <f t="shared" si="61"/>
        <v>-9.543533549327374E-4</v>
      </c>
    </row>
    <row r="3916" spans="1:3" x14ac:dyDescent="0.2">
      <c r="A3916" s="1">
        <v>40387</v>
      </c>
      <c r="B3916">
        <v>10.4833</v>
      </c>
      <c r="C3916" s="2">
        <f t="shared" si="61"/>
        <v>-1.2955500990746473E-2</v>
      </c>
    </row>
    <row r="3917" spans="1:3" x14ac:dyDescent="0.2">
      <c r="A3917" s="1">
        <v>40386</v>
      </c>
      <c r="B3917">
        <v>10.62</v>
      </c>
      <c r="C3917" s="2">
        <f t="shared" si="61"/>
        <v>2.5172900113857571E-3</v>
      </c>
    </row>
    <row r="3918" spans="1:3" x14ac:dyDescent="0.2">
      <c r="A3918" s="1">
        <v>40385</v>
      </c>
      <c r="B3918">
        <v>10.593299999999999</v>
      </c>
      <c r="C3918" s="2">
        <f t="shared" si="61"/>
        <v>1.1707700919961275E-2</v>
      </c>
    </row>
    <row r="3919" spans="1:3" x14ac:dyDescent="0.2">
      <c r="A3919" s="1">
        <v>40382</v>
      </c>
      <c r="B3919">
        <v>10.47</v>
      </c>
      <c r="C3919" s="2">
        <f t="shared" si="61"/>
        <v>2.3512077604399936E-2</v>
      </c>
    </row>
    <row r="3920" spans="1:3" x14ac:dyDescent="0.2">
      <c r="A3920" s="1">
        <v>40381</v>
      </c>
      <c r="B3920">
        <v>10.226699999999999</v>
      </c>
      <c r="C3920" s="2">
        <f t="shared" si="61"/>
        <v>2.6142269878203133E-3</v>
      </c>
    </row>
    <row r="3921" spans="1:3" x14ac:dyDescent="0.2">
      <c r="A3921" s="1">
        <v>40380</v>
      </c>
      <c r="B3921">
        <v>10.199999999999999</v>
      </c>
      <c r="C3921" s="2">
        <f t="shared" si="61"/>
        <v>-3.2347708740997132E-4</v>
      </c>
    </row>
    <row r="3922" spans="1:3" x14ac:dyDescent="0.2">
      <c r="A3922" s="1">
        <v>40379</v>
      </c>
      <c r="B3922">
        <v>10.2033</v>
      </c>
      <c r="C3922" s="2">
        <f t="shared" si="61"/>
        <v>3.2198685617858831E-2</v>
      </c>
    </row>
    <row r="3923" spans="1:3" x14ac:dyDescent="0.2">
      <c r="A3923" s="1">
        <v>40378</v>
      </c>
      <c r="B3923">
        <v>9.8800000000000008</v>
      </c>
      <c r="C3923" s="2">
        <f t="shared" si="61"/>
        <v>8.1301260832503091E-3</v>
      </c>
    </row>
    <row r="3924" spans="1:3" x14ac:dyDescent="0.2">
      <c r="A3924" s="1">
        <v>40375</v>
      </c>
      <c r="B3924">
        <v>9.8000000000000007</v>
      </c>
      <c r="C3924" s="2">
        <f t="shared" si="61"/>
        <v>-3.8042625445850319E-2</v>
      </c>
    </row>
    <row r="3925" spans="1:3" x14ac:dyDescent="0.2">
      <c r="A3925" s="1">
        <v>40374</v>
      </c>
      <c r="B3925">
        <v>10.18</v>
      </c>
      <c r="C3925" s="2">
        <f t="shared" si="61"/>
        <v>-8.8020128180901821E-3</v>
      </c>
    </row>
    <row r="3926" spans="1:3" x14ac:dyDescent="0.2">
      <c r="A3926" s="1">
        <v>40373</v>
      </c>
      <c r="B3926">
        <v>10.27</v>
      </c>
      <c r="C3926" s="2">
        <f t="shared" si="61"/>
        <v>-9.371722005525971E-3</v>
      </c>
    </row>
    <row r="3927" spans="1:3" x14ac:dyDescent="0.2">
      <c r="A3927" s="1">
        <v>40372</v>
      </c>
      <c r="B3927">
        <v>10.3667</v>
      </c>
      <c r="C3927" s="2">
        <f t="shared" si="61"/>
        <v>3.2350370970212948E-2</v>
      </c>
    </row>
    <row r="3928" spans="1:3" x14ac:dyDescent="0.2">
      <c r="A3928" s="1">
        <v>40371</v>
      </c>
      <c r="B3928">
        <v>10.0367</v>
      </c>
      <c r="C3928" s="2">
        <f t="shared" si="61"/>
        <v>-2.0053244635581818E-2</v>
      </c>
    </row>
    <row r="3929" spans="1:3" x14ac:dyDescent="0.2">
      <c r="A3929" s="1">
        <v>40368</v>
      </c>
      <c r="B3929">
        <v>10.24</v>
      </c>
      <c r="C3929" s="2">
        <f t="shared" si="61"/>
        <v>8.5028438119354333E-3</v>
      </c>
    </row>
    <row r="3930" spans="1:3" x14ac:dyDescent="0.2">
      <c r="A3930" s="1">
        <v>40367</v>
      </c>
      <c r="B3930">
        <v>10.1533</v>
      </c>
      <c r="C3930" s="2">
        <f t="shared" si="61"/>
        <v>2.6952311710770754E-2</v>
      </c>
    </row>
    <row r="3931" spans="1:3" x14ac:dyDescent="0.2">
      <c r="A3931" s="1">
        <v>40366</v>
      </c>
      <c r="B3931">
        <v>9.8833000000000002</v>
      </c>
      <c r="C3931" s="2">
        <f t="shared" si="61"/>
        <v>3.0469742858504029E-2</v>
      </c>
    </row>
    <row r="3932" spans="1:3" x14ac:dyDescent="0.2">
      <c r="A3932" s="1">
        <v>40365</v>
      </c>
      <c r="B3932">
        <v>9.5867000000000004</v>
      </c>
      <c r="C3932" s="2">
        <f t="shared" si="61"/>
        <v>8.7376145210459194E-3</v>
      </c>
    </row>
    <row r="3933" spans="1:3" x14ac:dyDescent="0.2">
      <c r="A3933" s="1">
        <v>40361</v>
      </c>
      <c r="B3933">
        <v>9.5032999999999994</v>
      </c>
      <c r="C3933" s="2">
        <f t="shared" si="61"/>
        <v>2.774014195869989E-2</v>
      </c>
    </row>
    <row r="3934" spans="1:3" x14ac:dyDescent="0.2">
      <c r="A3934" s="1">
        <v>40360</v>
      </c>
      <c r="B3934">
        <v>9.2432999999999996</v>
      </c>
      <c r="C3934" s="2">
        <f t="shared" si="61"/>
        <v>-1.6459599058432455E-2</v>
      </c>
    </row>
    <row r="3935" spans="1:3" x14ac:dyDescent="0.2">
      <c r="A3935" s="1">
        <v>40359</v>
      </c>
      <c r="B3935">
        <v>9.3966999999999992</v>
      </c>
      <c r="C3935" s="2">
        <f t="shared" si="61"/>
        <v>-3.0395246815496497E-2</v>
      </c>
    </row>
    <row r="3936" spans="1:3" x14ac:dyDescent="0.2">
      <c r="A3936" s="1">
        <v>40358</v>
      </c>
      <c r="B3936">
        <v>9.6867000000000001</v>
      </c>
      <c r="C3936" s="2">
        <f t="shared" si="61"/>
        <v>-3.7147128191946654E-2</v>
      </c>
    </row>
    <row r="3937" spans="1:3" x14ac:dyDescent="0.2">
      <c r="A3937" s="1">
        <v>40357</v>
      </c>
      <c r="B3937">
        <v>10.0533</v>
      </c>
      <c r="C3937" s="2">
        <f t="shared" si="61"/>
        <v>4.9859002602599019E-3</v>
      </c>
    </row>
    <row r="3938" spans="1:3" x14ac:dyDescent="0.2">
      <c r="A3938" s="1">
        <v>40354</v>
      </c>
      <c r="B3938">
        <v>10.003299999999999</v>
      </c>
      <c r="C3938" s="2">
        <f t="shared" si="61"/>
        <v>1.409424033783185E-2</v>
      </c>
    </row>
    <row r="3939" spans="1:3" x14ac:dyDescent="0.2">
      <c r="A3939" s="1">
        <v>40353</v>
      </c>
      <c r="B3939">
        <v>9.8633000000000006</v>
      </c>
      <c r="C3939" s="2">
        <f t="shared" si="61"/>
        <v>-1.7088762603875582E-2</v>
      </c>
    </row>
    <row r="3940" spans="1:3" x14ac:dyDescent="0.2">
      <c r="A3940" s="1">
        <v>40352</v>
      </c>
      <c r="B3940">
        <v>10.033300000000001</v>
      </c>
      <c r="C3940" s="2">
        <f t="shared" si="61"/>
        <v>5.326470498692842E-3</v>
      </c>
    </row>
    <row r="3941" spans="1:3" x14ac:dyDescent="0.2">
      <c r="A3941" s="1">
        <v>40351</v>
      </c>
      <c r="B3941">
        <v>9.98</v>
      </c>
      <c r="C3941" s="2">
        <f t="shared" si="61"/>
        <v>-3.1560804912217556E-2</v>
      </c>
    </row>
    <row r="3942" spans="1:3" x14ac:dyDescent="0.2">
      <c r="A3942" s="1">
        <v>40350</v>
      </c>
      <c r="B3942">
        <v>10.3</v>
      </c>
      <c r="C3942" s="2">
        <f t="shared" si="61"/>
        <v>-8.0548510517361536E-3</v>
      </c>
    </row>
    <row r="3943" spans="1:3" x14ac:dyDescent="0.2">
      <c r="A3943" s="1">
        <v>40347</v>
      </c>
      <c r="B3943">
        <v>10.3833</v>
      </c>
      <c r="C3943" s="2">
        <f t="shared" si="61"/>
        <v>-1.244237599738488E-2</v>
      </c>
    </row>
    <row r="3944" spans="1:3" x14ac:dyDescent="0.2">
      <c r="A3944" s="1">
        <v>40346</v>
      </c>
      <c r="B3944">
        <v>10.513299999999999</v>
      </c>
      <c r="C3944" s="2">
        <f t="shared" si="61"/>
        <v>-6.3243041454420657E-3</v>
      </c>
    </row>
    <row r="3945" spans="1:3" x14ac:dyDescent="0.2">
      <c r="A3945" s="1">
        <v>40345</v>
      </c>
      <c r="B3945">
        <v>10.58</v>
      </c>
      <c r="C3945" s="2">
        <f t="shared" si="61"/>
        <v>7.5901692666756528E-3</v>
      </c>
    </row>
    <row r="3946" spans="1:3" x14ac:dyDescent="0.2">
      <c r="A3946" s="1">
        <v>40344</v>
      </c>
      <c r="B3946">
        <v>10.5</v>
      </c>
      <c r="C3946" s="2">
        <f t="shared" si="61"/>
        <v>1.3104538234415427E-2</v>
      </c>
    </row>
    <row r="3947" spans="1:3" x14ac:dyDescent="0.2">
      <c r="A3947" s="1">
        <v>40343</v>
      </c>
      <c r="B3947">
        <v>10.363300000000001</v>
      </c>
      <c r="C3947" s="2">
        <f t="shared" si="61"/>
        <v>1.2946138965526925E-2</v>
      </c>
    </row>
    <row r="3948" spans="1:3" x14ac:dyDescent="0.2">
      <c r="A3948" s="1">
        <v>40340</v>
      </c>
      <c r="B3948">
        <v>10.23</v>
      </c>
      <c r="C3948" s="2">
        <f t="shared" si="61"/>
        <v>8.1760504924388976E-3</v>
      </c>
    </row>
    <row r="3949" spans="1:3" x14ac:dyDescent="0.2">
      <c r="A3949" s="1">
        <v>40339</v>
      </c>
      <c r="B3949">
        <v>10.146699999999999</v>
      </c>
      <c r="C3949" s="2">
        <f t="shared" si="61"/>
        <v>2.6636017711319699E-2</v>
      </c>
    </row>
    <row r="3950" spans="1:3" x14ac:dyDescent="0.2">
      <c r="A3950" s="1">
        <v>40338</v>
      </c>
      <c r="B3950">
        <v>9.8800000000000008</v>
      </c>
      <c r="C3950" s="2">
        <f t="shared" si="61"/>
        <v>6.0913893934019126E-3</v>
      </c>
    </row>
    <row r="3951" spans="1:3" x14ac:dyDescent="0.2">
      <c r="A3951" s="1">
        <v>40337</v>
      </c>
      <c r="B3951">
        <v>9.82</v>
      </c>
      <c r="C3951" s="2">
        <f t="shared" si="61"/>
        <v>1.023550389402671E-2</v>
      </c>
    </row>
    <row r="3952" spans="1:3" x14ac:dyDescent="0.2">
      <c r="A3952" s="1">
        <v>40336</v>
      </c>
      <c r="B3952">
        <v>9.7200000000000006</v>
      </c>
      <c r="C3952" s="2">
        <f t="shared" si="61"/>
        <v>-3.1065916403740731E-2</v>
      </c>
    </row>
    <row r="3953" spans="1:3" x14ac:dyDescent="0.2">
      <c r="A3953" s="1">
        <v>40333</v>
      </c>
      <c r="B3953">
        <v>10.0267</v>
      </c>
      <c r="C3953" s="2">
        <f t="shared" si="61"/>
        <v>-6.5926349583569077E-2</v>
      </c>
    </row>
    <row r="3954" spans="1:3" x14ac:dyDescent="0.2">
      <c r="A3954" s="1">
        <v>40332</v>
      </c>
      <c r="B3954">
        <v>10.71</v>
      </c>
      <c r="C3954" s="2">
        <f t="shared" si="61"/>
        <v>6.247298256904588E-3</v>
      </c>
    </row>
    <row r="3955" spans="1:3" x14ac:dyDescent="0.2">
      <c r="A3955" s="1">
        <v>40331</v>
      </c>
      <c r="B3955">
        <v>10.6433</v>
      </c>
      <c r="C3955" s="2">
        <f t="shared" si="61"/>
        <v>3.635616074745756E-2</v>
      </c>
    </row>
    <row r="3956" spans="1:3" x14ac:dyDescent="0.2">
      <c r="A3956" s="1">
        <v>40330</v>
      </c>
      <c r="B3956">
        <v>10.263299999999999</v>
      </c>
      <c r="C3956" s="2">
        <f t="shared" si="61"/>
        <v>-2.8811304004865198E-2</v>
      </c>
    </row>
    <row r="3957" spans="1:3" x14ac:dyDescent="0.2">
      <c r="A3957" s="1">
        <v>40326</v>
      </c>
      <c r="B3957">
        <v>10.5633</v>
      </c>
      <c r="C3957" s="2">
        <f t="shared" si="61"/>
        <v>-9.4222098514026766E-3</v>
      </c>
    </row>
    <row r="3958" spans="1:3" x14ac:dyDescent="0.2">
      <c r="A3958" s="1">
        <v>40325</v>
      </c>
      <c r="B3958">
        <v>10.6633</v>
      </c>
      <c r="C3958" s="2">
        <f t="shared" si="61"/>
        <v>2.9821419600185174E-2</v>
      </c>
    </row>
    <row r="3959" spans="1:3" x14ac:dyDescent="0.2">
      <c r="A3959" s="1">
        <v>40324</v>
      </c>
      <c r="B3959">
        <v>10.35</v>
      </c>
      <c r="C3959" s="2">
        <f t="shared" si="61"/>
        <v>-3.2122265759482647E-3</v>
      </c>
    </row>
    <row r="3960" spans="1:3" x14ac:dyDescent="0.2">
      <c r="A3960" s="1">
        <v>40323</v>
      </c>
      <c r="B3960">
        <v>10.3833</v>
      </c>
      <c r="C3960" s="2">
        <f t="shared" si="61"/>
        <v>-8.3152785951192392E-3</v>
      </c>
    </row>
    <row r="3961" spans="1:3" x14ac:dyDescent="0.2">
      <c r="A3961" s="1">
        <v>40322</v>
      </c>
      <c r="B3961">
        <v>10.47</v>
      </c>
      <c r="C3961" s="2">
        <f t="shared" si="61"/>
        <v>-1.170770091996139E-2</v>
      </c>
    </row>
    <row r="3962" spans="1:3" x14ac:dyDescent="0.2">
      <c r="A3962" s="1">
        <v>40319</v>
      </c>
      <c r="B3962">
        <v>10.593299999999999</v>
      </c>
      <c r="C3962" s="2">
        <f t="shared" si="61"/>
        <v>2.4850035797024855E-2</v>
      </c>
    </row>
    <row r="3963" spans="1:3" x14ac:dyDescent="0.2">
      <c r="A3963" s="1">
        <v>40318</v>
      </c>
      <c r="B3963">
        <v>10.333299999999999</v>
      </c>
      <c r="C3963" s="2">
        <f t="shared" si="61"/>
        <v>-4.1392801162915223E-2</v>
      </c>
    </row>
    <row r="3964" spans="1:3" x14ac:dyDescent="0.2">
      <c r="A3964" s="1">
        <v>40317</v>
      </c>
      <c r="B3964">
        <v>10.77</v>
      </c>
      <c r="C3964" s="2">
        <f t="shared" si="61"/>
        <v>-2.4461591953765547E-2</v>
      </c>
    </row>
    <row r="3965" spans="1:3" x14ac:dyDescent="0.2">
      <c r="A3965" s="1">
        <v>40316</v>
      </c>
      <c r="B3965">
        <v>11.0367</v>
      </c>
      <c r="C3965" s="2">
        <f t="shared" si="61"/>
        <v>-1.973742381109261E-2</v>
      </c>
    </row>
    <row r="3966" spans="1:3" x14ac:dyDescent="0.2">
      <c r="A3966" s="1">
        <v>40315</v>
      </c>
      <c r="B3966">
        <v>11.2567</v>
      </c>
      <c r="C3966" s="2">
        <f t="shared" si="61"/>
        <v>-2.0226337409572241E-2</v>
      </c>
    </row>
    <row r="3967" spans="1:3" x14ac:dyDescent="0.2">
      <c r="A3967" s="1">
        <v>40312</v>
      </c>
      <c r="B3967">
        <v>11.486700000000001</v>
      </c>
      <c r="C3967" s="2">
        <f t="shared" si="61"/>
        <v>-3.394420879644533E-2</v>
      </c>
    </row>
    <row r="3968" spans="1:3" x14ac:dyDescent="0.2">
      <c r="A3968" s="1">
        <v>40311</v>
      </c>
      <c r="B3968">
        <v>11.8833</v>
      </c>
      <c r="C3968" s="2">
        <f t="shared" si="61"/>
        <v>-2.8607488625888723E-4</v>
      </c>
    </row>
    <row r="3969" spans="1:3" x14ac:dyDescent="0.2">
      <c r="A3969" s="1">
        <v>40310</v>
      </c>
      <c r="B3969">
        <v>11.886699999999999</v>
      </c>
      <c r="C3969" s="2">
        <f t="shared" si="61"/>
        <v>2.6719407089871545E-2</v>
      </c>
    </row>
    <row r="3970" spans="1:3" x14ac:dyDescent="0.2">
      <c r="A3970" s="1">
        <v>40309</v>
      </c>
      <c r="B3970">
        <v>11.5733</v>
      </c>
      <c r="C3970" s="2">
        <f t="shared" si="61"/>
        <v>4.6160656678150974E-3</v>
      </c>
    </row>
    <row r="3971" spans="1:3" x14ac:dyDescent="0.2">
      <c r="A3971" s="1">
        <v>40308</v>
      </c>
      <c r="B3971">
        <v>11.52</v>
      </c>
      <c r="C3971" s="2">
        <f t="shared" ref="C3971:C4034" si="62">+LN(B3971/B3972)</f>
        <v>6.3613023616628295E-2</v>
      </c>
    </row>
    <row r="3972" spans="1:3" x14ac:dyDescent="0.2">
      <c r="A3972" s="1">
        <v>40305</v>
      </c>
      <c r="B3972">
        <v>10.81</v>
      </c>
      <c r="C3972" s="2">
        <f t="shared" si="62"/>
        <v>0</v>
      </c>
    </row>
    <row r="3973" spans="1:3" x14ac:dyDescent="0.2">
      <c r="A3973" s="1">
        <v>40304</v>
      </c>
      <c r="B3973">
        <v>10.81</v>
      </c>
      <c r="C3973" s="2">
        <f t="shared" si="62"/>
        <v>-3.365483607583613E-2</v>
      </c>
    </row>
    <row r="3974" spans="1:3" x14ac:dyDescent="0.2">
      <c r="A3974" s="1">
        <v>40303</v>
      </c>
      <c r="B3974">
        <v>11.18</v>
      </c>
      <c r="C3974" s="2">
        <f t="shared" si="62"/>
        <v>-1.8898995600565693E-2</v>
      </c>
    </row>
    <row r="3975" spans="1:3" x14ac:dyDescent="0.2">
      <c r="A3975" s="1">
        <v>40302</v>
      </c>
      <c r="B3975">
        <v>11.3933</v>
      </c>
      <c r="C3975" s="2">
        <f t="shared" si="62"/>
        <v>-3.7892127580365718E-2</v>
      </c>
    </row>
    <row r="3976" spans="1:3" x14ac:dyDescent="0.2">
      <c r="A3976" s="1">
        <v>40301</v>
      </c>
      <c r="B3976">
        <v>11.833299999999999</v>
      </c>
      <c r="C3976" s="2">
        <f t="shared" si="62"/>
        <v>2.3366727663653056E-2</v>
      </c>
    </row>
    <row r="3977" spans="1:3" x14ac:dyDescent="0.2">
      <c r="A3977" s="1">
        <v>40298</v>
      </c>
      <c r="B3977">
        <v>11.56</v>
      </c>
      <c r="C3977" s="2">
        <f t="shared" si="62"/>
        <v>-3.0389914426560586E-2</v>
      </c>
    </row>
    <row r="3978" spans="1:3" x14ac:dyDescent="0.2">
      <c r="A3978" s="1">
        <v>40297</v>
      </c>
      <c r="B3978">
        <v>11.916700000000001</v>
      </c>
      <c r="C3978" s="2">
        <f t="shared" si="62"/>
        <v>3.298844338982445E-2</v>
      </c>
    </row>
    <row r="3979" spans="1:3" x14ac:dyDescent="0.2">
      <c r="A3979" s="1">
        <v>40296</v>
      </c>
      <c r="B3979">
        <v>11.53</v>
      </c>
      <c r="C3979" s="2">
        <f t="shared" si="62"/>
        <v>-4.6120713597415305E-3</v>
      </c>
    </row>
    <row r="3980" spans="1:3" x14ac:dyDescent="0.2">
      <c r="A3980" s="1">
        <v>40295</v>
      </c>
      <c r="B3980">
        <v>11.583299999999999</v>
      </c>
      <c r="C3980" s="2">
        <f t="shared" si="62"/>
        <v>-1.9382224568561875E-2</v>
      </c>
    </row>
    <row r="3981" spans="1:3" x14ac:dyDescent="0.2">
      <c r="A3981" s="1">
        <v>40294</v>
      </c>
      <c r="B3981">
        <v>11.81</v>
      </c>
      <c r="C3981" s="2">
        <f t="shared" si="62"/>
        <v>4.8125779865505714E-3</v>
      </c>
    </row>
    <row r="3982" spans="1:3" x14ac:dyDescent="0.2">
      <c r="A3982" s="1">
        <v>40291</v>
      </c>
      <c r="B3982">
        <v>11.753299999999999</v>
      </c>
      <c r="C3982" s="2">
        <f t="shared" si="62"/>
        <v>2.8372680738538059E-3</v>
      </c>
    </row>
    <row r="3983" spans="1:3" x14ac:dyDescent="0.2">
      <c r="A3983" s="1">
        <v>40290</v>
      </c>
      <c r="B3983">
        <v>11.72</v>
      </c>
      <c r="C3983" s="2">
        <f t="shared" si="62"/>
        <v>8.7014479693791752E-2</v>
      </c>
    </row>
    <row r="3984" spans="1:3" x14ac:dyDescent="0.2">
      <c r="A3984" s="1">
        <v>40289</v>
      </c>
      <c r="B3984">
        <v>10.7433</v>
      </c>
      <c r="C3984" s="2">
        <f t="shared" si="62"/>
        <v>1.4683808134596819E-2</v>
      </c>
    </row>
    <row r="3985" spans="1:3" x14ac:dyDescent="0.2">
      <c r="A3985" s="1">
        <v>40288</v>
      </c>
      <c r="B3985">
        <v>10.5867</v>
      </c>
      <c r="C3985" s="2">
        <f t="shared" si="62"/>
        <v>9.1760739122722333E-3</v>
      </c>
    </row>
    <row r="3986" spans="1:3" x14ac:dyDescent="0.2">
      <c r="A3986" s="1">
        <v>40287</v>
      </c>
      <c r="B3986">
        <v>10.49</v>
      </c>
      <c r="C3986" s="2">
        <f t="shared" si="62"/>
        <v>-4.1192449545816821E-3</v>
      </c>
    </row>
    <row r="3987" spans="1:3" x14ac:dyDescent="0.2">
      <c r="A3987" s="1">
        <v>40284</v>
      </c>
      <c r="B3987">
        <v>10.533300000000001</v>
      </c>
      <c r="C3987" s="2">
        <f t="shared" si="62"/>
        <v>-1.1018224792646653E-2</v>
      </c>
    </row>
    <row r="3988" spans="1:3" x14ac:dyDescent="0.2">
      <c r="A3988" s="1">
        <v>40283</v>
      </c>
      <c r="B3988">
        <v>10.65</v>
      </c>
      <c r="C3988" s="2">
        <f t="shared" si="62"/>
        <v>-6.2433802751538092E-3</v>
      </c>
    </row>
    <row r="3989" spans="1:3" x14ac:dyDescent="0.2">
      <c r="A3989" s="1">
        <v>40282</v>
      </c>
      <c r="B3989">
        <v>10.716699999999999</v>
      </c>
      <c r="C3989" s="2">
        <f t="shared" si="62"/>
        <v>4.3672071169259139E-3</v>
      </c>
    </row>
    <row r="3990" spans="1:3" x14ac:dyDescent="0.2">
      <c r="A3990" s="1">
        <v>40281</v>
      </c>
      <c r="B3990">
        <v>10.67</v>
      </c>
      <c r="C3990" s="2">
        <f t="shared" si="62"/>
        <v>-6.2773170747798296E-4</v>
      </c>
    </row>
    <row r="3991" spans="1:3" x14ac:dyDescent="0.2">
      <c r="A3991" s="1">
        <v>40280</v>
      </c>
      <c r="B3991">
        <v>10.6767</v>
      </c>
      <c r="C3991" s="2">
        <f t="shared" si="62"/>
        <v>9.370578944057613E-4</v>
      </c>
    </row>
    <row r="3992" spans="1:3" x14ac:dyDescent="0.2">
      <c r="A3992" s="1">
        <v>40277</v>
      </c>
      <c r="B3992">
        <v>10.666700000000001</v>
      </c>
      <c r="C3992" s="2">
        <f t="shared" si="62"/>
        <v>9.3793679554903463E-4</v>
      </c>
    </row>
    <row r="3993" spans="1:3" x14ac:dyDescent="0.2">
      <c r="A3993" s="1">
        <v>40276</v>
      </c>
      <c r="B3993">
        <v>10.656700000000001</v>
      </c>
      <c r="C3993" s="2">
        <f t="shared" si="62"/>
        <v>-1.2430976938858033E-2</v>
      </c>
    </row>
    <row r="3994" spans="1:3" x14ac:dyDescent="0.2">
      <c r="A3994" s="1">
        <v>40275</v>
      </c>
      <c r="B3994">
        <v>10.79</v>
      </c>
      <c r="C3994" s="2">
        <f t="shared" si="62"/>
        <v>-3.7002817428560281E-3</v>
      </c>
    </row>
    <row r="3995" spans="1:3" x14ac:dyDescent="0.2">
      <c r="A3995" s="1">
        <v>40274</v>
      </c>
      <c r="B3995">
        <v>10.83</v>
      </c>
      <c r="C3995" s="2">
        <f t="shared" si="62"/>
        <v>-3.0466272687209797E-4</v>
      </c>
    </row>
    <row r="3996" spans="1:3" x14ac:dyDescent="0.2">
      <c r="A3996" s="1">
        <v>40273</v>
      </c>
      <c r="B3996">
        <v>10.833299999999999</v>
      </c>
      <c r="C3996" s="2">
        <f t="shared" si="62"/>
        <v>7.412039529633852E-3</v>
      </c>
    </row>
    <row r="3997" spans="1:3" x14ac:dyDescent="0.2">
      <c r="A3997" s="1">
        <v>40269</v>
      </c>
      <c r="B3997">
        <v>10.753299999999999</v>
      </c>
      <c r="C3997" s="2">
        <f t="shared" si="62"/>
        <v>8.0859450834032624E-3</v>
      </c>
    </row>
    <row r="3998" spans="1:3" x14ac:dyDescent="0.2">
      <c r="A3998" s="1">
        <v>40268</v>
      </c>
      <c r="B3998">
        <v>10.666700000000001</v>
      </c>
      <c r="C3998" s="2">
        <f t="shared" si="62"/>
        <v>-1.0871901957179903E-2</v>
      </c>
    </row>
    <row r="3999" spans="1:3" x14ac:dyDescent="0.2">
      <c r="A3999" s="1">
        <v>40267</v>
      </c>
      <c r="B3999">
        <v>10.783300000000001</v>
      </c>
      <c r="C3999" s="2">
        <f t="shared" si="62"/>
        <v>8.9986634238904614E-3</v>
      </c>
    </row>
    <row r="4000" spans="1:3" x14ac:dyDescent="0.2">
      <c r="A4000" s="1">
        <v>40266</v>
      </c>
      <c r="B4000">
        <v>10.6867</v>
      </c>
      <c r="C4000" s="2">
        <f t="shared" si="62"/>
        <v>1.7939055608936948E-2</v>
      </c>
    </row>
    <row r="4001" spans="1:3" x14ac:dyDescent="0.2">
      <c r="A4001" s="1">
        <v>40263</v>
      </c>
      <c r="B4001">
        <v>10.496700000000001</v>
      </c>
      <c r="C4001" s="2">
        <f t="shared" si="62"/>
        <v>8.2940394242090945E-3</v>
      </c>
    </row>
    <row r="4002" spans="1:3" x14ac:dyDescent="0.2">
      <c r="A4002" s="1">
        <v>40262</v>
      </c>
      <c r="B4002">
        <v>10.41</v>
      </c>
      <c r="C4002" s="2">
        <f t="shared" si="62"/>
        <v>4.8146457955406717E-3</v>
      </c>
    </row>
    <row r="4003" spans="1:3" x14ac:dyDescent="0.2">
      <c r="A4003" s="1">
        <v>40261</v>
      </c>
      <c r="B4003">
        <v>10.36</v>
      </c>
      <c r="C4003" s="2">
        <f t="shared" si="62"/>
        <v>-1.151644206155918E-2</v>
      </c>
    </row>
    <row r="4004" spans="1:3" x14ac:dyDescent="0.2">
      <c r="A4004" s="1">
        <v>40260</v>
      </c>
      <c r="B4004">
        <v>10.48</v>
      </c>
      <c r="C4004" s="2">
        <f t="shared" si="62"/>
        <v>1.9268418865877206E-2</v>
      </c>
    </row>
    <row r="4005" spans="1:3" x14ac:dyDescent="0.2">
      <c r="A4005" s="1">
        <v>40259</v>
      </c>
      <c r="B4005">
        <v>10.28</v>
      </c>
      <c r="C4005" s="2">
        <f t="shared" si="62"/>
        <v>7.4890626493836184E-3</v>
      </c>
    </row>
    <row r="4006" spans="1:3" x14ac:dyDescent="0.2">
      <c r="A4006" s="1">
        <v>40256</v>
      </c>
      <c r="B4006">
        <v>10.2033</v>
      </c>
      <c r="C4006" s="2">
        <f t="shared" si="62"/>
        <v>-1.5887548568357526E-2</v>
      </c>
    </row>
    <row r="4007" spans="1:3" x14ac:dyDescent="0.2">
      <c r="A4007" s="1">
        <v>40255</v>
      </c>
      <c r="B4007">
        <v>10.3667</v>
      </c>
      <c r="C4007" s="2">
        <f t="shared" si="62"/>
        <v>1.9311176547894241E-3</v>
      </c>
    </row>
    <row r="4008" spans="1:3" x14ac:dyDescent="0.2">
      <c r="A4008" s="1">
        <v>40254</v>
      </c>
      <c r="B4008">
        <v>10.3467</v>
      </c>
      <c r="C4008" s="2">
        <f t="shared" si="62"/>
        <v>1.068832624356717E-2</v>
      </c>
    </row>
    <row r="4009" spans="1:3" x14ac:dyDescent="0.2">
      <c r="A4009" s="1">
        <v>40253</v>
      </c>
      <c r="B4009">
        <v>10.236700000000001</v>
      </c>
      <c r="C4009" s="2">
        <f t="shared" si="62"/>
        <v>9.1659130429592121E-3</v>
      </c>
    </row>
    <row r="4010" spans="1:3" x14ac:dyDescent="0.2">
      <c r="A4010" s="1">
        <v>40252</v>
      </c>
      <c r="B4010">
        <v>10.1433</v>
      </c>
      <c r="C4010" s="2">
        <f t="shared" si="62"/>
        <v>2.9619997367379314E-3</v>
      </c>
    </row>
    <row r="4011" spans="1:3" x14ac:dyDescent="0.2">
      <c r="A4011" s="1">
        <v>40249</v>
      </c>
      <c r="B4011">
        <v>10.113300000000001</v>
      </c>
      <c r="C4011" s="2">
        <f t="shared" si="62"/>
        <v>4.9562465778717497E-3</v>
      </c>
    </row>
    <row r="4012" spans="1:3" x14ac:dyDescent="0.2">
      <c r="A4012" s="1">
        <v>40248</v>
      </c>
      <c r="B4012">
        <v>10.0633</v>
      </c>
      <c r="C4012" s="2">
        <f t="shared" si="62"/>
        <v>-4.9562465778716525E-3</v>
      </c>
    </row>
    <row r="4013" spans="1:3" x14ac:dyDescent="0.2">
      <c r="A4013" s="1">
        <v>40247</v>
      </c>
      <c r="B4013">
        <v>10.113300000000001</v>
      </c>
      <c r="C4013" s="2">
        <f t="shared" si="62"/>
        <v>7.2742750043560704E-3</v>
      </c>
    </row>
    <row r="4014" spans="1:3" x14ac:dyDescent="0.2">
      <c r="A4014" s="1">
        <v>40246</v>
      </c>
      <c r="B4014">
        <v>10.039999999999999</v>
      </c>
      <c r="C4014" s="2">
        <f t="shared" si="62"/>
        <v>9.9651228973885418E-4</v>
      </c>
    </row>
    <row r="4015" spans="1:3" x14ac:dyDescent="0.2">
      <c r="A4015" s="1">
        <v>40245</v>
      </c>
      <c r="B4015">
        <v>10.029999999999999</v>
      </c>
      <c r="C4015" s="2">
        <f t="shared" si="62"/>
        <v>1.5068090214067501E-2</v>
      </c>
    </row>
    <row r="4016" spans="1:3" x14ac:dyDescent="0.2">
      <c r="A4016" s="1">
        <v>40242</v>
      </c>
      <c r="B4016">
        <v>9.8800000000000008</v>
      </c>
      <c r="C4016" s="2">
        <f t="shared" si="62"/>
        <v>3.2579655975716951E-2</v>
      </c>
    </row>
    <row r="4017" spans="1:3" x14ac:dyDescent="0.2">
      <c r="A4017" s="1">
        <v>40241</v>
      </c>
      <c r="B4017">
        <v>9.5632999999999999</v>
      </c>
      <c r="C4017" s="2">
        <f t="shared" si="62"/>
        <v>-1.4002092151850774E-3</v>
      </c>
    </row>
    <row r="4018" spans="1:3" x14ac:dyDescent="0.2">
      <c r="A4018" s="1">
        <v>40240</v>
      </c>
      <c r="B4018">
        <v>9.5767000000000007</v>
      </c>
      <c r="C4018" s="2">
        <f t="shared" si="62"/>
        <v>1.0148748732314125E-2</v>
      </c>
    </row>
    <row r="4019" spans="1:3" x14ac:dyDescent="0.2">
      <c r="A4019" s="1">
        <v>40239</v>
      </c>
      <c r="B4019">
        <v>9.48</v>
      </c>
      <c r="C4019" s="2">
        <f t="shared" si="62"/>
        <v>2.0245763441183399E-2</v>
      </c>
    </row>
    <row r="4020" spans="1:3" x14ac:dyDescent="0.2">
      <c r="A4020" s="1">
        <v>40238</v>
      </c>
      <c r="B4020">
        <v>9.2899999999999991</v>
      </c>
      <c r="C4020" s="2">
        <f t="shared" si="62"/>
        <v>1.6639282882278669E-2</v>
      </c>
    </row>
    <row r="4021" spans="1:3" x14ac:dyDescent="0.2">
      <c r="A4021" s="1">
        <v>40235</v>
      </c>
      <c r="B4021">
        <v>9.1366999999999994</v>
      </c>
      <c r="C4021" s="2">
        <f t="shared" si="62"/>
        <v>7.6909088457963806E-3</v>
      </c>
    </row>
    <row r="4022" spans="1:3" x14ac:dyDescent="0.2">
      <c r="A4022" s="1">
        <v>40234</v>
      </c>
      <c r="B4022">
        <v>9.0667000000000009</v>
      </c>
      <c r="C4022" s="2">
        <f t="shared" si="62"/>
        <v>9.9760296183109155E-3</v>
      </c>
    </row>
    <row r="4023" spans="1:3" x14ac:dyDescent="0.2">
      <c r="A4023" s="1">
        <v>40233</v>
      </c>
      <c r="B4023">
        <v>8.9766999999999992</v>
      </c>
      <c r="C4023" s="2">
        <f t="shared" si="62"/>
        <v>-7.3496662551198702E-4</v>
      </c>
    </row>
    <row r="4024" spans="1:3" x14ac:dyDescent="0.2">
      <c r="A4024" s="1">
        <v>40232</v>
      </c>
      <c r="B4024">
        <v>8.9832999999999998</v>
      </c>
      <c r="C4024" s="2">
        <f t="shared" si="62"/>
        <v>1.3448142337461545E-2</v>
      </c>
    </row>
    <row r="4025" spans="1:3" x14ac:dyDescent="0.2">
      <c r="A4025" s="1">
        <v>40231</v>
      </c>
      <c r="B4025">
        <v>8.8633000000000006</v>
      </c>
      <c r="C4025" s="2">
        <f t="shared" si="62"/>
        <v>-4.8815415114127417E-2</v>
      </c>
    </row>
    <row r="4026" spans="1:3" x14ac:dyDescent="0.2">
      <c r="A4026" s="1">
        <v>40228</v>
      </c>
      <c r="B4026">
        <v>9.3066999999999993</v>
      </c>
      <c r="C4026" s="2">
        <f t="shared" si="62"/>
        <v>-5.7107196079616675E-3</v>
      </c>
    </row>
    <row r="4027" spans="1:3" x14ac:dyDescent="0.2">
      <c r="A4027" s="1">
        <v>40227</v>
      </c>
      <c r="B4027">
        <v>9.36</v>
      </c>
      <c r="C4027" s="2">
        <f t="shared" si="62"/>
        <v>1.8688504571710635E-2</v>
      </c>
    </row>
    <row r="4028" spans="1:3" x14ac:dyDescent="0.2">
      <c r="A4028" s="1">
        <v>40226</v>
      </c>
      <c r="B4028">
        <v>9.1867000000000001</v>
      </c>
      <c r="C4028" s="2">
        <f t="shared" si="62"/>
        <v>-7.1817195687425407E-4</v>
      </c>
    </row>
    <row r="4029" spans="1:3" x14ac:dyDescent="0.2">
      <c r="A4029" s="1">
        <v>40225</v>
      </c>
      <c r="B4029">
        <v>9.1933000000000007</v>
      </c>
      <c r="C4029" s="2">
        <f t="shared" si="62"/>
        <v>9.4645515247751832E-3</v>
      </c>
    </row>
    <row r="4030" spans="1:3" x14ac:dyDescent="0.2">
      <c r="A4030" s="1">
        <v>40221</v>
      </c>
      <c r="B4030">
        <v>9.1067</v>
      </c>
      <c r="C4030" s="2">
        <f t="shared" si="62"/>
        <v>5.5055910565192084E-3</v>
      </c>
    </row>
    <row r="4031" spans="1:3" x14ac:dyDescent="0.2">
      <c r="A4031" s="1">
        <v>40220</v>
      </c>
      <c r="B4031">
        <v>9.0566999999999993</v>
      </c>
      <c r="C4031" s="2">
        <f t="shared" si="62"/>
        <v>2.2714544420575043E-2</v>
      </c>
    </row>
    <row r="4032" spans="1:3" x14ac:dyDescent="0.2">
      <c r="A4032" s="1">
        <v>40219</v>
      </c>
      <c r="B4032">
        <v>8.8533000000000008</v>
      </c>
      <c r="C4032" s="2">
        <f t="shared" si="62"/>
        <v>-2.2564968450007722E-3</v>
      </c>
    </row>
    <row r="4033" spans="1:3" x14ac:dyDescent="0.2">
      <c r="A4033" s="1">
        <v>40218</v>
      </c>
      <c r="B4033">
        <v>8.8733000000000004</v>
      </c>
      <c r="C4033" s="2">
        <f t="shared" si="62"/>
        <v>9.0566998544900964E-3</v>
      </c>
    </row>
    <row r="4034" spans="1:3" x14ac:dyDescent="0.2">
      <c r="A4034" s="1">
        <v>40217</v>
      </c>
      <c r="B4034">
        <v>8.7933000000000003</v>
      </c>
      <c r="C4034" s="2">
        <f t="shared" si="62"/>
        <v>-8.3126186476680086E-3</v>
      </c>
    </row>
    <row r="4035" spans="1:3" x14ac:dyDescent="0.2">
      <c r="A4035" s="1">
        <v>40214</v>
      </c>
      <c r="B4035">
        <v>8.8666999999999998</v>
      </c>
      <c r="C4035" s="2">
        <f t="shared" ref="C4035:C4098" si="63">+LN(B4035/B4036)</f>
        <v>6.0407423510100994E-3</v>
      </c>
    </row>
    <row r="4036" spans="1:3" x14ac:dyDescent="0.2">
      <c r="A4036" s="1">
        <v>40213</v>
      </c>
      <c r="B4036">
        <v>8.8132999999999999</v>
      </c>
      <c r="C4036" s="2">
        <f t="shared" si="63"/>
        <v>-2.4290423268930723E-2</v>
      </c>
    </row>
    <row r="4037" spans="1:3" x14ac:dyDescent="0.2">
      <c r="A4037" s="1">
        <v>40212</v>
      </c>
      <c r="B4037">
        <v>9.0299999999999994</v>
      </c>
      <c r="C4037" s="2">
        <f t="shared" si="63"/>
        <v>-5.5218251843079727E-3</v>
      </c>
    </row>
    <row r="4038" spans="1:3" x14ac:dyDescent="0.2">
      <c r="A4038" s="1">
        <v>40211</v>
      </c>
      <c r="B4038">
        <v>9.08</v>
      </c>
      <c r="C4038" s="2">
        <f t="shared" si="63"/>
        <v>2.5693773198320904E-3</v>
      </c>
    </row>
    <row r="4039" spans="1:3" x14ac:dyDescent="0.2">
      <c r="A4039" s="1">
        <v>40210</v>
      </c>
      <c r="B4039">
        <v>9.0566999999999993</v>
      </c>
      <c r="C4039" s="2">
        <f t="shared" si="63"/>
        <v>1.7824393830447142E-2</v>
      </c>
    </row>
    <row r="4040" spans="1:3" x14ac:dyDescent="0.2">
      <c r="A4040" s="1">
        <v>40207</v>
      </c>
      <c r="B4040">
        <v>8.8966999999999992</v>
      </c>
      <c r="C4040" s="2">
        <f t="shared" si="63"/>
        <v>-2.9165757223116307E-2</v>
      </c>
    </row>
    <row r="4041" spans="1:3" x14ac:dyDescent="0.2">
      <c r="A4041" s="1">
        <v>40206</v>
      </c>
      <c r="B4041">
        <v>9.16</v>
      </c>
      <c r="C4041" s="2">
        <f t="shared" si="63"/>
        <v>-1.1214177977092671E-2</v>
      </c>
    </row>
    <row r="4042" spans="1:3" x14ac:dyDescent="0.2">
      <c r="A4042" s="1">
        <v>40205</v>
      </c>
      <c r="B4042">
        <v>9.2632999999999992</v>
      </c>
      <c r="C4042" s="2">
        <f t="shared" si="63"/>
        <v>-2.5231441943363589E-2</v>
      </c>
    </row>
    <row r="4043" spans="1:3" x14ac:dyDescent="0.2">
      <c r="A4043" s="1">
        <v>40204</v>
      </c>
      <c r="B4043">
        <v>9.5</v>
      </c>
      <c r="C4043" s="2">
        <f t="shared" si="63"/>
        <v>-5.0963239925568594E-2</v>
      </c>
    </row>
    <row r="4044" spans="1:3" x14ac:dyDescent="0.2">
      <c r="A4044" s="1">
        <v>40203</v>
      </c>
      <c r="B4044">
        <v>9.9967000000000006</v>
      </c>
      <c r="C4044" s="2">
        <f t="shared" si="63"/>
        <v>-1.5543737267362643E-2</v>
      </c>
    </row>
    <row r="4045" spans="1:3" x14ac:dyDescent="0.2">
      <c r="A4045" s="1">
        <v>40200</v>
      </c>
      <c r="B4045">
        <v>10.1533</v>
      </c>
      <c r="C4045" s="2">
        <f t="shared" si="63"/>
        <v>-1.3188978289796662E-3</v>
      </c>
    </row>
    <row r="4046" spans="1:3" x14ac:dyDescent="0.2">
      <c r="A4046" s="1">
        <v>40199</v>
      </c>
      <c r="B4046">
        <v>10.166700000000001</v>
      </c>
      <c r="C4046" s="2">
        <f t="shared" si="63"/>
        <v>-1.6254016376976002E-2</v>
      </c>
    </row>
    <row r="4047" spans="1:3" x14ac:dyDescent="0.2">
      <c r="A4047" s="1">
        <v>40198</v>
      </c>
      <c r="B4047">
        <v>10.333299999999999</v>
      </c>
      <c r="C4047" s="2">
        <f t="shared" si="63"/>
        <v>-1.2827098949020578E-2</v>
      </c>
    </row>
    <row r="4048" spans="1:3" x14ac:dyDescent="0.2">
      <c r="A4048" s="1">
        <v>40197</v>
      </c>
      <c r="B4048">
        <v>10.466699999999999</v>
      </c>
      <c r="C4048" s="2">
        <f t="shared" si="63"/>
        <v>3.006520271364059E-2</v>
      </c>
    </row>
    <row r="4049" spans="1:3" x14ac:dyDescent="0.2">
      <c r="A4049" s="1">
        <v>40193</v>
      </c>
      <c r="B4049">
        <v>10.156700000000001</v>
      </c>
      <c r="C4049" s="2">
        <f t="shared" si="63"/>
        <v>-8.4902470791869099E-3</v>
      </c>
    </row>
    <row r="4050" spans="1:3" x14ac:dyDescent="0.2">
      <c r="A4050" s="1">
        <v>40192</v>
      </c>
      <c r="B4050">
        <v>10.2433</v>
      </c>
      <c r="C4050" s="2">
        <f t="shared" si="63"/>
        <v>-1.3073172593630346E-3</v>
      </c>
    </row>
    <row r="4051" spans="1:3" x14ac:dyDescent="0.2">
      <c r="A4051" s="1">
        <v>40191</v>
      </c>
      <c r="B4051">
        <v>10.2567</v>
      </c>
      <c r="C4051" s="2">
        <f t="shared" si="63"/>
        <v>3.907514227782888E-3</v>
      </c>
    </row>
    <row r="4052" spans="1:3" x14ac:dyDescent="0.2">
      <c r="A4052" s="1">
        <v>40190</v>
      </c>
      <c r="B4052">
        <v>10.216699999999999</v>
      </c>
      <c r="C4052" s="2">
        <f t="shared" si="63"/>
        <v>-3.9075142277829435E-3</v>
      </c>
    </row>
    <row r="4053" spans="1:3" x14ac:dyDescent="0.2">
      <c r="A4053" s="1">
        <v>40189</v>
      </c>
      <c r="B4053">
        <v>10.2567</v>
      </c>
      <c r="C4053" s="2">
        <f t="shared" si="63"/>
        <v>1.2104120314340125E-2</v>
      </c>
    </row>
    <row r="4054" spans="1:3" x14ac:dyDescent="0.2">
      <c r="A4054" s="1">
        <v>40186</v>
      </c>
      <c r="B4054">
        <v>10.1333</v>
      </c>
      <c r="C4054" s="2">
        <f t="shared" si="63"/>
        <v>3.1742013255512042E-2</v>
      </c>
    </row>
    <row r="4055" spans="1:3" x14ac:dyDescent="0.2">
      <c r="A4055" s="1">
        <v>40185</v>
      </c>
      <c r="B4055">
        <v>9.8167000000000009</v>
      </c>
      <c r="C4055" s="2">
        <f t="shared" si="63"/>
        <v>8.1827657986719912E-3</v>
      </c>
    </row>
    <row r="4056" spans="1:3" x14ac:dyDescent="0.2">
      <c r="A4056" s="1">
        <v>40184</v>
      </c>
      <c r="B4056">
        <v>9.7367000000000008</v>
      </c>
      <c r="C4056" s="2">
        <f t="shared" si="63"/>
        <v>-6.1433430640032271E-3</v>
      </c>
    </row>
    <row r="4057" spans="1:3" x14ac:dyDescent="0.2">
      <c r="A4057" s="1">
        <v>40183</v>
      </c>
      <c r="B4057">
        <v>9.7966999999999995</v>
      </c>
      <c r="C4057" s="2">
        <f t="shared" si="63"/>
        <v>-7.7885497938215463E-3</v>
      </c>
    </row>
    <row r="4058" spans="1:3" x14ac:dyDescent="0.2">
      <c r="A4058" s="1">
        <v>40182</v>
      </c>
      <c r="B4058">
        <v>9.8733000000000004</v>
      </c>
      <c r="C4058" s="2">
        <f t="shared" si="63"/>
        <v>3.6092716675174621E-2</v>
      </c>
    </row>
    <row r="4059" spans="1:3" x14ac:dyDescent="0.2">
      <c r="A4059" s="1">
        <v>40178</v>
      </c>
      <c r="B4059">
        <v>9.5233000000000008</v>
      </c>
      <c r="C4059" s="2">
        <f t="shared" si="63"/>
        <v>-2.3187338786822585E-2</v>
      </c>
    </row>
    <row r="4060" spans="1:3" x14ac:dyDescent="0.2">
      <c r="A4060" s="1">
        <v>40177</v>
      </c>
      <c r="B4060">
        <v>9.7467000000000006</v>
      </c>
      <c r="C4060" s="2">
        <f t="shared" si="63"/>
        <v>-1.7956761087344709E-2</v>
      </c>
    </row>
    <row r="4061" spans="1:3" x14ac:dyDescent="0.2">
      <c r="A4061" s="1">
        <v>40176</v>
      </c>
      <c r="B4061">
        <v>9.9232999999999993</v>
      </c>
      <c r="C4061" s="2">
        <f t="shared" si="63"/>
        <v>-3.0186272079000863E-3</v>
      </c>
    </row>
    <row r="4062" spans="1:3" x14ac:dyDescent="0.2">
      <c r="A4062" s="1">
        <v>40175</v>
      </c>
      <c r="B4062">
        <v>9.9533000000000005</v>
      </c>
      <c r="C4062" s="2">
        <f t="shared" si="63"/>
        <v>-3.3500532835453035E-3</v>
      </c>
    </row>
    <row r="4063" spans="1:3" x14ac:dyDescent="0.2">
      <c r="A4063" s="1">
        <v>40171</v>
      </c>
      <c r="B4063">
        <v>9.9867000000000008</v>
      </c>
      <c r="C4063" s="2">
        <f t="shared" si="63"/>
        <v>-2.0006608851993249E-3</v>
      </c>
    </row>
    <row r="4064" spans="1:3" x14ac:dyDescent="0.2">
      <c r="A4064" s="1">
        <v>40170</v>
      </c>
      <c r="B4064">
        <v>10.0067</v>
      </c>
      <c r="C4064" s="2">
        <f t="shared" si="63"/>
        <v>1.206444906408974E-2</v>
      </c>
    </row>
    <row r="4065" spans="1:3" x14ac:dyDescent="0.2">
      <c r="A4065" s="1">
        <v>40169</v>
      </c>
      <c r="B4065">
        <v>9.8866999999999994</v>
      </c>
      <c r="C4065" s="2">
        <f t="shared" si="63"/>
        <v>1.5976523382246168E-2</v>
      </c>
    </row>
    <row r="4066" spans="1:3" x14ac:dyDescent="0.2">
      <c r="A4066" s="1">
        <v>40168</v>
      </c>
      <c r="B4066">
        <v>9.73</v>
      </c>
      <c r="C4066" s="2">
        <f t="shared" si="63"/>
        <v>1.6925577785960749E-2</v>
      </c>
    </row>
    <row r="4067" spans="1:3" x14ac:dyDescent="0.2">
      <c r="A4067" s="1">
        <v>40165</v>
      </c>
      <c r="B4067">
        <v>9.5667000000000009</v>
      </c>
      <c r="C4067" s="2">
        <f t="shared" si="63"/>
        <v>-9.7053298124735645E-3</v>
      </c>
    </row>
    <row r="4068" spans="1:3" x14ac:dyDescent="0.2">
      <c r="A4068" s="1">
        <v>40164</v>
      </c>
      <c r="B4068">
        <v>9.66</v>
      </c>
      <c r="C4068" s="2">
        <f t="shared" si="63"/>
        <v>-1.7780936616983819E-2</v>
      </c>
    </row>
    <row r="4069" spans="1:3" x14ac:dyDescent="0.2">
      <c r="A4069" s="1">
        <v>40163</v>
      </c>
      <c r="B4069">
        <v>9.8332999999999995</v>
      </c>
      <c r="C4069" s="2">
        <f t="shared" si="63"/>
        <v>-1.1797966329090871E-2</v>
      </c>
    </row>
    <row r="4070" spans="1:3" x14ac:dyDescent="0.2">
      <c r="A4070" s="1">
        <v>40162</v>
      </c>
      <c r="B4070">
        <v>9.9499999999999993</v>
      </c>
      <c r="C4070" s="2">
        <f t="shared" si="63"/>
        <v>1.1116840106339393E-2</v>
      </c>
    </row>
    <row r="4071" spans="1:3" x14ac:dyDescent="0.2">
      <c r="A4071" s="1">
        <v>40161</v>
      </c>
      <c r="B4071">
        <v>9.84</v>
      </c>
      <c r="C4071" s="2">
        <f t="shared" si="63"/>
        <v>2.1915223109763064E-2</v>
      </c>
    </row>
    <row r="4072" spans="1:3" x14ac:dyDescent="0.2">
      <c r="A4072" s="1">
        <v>40158</v>
      </c>
      <c r="B4072">
        <v>9.6266999999999996</v>
      </c>
      <c r="C4072" s="2">
        <f t="shared" si="63"/>
        <v>1.0095770288288439E-2</v>
      </c>
    </row>
    <row r="4073" spans="1:3" x14ac:dyDescent="0.2">
      <c r="A4073" s="1">
        <v>40157</v>
      </c>
      <c r="B4073">
        <v>9.5299999999999994</v>
      </c>
      <c r="C4073" s="2">
        <f t="shared" si="63"/>
        <v>7.0329027267286017E-4</v>
      </c>
    </row>
    <row r="4074" spans="1:3" x14ac:dyDescent="0.2">
      <c r="A4074" s="1">
        <v>40156</v>
      </c>
      <c r="B4074">
        <v>9.5233000000000008</v>
      </c>
      <c r="C4074" s="2">
        <f t="shared" si="63"/>
        <v>-8.0216710803528019E-3</v>
      </c>
    </row>
    <row r="4075" spans="1:3" x14ac:dyDescent="0.2">
      <c r="A4075" s="1">
        <v>40155</v>
      </c>
      <c r="B4075">
        <v>9.6</v>
      </c>
      <c r="C4075" s="2">
        <f t="shared" si="63"/>
        <v>-1.3450797724123217E-2</v>
      </c>
    </row>
    <row r="4076" spans="1:3" x14ac:dyDescent="0.2">
      <c r="A4076" s="1">
        <v>40154</v>
      </c>
      <c r="B4076">
        <v>9.73</v>
      </c>
      <c r="C4076" s="2">
        <f t="shared" si="63"/>
        <v>9.2927875754594148E-3</v>
      </c>
    </row>
    <row r="4077" spans="1:3" x14ac:dyDescent="0.2">
      <c r="A4077" s="1">
        <v>40151</v>
      </c>
      <c r="B4077">
        <v>9.64</v>
      </c>
      <c r="C4077" s="2">
        <f t="shared" si="63"/>
        <v>2.4860417125196609E-2</v>
      </c>
    </row>
    <row r="4078" spans="1:3" x14ac:dyDescent="0.2">
      <c r="A4078" s="1">
        <v>40150</v>
      </c>
      <c r="B4078">
        <v>9.4032999999999998</v>
      </c>
      <c r="C4078" s="2">
        <f t="shared" si="63"/>
        <v>-1.7227626914695322E-2</v>
      </c>
    </row>
    <row r="4079" spans="1:3" x14ac:dyDescent="0.2">
      <c r="A4079" s="1">
        <v>40149</v>
      </c>
      <c r="B4079">
        <v>9.5667000000000009</v>
      </c>
      <c r="C4079" s="2">
        <f t="shared" si="63"/>
        <v>4.8934696086791862E-3</v>
      </c>
    </row>
    <row r="4080" spans="1:3" x14ac:dyDescent="0.2">
      <c r="A4080" s="1">
        <v>40148</v>
      </c>
      <c r="B4080">
        <v>9.52</v>
      </c>
      <c r="C4080" s="2">
        <f t="shared" si="63"/>
        <v>1.37495555831024E-2</v>
      </c>
    </row>
    <row r="4081" spans="1:3" x14ac:dyDescent="0.2">
      <c r="A4081" s="1">
        <v>40147</v>
      </c>
      <c r="B4081">
        <v>9.39</v>
      </c>
      <c r="C4081" s="2">
        <f t="shared" si="63"/>
        <v>-4.9610495500230231E-3</v>
      </c>
    </row>
    <row r="4082" spans="1:3" x14ac:dyDescent="0.2">
      <c r="A4082" s="1">
        <v>40144</v>
      </c>
      <c r="B4082">
        <v>9.4367000000000001</v>
      </c>
      <c r="C4082" s="2">
        <f t="shared" si="63"/>
        <v>-2.3387305454231969E-2</v>
      </c>
    </row>
    <row r="4083" spans="1:3" x14ac:dyDescent="0.2">
      <c r="A4083" s="1">
        <v>40142</v>
      </c>
      <c r="B4083">
        <v>9.66</v>
      </c>
      <c r="C4083" s="2">
        <f t="shared" si="63"/>
        <v>2.4149218595410841E-3</v>
      </c>
    </row>
    <row r="4084" spans="1:3" x14ac:dyDescent="0.2">
      <c r="A4084" s="1">
        <v>40141</v>
      </c>
      <c r="B4084">
        <v>9.6366999999999994</v>
      </c>
      <c r="C4084" s="2">
        <f t="shared" si="63"/>
        <v>-1.680365931164083E-2</v>
      </c>
    </row>
    <row r="4085" spans="1:3" x14ac:dyDescent="0.2">
      <c r="A4085" s="1">
        <v>40140</v>
      </c>
      <c r="B4085">
        <v>9.8000000000000007</v>
      </c>
      <c r="C4085" s="2">
        <f t="shared" si="63"/>
        <v>1.6119011981992618E-2</v>
      </c>
    </row>
    <row r="4086" spans="1:3" x14ac:dyDescent="0.2">
      <c r="A4086" s="1">
        <v>40137</v>
      </c>
      <c r="B4086">
        <v>9.6433</v>
      </c>
      <c r="C4086" s="2">
        <f t="shared" si="63"/>
        <v>-1.2715266623837341E-2</v>
      </c>
    </row>
    <row r="4087" spans="1:3" x14ac:dyDescent="0.2">
      <c r="A4087" s="1">
        <v>40136</v>
      </c>
      <c r="B4087">
        <v>9.7667000000000002</v>
      </c>
      <c r="C4087" s="2">
        <f t="shared" si="63"/>
        <v>-2.7927105199010004E-2</v>
      </c>
    </row>
    <row r="4088" spans="1:3" x14ac:dyDescent="0.2">
      <c r="A4088" s="1">
        <v>40135</v>
      </c>
      <c r="B4088">
        <v>10.0433</v>
      </c>
      <c r="C4088" s="2">
        <f t="shared" si="63"/>
        <v>-1.6785046974002123E-2</v>
      </c>
    </row>
    <row r="4089" spans="1:3" x14ac:dyDescent="0.2">
      <c r="A4089" s="1">
        <v>40134</v>
      </c>
      <c r="B4089">
        <v>10.2133</v>
      </c>
      <c r="C4089" s="2">
        <f t="shared" si="63"/>
        <v>-1.9563160993632382E-3</v>
      </c>
    </row>
    <row r="4090" spans="1:3" x14ac:dyDescent="0.2">
      <c r="A4090" s="1">
        <v>40133</v>
      </c>
      <c r="B4090">
        <v>10.2333</v>
      </c>
      <c r="C4090" s="2">
        <f t="shared" si="63"/>
        <v>1.7079943919153306E-2</v>
      </c>
    </row>
    <row r="4091" spans="1:3" x14ac:dyDescent="0.2">
      <c r="A4091" s="1">
        <v>40130</v>
      </c>
      <c r="B4091">
        <v>10.06</v>
      </c>
      <c r="C4091" s="2">
        <f t="shared" si="63"/>
        <v>1.2332191076348968E-2</v>
      </c>
    </row>
    <row r="4092" spans="1:3" x14ac:dyDescent="0.2">
      <c r="A4092" s="1">
        <v>40129</v>
      </c>
      <c r="B4092">
        <v>9.9367000000000001</v>
      </c>
      <c r="C4092" s="2">
        <f t="shared" si="63"/>
        <v>-1.6627129559740942E-2</v>
      </c>
    </row>
    <row r="4093" spans="1:3" x14ac:dyDescent="0.2">
      <c r="A4093" s="1">
        <v>40128</v>
      </c>
      <c r="B4093">
        <v>10.103300000000001</v>
      </c>
      <c r="C4093" s="2">
        <f t="shared" si="63"/>
        <v>1.9815131368325707E-3</v>
      </c>
    </row>
    <row r="4094" spans="1:3" x14ac:dyDescent="0.2">
      <c r="A4094" s="1">
        <v>40127</v>
      </c>
      <c r="B4094">
        <v>10.083299999999999</v>
      </c>
      <c r="C4094" s="2">
        <f t="shared" si="63"/>
        <v>-5.6074081448845101E-3</v>
      </c>
    </row>
    <row r="4095" spans="1:3" x14ac:dyDescent="0.2">
      <c r="A4095" s="1">
        <v>40126</v>
      </c>
      <c r="B4095">
        <v>10.14</v>
      </c>
      <c r="C4095" s="2">
        <f t="shared" si="63"/>
        <v>3.071341332162663E-2</v>
      </c>
    </row>
    <row r="4096" spans="1:3" x14ac:dyDescent="0.2">
      <c r="A4096" s="1">
        <v>40123</v>
      </c>
      <c r="B4096">
        <v>9.8332999999999995</v>
      </c>
      <c r="C4096" s="2">
        <f t="shared" si="63"/>
        <v>-4.7379269183661452E-3</v>
      </c>
    </row>
    <row r="4097" spans="1:3" x14ac:dyDescent="0.2">
      <c r="A4097" s="1">
        <v>40122</v>
      </c>
      <c r="B4097">
        <v>9.8800000000000008</v>
      </c>
      <c r="C4097" s="2">
        <f t="shared" si="63"/>
        <v>4.9090310423387504E-2</v>
      </c>
    </row>
    <row r="4098" spans="1:3" x14ac:dyDescent="0.2">
      <c r="A4098" s="1">
        <v>40121</v>
      </c>
      <c r="B4098">
        <v>9.4067000000000007</v>
      </c>
      <c r="C4098" s="2">
        <f t="shared" si="63"/>
        <v>-2.4738953089770738E-3</v>
      </c>
    </row>
    <row r="4099" spans="1:3" x14ac:dyDescent="0.2">
      <c r="A4099" s="1">
        <v>40120</v>
      </c>
      <c r="B4099">
        <v>9.43</v>
      </c>
      <c r="C4099" s="2">
        <f t="shared" ref="C4099:C4162" si="64">+LN(B4099/B4100)</f>
        <v>3.4523385373499103E-2</v>
      </c>
    </row>
    <row r="4100" spans="1:3" x14ac:dyDescent="0.2">
      <c r="A4100" s="1">
        <v>40119</v>
      </c>
      <c r="B4100">
        <v>9.11</v>
      </c>
      <c r="C4100" s="2">
        <f t="shared" si="64"/>
        <v>-7.6544933605321901E-3</v>
      </c>
    </row>
    <row r="4101" spans="1:3" x14ac:dyDescent="0.2">
      <c r="A4101" s="1">
        <v>40116</v>
      </c>
      <c r="B4101">
        <v>9.18</v>
      </c>
      <c r="C4101" s="2">
        <f t="shared" si="64"/>
        <v>-3.6714222761038647E-2</v>
      </c>
    </row>
    <row r="4102" spans="1:3" x14ac:dyDescent="0.2">
      <c r="A4102" s="1">
        <v>40115</v>
      </c>
      <c r="B4102">
        <v>9.5233000000000008</v>
      </c>
      <c r="C4102" s="2">
        <f t="shared" si="64"/>
        <v>2.3727027234227437E-2</v>
      </c>
    </row>
    <row r="4103" spans="1:3" x14ac:dyDescent="0.2">
      <c r="A4103" s="1">
        <v>40114</v>
      </c>
      <c r="B4103">
        <v>9.3000000000000007</v>
      </c>
      <c r="C4103" s="2">
        <f t="shared" si="64"/>
        <v>-2.7918455624849323E-2</v>
      </c>
    </row>
    <row r="4104" spans="1:3" x14ac:dyDescent="0.2">
      <c r="A4104" s="1">
        <v>40113</v>
      </c>
      <c r="B4104">
        <v>9.5632999999999999</v>
      </c>
      <c r="C4104" s="2">
        <f t="shared" si="64"/>
        <v>8.7485395171291395E-3</v>
      </c>
    </row>
    <row r="4105" spans="1:3" x14ac:dyDescent="0.2">
      <c r="A4105" s="1">
        <v>40112</v>
      </c>
      <c r="B4105">
        <v>9.48</v>
      </c>
      <c r="C4105" s="2">
        <f t="shared" si="64"/>
        <v>-2.876991223029092E-2</v>
      </c>
    </row>
    <row r="4106" spans="1:3" x14ac:dyDescent="0.2">
      <c r="A4106" s="1">
        <v>40109</v>
      </c>
      <c r="B4106">
        <v>9.7567000000000004</v>
      </c>
      <c r="C4106" s="2">
        <f t="shared" si="64"/>
        <v>0</v>
      </c>
    </row>
    <row r="4107" spans="1:3" x14ac:dyDescent="0.2">
      <c r="A4107" s="1">
        <v>40108</v>
      </c>
      <c r="B4107">
        <v>9.7567000000000004</v>
      </c>
      <c r="C4107" s="2">
        <f t="shared" si="64"/>
        <v>-9.1821451725248165E-3</v>
      </c>
    </row>
    <row r="4108" spans="1:3" x14ac:dyDescent="0.2">
      <c r="A4108" s="1">
        <v>40107</v>
      </c>
      <c r="B4108">
        <v>9.8467000000000002</v>
      </c>
      <c r="C4108" s="2">
        <f t="shared" si="64"/>
        <v>1.6733621386652412E-2</v>
      </c>
    </row>
    <row r="4109" spans="1:3" x14ac:dyDescent="0.2">
      <c r="A4109" s="1">
        <v>40106</v>
      </c>
      <c r="B4109">
        <v>9.6832999999999991</v>
      </c>
      <c r="C4109" s="2">
        <f t="shared" si="64"/>
        <v>-1.3335856164572574E-2</v>
      </c>
    </row>
    <row r="4110" spans="1:3" x14ac:dyDescent="0.2">
      <c r="A4110" s="1">
        <v>40105</v>
      </c>
      <c r="B4110">
        <v>9.8132999999999999</v>
      </c>
      <c r="C4110" s="2">
        <f t="shared" si="64"/>
        <v>1.4017674372804061E-2</v>
      </c>
    </row>
    <row r="4111" spans="1:3" x14ac:dyDescent="0.2">
      <c r="A4111" s="1">
        <v>40102</v>
      </c>
      <c r="B4111">
        <v>9.6767000000000003</v>
      </c>
      <c r="C4111" s="2">
        <f t="shared" si="64"/>
        <v>-7.5463509348933895E-3</v>
      </c>
    </row>
    <row r="4112" spans="1:3" x14ac:dyDescent="0.2">
      <c r="A4112" s="1">
        <v>40101</v>
      </c>
      <c r="B4112">
        <v>9.75</v>
      </c>
      <c r="C4112" s="2">
        <f t="shared" si="64"/>
        <v>-8.5072998316546231E-3</v>
      </c>
    </row>
    <row r="4113" spans="1:3" x14ac:dyDescent="0.2">
      <c r="A4113" s="1">
        <v>40100</v>
      </c>
      <c r="B4113">
        <v>9.8332999999999995</v>
      </c>
      <c r="C4113" s="2">
        <f t="shared" si="64"/>
        <v>2.8186857778100566E-2</v>
      </c>
    </row>
    <row r="4114" spans="1:3" x14ac:dyDescent="0.2">
      <c r="A4114" s="1">
        <v>40099</v>
      </c>
      <c r="B4114">
        <v>9.56</v>
      </c>
      <c r="C4114" s="2">
        <f t="shared" si="64"/>
        <v>9.4588198653230895E-3</v>
      </c>
    </row>
    <row r="4115" spans="1:3" x14ac:dyDescent="0.2">
      <c r="A4115" s="1">
        <v>40098</v>
      </c>
      <c r="B4115">
        <v>9.4700000000000006</v>
      </c>
      <c r="C4115" s="2">
        <f t="shared" si="64"/>
        <v>-4.2149693593119238E-3</v>
      </c>
    </row>
    <row r="4116" spans="1:3" x14ac:dyDescent="0.2">
      <c r="A4116" s="1">
        <v>40095</v>
      </c>
      <c r="B4116">
        <v>9.51</v>
      </c>
      <c r="C4116" s="2">
        <f t="shared" si="64"/>
        <v>1.2698583337127343E-2</v>
      </c>
    </row>
    <row r="4117" spans="1:3" x14ac:dyDescent="0.2">
      <c r="A4117" s="1">
        <v>40094</v>
      </c>
      <c r="B4117">
        <v>9.39</v>
      </c>
      <c r="C4117" s="2">
        <f t="shared" si="64"/>
        <v>3.7621141180739663E-2</v>
      </c>
    </row>
    <row r="4118" spans="1:3" x14ac:dyDescent="0.2">
      <c r="A4118" s="1">
        <v>40093</v>
      </c>
      <c r="B4118">
        <v>9.0433000000000003</v>
      </c>
      <c r="C4118" s="2">
        <f t="shared" si="64"/>
        <v>1.8372999080994705E-3</v>
      </c>
    </row>
    <row r="4119" spans="1:3" x14ac:dyDescent="0.2">
      <c r="A4119" s="1">
        <v>40092</v>
      </c>
      <c r="B4119">
        <v>9.0266999999999999</v>
      </c>
      <c r="C4119" s="2">
        <f t="shared" si="64"/>
        <v>1.077045724292474E-2</v>
      </c>
    </row>
    <row r="4120" spans="1:3" x14ac:dyDescent="0.2">
      <c r="A4120" s="1">
        <v>40091</v>
      </c>
      <c r="B4120">
        <v>8.93</v>
      </c>
      <c r="C4120" s="2">
        <f t="shared" si="64"/>
        <v>1.4289743699173556E-2</v>
      </c>
    </row>
    <row r="4121" spans="1:3" x14ac:dyDescent="0.2">
      <c r="A4121" s="1">
        <v>40088</v>
      </c>
      <c r="B4121">
        <v>8.8033000000000001</v>
      </c>
      <c r="C4121" s="2">
        <f t="shared" si="64"/>
        <v>-2.2097926146985372E-2</v>
      </c>
    </row>
    <row r="4122" spans="1:3" x14ac:dyDescent="0.2">
      <c r="A4122" s="1">
        <v>40087</v>
      </c>
      <c r="B4122">
        <v>9</v>
      </c>
      <c r="C4122" s="2">
        <f t="shared" si="64"/>
        <v>-3.1713975489527715E-2</v>
      </c>
    </row>
    <row r="4123" spans="1:3" x14ac:dyDescent="0.2">
      <c r="A4123" s="1">
        <v>40086</v>
      </c>
      <c r="B4123">
        <v>9.2899999999999991</v>
      </c>
      <c r="C4123" s="2">
        <f t="shared" si="64"/>
        <v>-7.154111395854367E-3</v>
      </c>
    </row>
    <row r="4124" spans="1:3" x14ac:dyDescent="0.2">
      <c r="A4124" s="1">
        <v>40085</v>
      </c>
      <c r="B4124">
        <v>9.3567</v>
      </c>
      <c r="C4124" s="2">
        <f t="shared" si="64"/>
        <v>2.1978194217114333E-2</v>
      </c>
    </row>
    <row r="4125" spans="1:3" x14ac:dyDescent="0.2">
      <c r="A4125" s="1">
        <v>40084</v>
      </c>
      <c r="B4125">
        <v>9.1532999999999998</v>
      </c>
      <c r="C4125" s="2">
        <f t="shared" si="64"/>
        <v>-2.9781626640878942E-2</v>
      </c>
    </row>
    <row r="4126" spans="1:3" x14ac:dyDescent="0.2">
      <c r="A4126" s="1">
        <v>40081</v>
      </c>
      <c r="B4126">
        <v>9.43</v>
      </c>
      <c r="C4126" s="2">
        <f t="shared" si="64"/>
        <v>-1.5081876966335415E-2</v>
      </c>
    </row>
    <row r="4127" spans="1:3" x14ac:dyDescent="0.2">
      <c r="A4127" s="1">
        <v>40080</v>
      </c>
      <c r="B4127">
        <v>9.5732999999999997</v>
      </c>
      <c r="C4127" s="2">
        <f t="shared" si="64"/>
        <v>-2.5779141182731932E-2</v>
      </c>
    </row>
    <row r="4128" spans="1:3" x14ac:dyDescent="0.2">
      <c r="A4128" s="1">
        <v>40079</v>
      </c>
      <c r="B4128">
        <v>9.8232999999999997</v>
      </c>
      <c r="C4128" s="2">
        <f t="shared" si="64"/>
        <v>-1.0803363262647732E-2</v>
      </c>
    </row>
    <row r="4129" spans="1:3" x14ac:dyDescent="0.2">
      <c r="A4129" s="1">
        <v>40078</v>
      </c>
      <c r="B4129">
        <v>9.93</v>
      </c>
      <c r="C4129" s="2">
        <f t="shared" si="64"/>
        <v>-6.3543903866596788E-3</v>
      </c>
    </row>
    <row r="4130" spans="1:3" x14ac:dyDescent="0.2">
      <c r="A4130" s="1">
        <v>40077</v>
      </c>
      <c r="B4130">
        <v>9.9932999999999996</v>
      </c>
      <c r="C4130" s="2">
        <f t="shared" si="64"/>
        <v>-2.2431716331817585E-2</v>
      </c>
    </row>
    <row r="4131" spans="1:3" x14ac:dyDescent="0.2">
      <c r="A4131" s="1">
        <v>40074</v>
      </c>
      <c r="B4131">
        <v>10.220000000000001</v>
      </c>
      <c r="C4131" s="2">
        <f t="shared" si="64"/>
        <v>4.1964199099032207E-2</v>
      </c>
    </row>
    <row r="4132" spans="1:3" x14ac:dyDescent="0.2">
      <c r="A4132" s="1">
        <v>40073</v>
      </c>
      <c r="B4132">
        <v>9.8000000000000007</v>
      </c>
      <c r="C4132" s="2">
        <f t="shared" si="64"/>
        <v>-6.7830653580503806E-3</v>
      </c>
    </row>
    <row r="4133" spans="1:3" x14ac:dyDescent="0.2">
      <c r="A4133" s="1">
        <v>40072</v>
      </c>
      <c r="B4133">
        <v>9.8666999999999998</v>
      </c>
      <c r="C4133" s="2">
        <f t="shared" si="64"/>
        <v>2.3939604797898768E-2</v>
      </c>
    </row>
    <row r="4134" spans="1:3" x14ac:dyDescent="0.2">
      <c r="A4134" s="1">
        <v>40071</v>
      </c>
      <c r="B4134">
        <v>9.6333000000000002</v>
      </c>
      <c r="C4134" s="2">
        <f t="shared" si="64"/>
        <v>4.6022362181683207E-2</v>
      </c>
    </row>
    <row r="4135" spans="1:3" x14ac:dyDescent="0.2">
      <c r="A4135" s="1">
        <v>40070</v>
      </c>
      <c r="B4135">
        <v>9.1999999999999993</v>
      </c>
      <c r="C4135" s="2">
        <f t="shared" si="64"/>
        <v>1.1665605443711263E-2</v>
      </c>
    </row>
    <row r="4136" spans="1:3" x14ac:dyDescent="0.2">
      <c r="A4136" s="1">
        <v>40067</v>
      </c>
      <c r="B4136">
        <v>9.0932999999999993</v>
      </c>
      <c r="C4136" s="2">
        <f t="shared" si="64"/>
        <v>1.8491092893390768E-2</v>
      </c>
    </row>
    <row r="4137" spans="1:3" x14ac:dyDescent="0.2">
      <c r="A4137" s="1">
        <v>40066</v>
      </c>
      <c r="B4137">
        <v>8.9267000000000003</v>
      </c>
      <c r="C4137" s="2">
        <f t="shared" si="64"/>
        <v>2.8797444506568605E-2</v>
      </c>
    </row>
    <row r="4138" spans="1:3" x14ac:dyDescent="0.2">
      <c r="A4138" s="1">
        <v>40065</v>
      </c>
      <c r="B4138">
        <v>8.6732999999999993</v>
      </c>
      <c r="C4138" s="2">
        <f t="shared" si="64"/>
        <v>2.8844104912398198E-2</v>
      </c>
    </row>
    <row r="4139" spans="1:3" x14ac:dyDescent="0.2">
      <c r="A4139" s="1">
        <v>40064</v>
      </c>
      <c r="B4139">
        <v>8.4267000000000003</v>
      </c>
      <c r="C4139" s="2">
        <f t="shared" si="64"/>
        <v>1.1938017075054626E-2</v>
      </c>
    </row>
    <row r="4140" spans="1:3" x14ac:dyDescent="0.2">
      <c r="A4140" s="1">
        <v>40060</v>
      </c>
      <c r="B4140">
        <v>8.3267000000000007</v>
      </c>
      <c r="C4140" s="2">
        <f t="shared" si="64"/>
        <v>1.4930706886138337E-2</v>
      </c>
    </row>
    <row r="4141" spans="1:3" x14ac:dyDescent="0.2">
      <c r="A4141" s="1">
        <v>40059</v>
      </c>
      <c r="B4141">
        <v>8.2033000000000005</v>
      </c>
      <c r="C4141" s="2">
        <f t="shared" si="64"/>
        <v>5.2923433617173207E-3</v>
      </c>
    </row>
    <row r="4142" spans="1:3" x14ac:dyDescent="0.2">
      <c r="A4142" s="1">
        <v>40058</v>
      </c>
      <c r="B4142">
        <v>8.16</v>
      </c>
      <c r="C4142" s="2">
        <f t="shared" si="64"/>
        <v>-1.5805800171187809E-2</v>
      </c>
    </row>
    <row r="4143" spans="1:3" x14ac:dyDescent="0.2">
      <c r="A4143" s="1">
        <v>40057</v>
      </c>
      <c r="B4143">
        <v>8.2899999999999991</v>
      </c>
      <c r="C4143" s="2">
        <f t="shared" si="64"/>
        <v>-9.6039153541803996E-3</v>
      </c>
    </row>
    <row r="4144" spans="1:3" x14ac:dyDescent="0.2">
      <c r="A4144" s="1">
        <v>40056</v>
      </c>
      <c r="B4144">
        <v>8.3699999999999992</v>
      </c>
      <c r="C4144" s="2">
        <f t="shared" si="64"/>
        <v>-1.7762456339840499E-2</v>
      </c>
    </row>
    <row r="4145" spans="1:3" x14ac:dyDescent="0.2">
      <c r="A4145" s="1">
        <v>40053</v>
      </c>
      <c r="B4145">
        <v>8.52</v>
      </c>
      <c r="C4145" s="2">
        <f t="shared" si="64"/>
        <v>1.4577569323397739E-2</v>
      </c>
    </row>
    <row r="4146" spans="1:3" x14ac:dyDescent="0.2">
      <c r="A4146" s="1">
        <v>40052</v>
      </c>
      <c r="B4146">
        <v>8.3966999999999992</v>
      </c>
      <c r="C4146" s="2">
        <f t="shared" si="64"/>
        <v>1.6014748031604246E-2</v>
      </c>
    </row>
    <row r="4147" spans="1:3" x14ac:dyDescent="0.2">
      <c r="A4147" s="1">
        <v>40051</v>
      </c>
      <c r="B4147">
        <v>8.2632999999999992</v>
      </c>
      <c r="C4147" s="2">
        <f t="shared" si="64"/>
        <v>-2.8630299960344316E-2</v>
      </c>
    </row>
    <row r="4148" spans="1:3" x14ac:dyDescent="0.2">
      <c r="A4148" s="1">
        <v>40050</v>
      </c>
      <c r="B4148">
        <v>8.5032999999999994</v>
      </c>
      <c r="C4148" s="2">
        <f t="shared" si="64"/>
        <v>-1.9620173946575952E-3</v>
      </c>
    </row>
    <row r="4149" spans="1:3" x14ac:dyDescent="0.2">
      <c r="A4149" s="1">
        <v>40049</v>
      </c>
      <c r="B4149">
        <v>8.52</v>
      </c>
      <c r="C4149" s="2">
        <f t="shared" si="64"/>
        <v>5.0951177196872843E-3</v>
      </c>
    </row>
    <row r="4150" spans="1:3" x14ac:dyDescent="0.2">
      <c r="A4150" s="1">
        <v>40046</v>
      </c>
      <c r="B4150">
        <v>8.4766999999999992</v>
      </c>
      <c r="C4150" s="2">
        <f t="shared" si="64"/>
        <v>2.5497199635314789E-2</v>
      </c>
    </row>
    <row r="4151" spans="1:3" x14ac:dyDescent="0.2">
      <c r="A4151" s="1">
        <v>40045</v>
      </c>
      <c r="B4151">
        <v>8.2632999999999992</v>
      </c>
      <c r="C4151" s="2">
        <f t="shared" si="64"/>
        <v>1.7087547931462967E-2</v>
      </c>
    </row>
    <row r="4152" spans="1:3" x14ac:dyDescent="0.2">
      <c r="A4152" s="1">
        <v>40044</v>
      </c>
      <c r="B4152">
        <v>8.1233000000000004</v>
      </c>
      <c r="C4152" s="2">
        <f t="shared" si="64"/>
        <v>1.9051982752635772E-2</v>
      </c>
    </row>
    <row r="4153" spans="1:3" x14ac:dyDescent="0.2">
      <c r="A4153" s="1">
        <v>40043</v>
      </c>
      <c r="B4153">
        <v>7.97</v>
      </c>
      <c r="C4153" s="2">
        <f t="shared" si="64"/>
        <v>1.5591431558765413E-2</v>
      </c>
    </row>
    <row r="4154" spans="1:3" x14ac:dyDescent="0.2">
      <c r="A4154" s="1">
        <v>40042</v>
      </c>
      <c r="B4154">
        <v>7.8467000000000002</v>
      </c>
      <c r="C4154" s="2">
        <f t="shared" si="64"/>
        <v>-3.8329692031760551E-2</v>
      </c>
    </row>
    <row r="4155" spans="1:3" x14ac:dyDescent="0.2">
      <c r="A4155" s="1">
        <v>40039</v>
      </c>
      <c r="B4155">
        <v>8.1532999999999998</v>
      </c>
      <c r="C4155" s="2">
        <f t="shared" si="64"/>
        <v>-2.9808952574149263E-2</v>
      </c>
    </row>
    <row r="4156" spans="1:3" x14ac:dyDescent="0.2">
      <c r="A4156" s="1">
        <v>40038</v>
      </c>
      <c r="B4156">
        <v>8.4</v>
      </c>
      <c r="C4156" s="2">
        <f t="shared" si="64"/>
        <v>-1.5820811826513913E-3</v>
      </c>
    </row>
    <row r="4157" spans="1:3" x14ac:dyDescent="0.2">
      <c r="A4157" s="1">
        <v>40037</v>
      </c>
      <c r="B4157">
        <v>8.4132999999999996</v>
      </c>
      <c r="C4157" s="2">
        <f t="shared" si="64"/>
        <v>1.5161967099408006E-2</v>
      </c>
    </row>
    <row r="4158" spans="1:3" x14ac:dyDescent="0.2">
      <c r="A4158" s="1">
        <v>40036</v>
      </c>
      <c r="B4158">
        <v>8.2866999999999997</v>
      </c>
      <c r="C4158" s="2">
        <f t="shared" si="64"/>
        <v>-2.5802503514055278E-2</v>
      </c>
    </row>
    <row r="4159" spans="1:3" x14ac:dyDescent="0.2">
      <c r="A4159" s="1">
        <v>40035</v>
      </c>
      <c r="B4159">
        <v>8.5032999999999994</v>
      </c>
      <c r="C4159" s="2">
        <f t="shared" si="64"/>
        <v>1.1767060651970028E-3</v>
      </c>
    </row>
    <row r="4160" spans="1:3" x14ac:dyDescent="0.2">
      <c r="A4160" s="1">
        <v>40032</v>
      </c>
      <c r="B4160">
        <v>8.4932999999999996</v>
      </c>
      <c r="C4160" s="2">
        <f t="shared" si="64"/>
        <v>1.1843848847041979E-2</v>
      </c>
    </row>
    <row r="4161" spans="1:3" x14ac:dyDescent="0.2">
      <c r="A4161" s="1">
        <v>40031</v>
      </c>
      <c r="B4161">
        <v>8.3933</v>
      </c>
      <c r="C4161" s="2">
        <f t="shared" si="64"/>
        <v>-2.3800184975917012E-3</v>
      </c>
    </row>
    <row r="4162" spans="1:3" x14ac:dyDescent="0.2">
      <c r="A4162" s="1">
        <v>40030</v>
      </c>
      <c r="B4162">
        <v>8.4132999999999996</v>
      </c>
      <c r="C4162" s="2">
        <f t="shared" si="64"/>
        <v>-4.0404040953712338E-4</v>
      </c>
    </row>
    <row r="4163" spans="1:3" x14ac:dyDescent="0.2">
      <c r="A4163" s="1">
        <v>40029</v>
      </c>
      <c r="B4163">
        <v>8.4167000000000005</v>
      </c>
      <c r="C4163" s="2">
        <f t="shared" ref="C4163:C4226" si="65">+LN(B4163/B4164)</f>
        <v>9.1546110708010959E-3</v>
      </c>
    </row>
    <row r="4164" spans="1:3" x14ac:dyDescent="0.2">
      <c r="A4164" s="1">
        <v>40028</v>
      </c>
      <c r="B4164">
        <v>8.34</v>
      </c>
      <c r="C4164" s="2">
        <f t="shared" si="65"/>
        <v>1.1250096045405451E-2</v>
      </c>
    </row>
    <row r="4165" spans="1:3" x14ac:dyDescent="0.2">
      <c r="A4165" s="1">
        <v>40025</v>
      </c>
      <c r="B4165">
        <v>8.2467000000000006</v>
      </c>
      <c r="C4165" s="2">
        <f t="shared" si="65"/>
        <v>8.1209697105943078E-3</v>
      </c>
    </row>
    <row r="4166" spans="1:3" x14ac:dyDescent="0.2">
      <c r="A4166" s="1">
        <v>40024</v>
      </c>
      <c r="B4166">
        <v>8.18</v>
      </c>
      <c r="C4166" s="2">
        <f t="shared" si="65"/>
        <v>2.2663194036348571E-2</v>
      </c>
    </row>
    <row r="4167" spans="1:3" x14ac:dyDescent="0.2">
      <c r="A4167" s="1">
        <v>40023</v>
      </c>
      <c r="B4167">
        <v>7.9966999999999997</v>
      </c>
      <c r="C4167" s="2">
        <f t="shared" si="65"/>
        <v>-1.570751897645226E-2</v>
      </c>
    </row>
    <row r="4168" spans="1:3" x14ac:dyDescent="0.2">
      <c r="A4168" s="1">
        <v>40022</v>
      </c>
      <c r="B4168">
        <v>8.1233000000000004</v>
      </c>
      <c r="C4168" s="2">
        <f t="shared" si="65"/>
        <v>-2.0711484347427728E-2</v>
      </c>
    </row>
    <row r="4169" spans="1:3" x14ac:dyDescent="0.2">
      <c r="A4169" s="1">
        <v>40021</v>
      </c>
      <c r="B4169">
        <v>8.2933000000000003</v>
      </c>
      <c r="C4169" s="2">
        <f t="shared" si="65"/>
        <v>-8.0104671944230734E-3</v>
      </c>
    </row>
    <row r="4170" spans="1:3" x14ac:dyDescent="0.2">
      <c r="A4170" s="1">
        <v>40018</v>
      </c>
      <c r="B4170">
        <v>8.36</v>
      </c>
      <c r="C4170" s="2">
        <f t="shared" si="65"/>
        <v>-1.6607736399660636E-2</v>
      </c>
    </row>
    <row r="4171" spans="1:3" x14ac:dyDescent="0.2">
      <c r="A4171" s="1">
        <v>40017</v>
      </c>
      <c r="B4171">
        <v>8.5</v>
      </c>
      <c r="C4171" s="2">
        <f t="shared" si="65"/>
        <v>4.1226488081452302E-2</v>
      </c>
    </row>
    <row r="4172" spans="1:3" x14ac:dyDescent="0.2">
      <c r="A4172" s="1">
        <v>40016</v>
      </c>
      <c r="B4172">
        <v>8.1567000000000007</v>
      </c>
      <c r="C4172" s="2">
        <f t="shared" si="65"/>
        <v>1.3577605920051545E-2</v>
      </c>
    </row>
    <row r="4173" spans="1:3" x14ac:dyDescent="0.2">
      <c r="A4173" s="1">
        <v>40015</v>
      </c>
      <c r="B4173">
        <v>8.0466999999999995</v>
      </c>
      <c r="C4173" s="2">
        <f t="shared" si="65"/>
        <v>1.2435183218243314E-3</v>
      </c>
    </row>
    <row r="4174" spans="1:3" x14ac:dyDescent="0.2">
      <c r="A4174" s="1">
        <v>40014</v>
      </c>
      <c r="B4174">
        <v>8.0366999999999997</v>
      </c>
      <c r="C4174" s="2">
        <f t="shared" si="65"/>
        <v>2.2231944731827363E-2</v>
      </c>
    </row>
    <row r="4175" spans="1:3" x14ac:dyDescent="0.2">
      <c r="A4175" s="1">
        <v>40011</v>
      </c>
      <c r="B4175">
        <v>7.86</v>
      </c>
      <c r="C4175" s="2">
        <f t="shared" si="65"/>
        <v>2.1269422727372184E-3</v>
      </c>
    </row>
    <row r="4176" spans="1:3" x14ac:dyDescent="0.2">
      <c r="A4176" s="1">
        <v>40010</v>
      </c>
      <c r="B4176">
        <v>7.8433000000000002</v>
      </c>
      <c r="C4176" s="2">
        <f t="shared" si="65"/>
        <v>1.4123984518340457E-2</v>
      </c>
    </row>
    <row r="4177" spans="1:3" x14ac:dyDescent="0.2">
      <c r="A4177" s="1">
        <v>40009</v>
      </c>
      <c r="B4177">
        <v>7.7332999999999998</v>
      </c>
      <c r="C4177" s="2">
        <f t="shared" si="65"/>
        <v>4.8117973448792234E-2</v>
      </c>
    </row>
    <row r="4178" spans="1:3" x14ac:dyDescent="0.2">
      <c r="A4178" s="1">
        <v>40008</v>
      </c>
      <c r="B4178">
        <v>7.37</v>
      </c>
      <c r="C4178" s="2">
        <f t="shared" si="65"/>
        <v>1.3577734604602887E-3</v>
      </c>
    </row>
    <row r="4179" spans="1:3" x14ac:dyDescent="0.2">
      <c r="A4179" s="1">
        <v>40007</v>
      </c>
      <c r="B4179">
        <v>7.36</v>
      </c>
      <c r="C4179" s="2">
        <f t="shared" si="65"/>
        <v>2.0133388513379799E-2</v>
      </c>
    </row>
    <row r="4180" spans="1:3" x14ac:dyDescent="0.2">
      <c r="A4180" s="1">
        <v>40004</v>
      </c>
      <c r="B4180">
        <v>7.2133000000000003</v>
      </c>
      <c r="C4180" s="2">
        <f t="shared" si="65"/>
        <v>3.4311319454972657E-2</v>
      </c>
    </row>
    <row r="4181" spans="1:3" x14ac:dyDescent="0.2">
      <c r="A4181" s="1">
        <v>40003</v>
      </c>
      <c r="B4181">
        <v>6.97</v>
      </c>
      <c r="C4181" s="2">
        <f t="shared" si="65"/>
        <v>-4.7334563003250318E-4</v>
      </c>
    </row>
    <row r="4182" spans="1:3" x14ac:dyDescent="0.2">
      <c r="A4182" s="1">
        <v>40002</v>
      </c>
      <c r="B4182">
        <v>6.9733000000000001</v>
      </c>
      <c r="C4182" s="2">
        <f t="shared" si="65"/>
        <v>-7.144622649780075E-3</v>
      </c>
    </row>
    <row r="4183" spans="1:3" x14ac:dyDescent="0.2">
      <c r="A4183" s="1">
        <v>40001</v>
      </c>
      <c r="B4183">
        <v>7.0232999999999999</v>
      </c>
      <c r="C4183" s="2">
        <f t="shared" si="65"/>
        <v>-1.4615101134081246E-2</v>
      </c>
    </row>
    <row r="4184" spans="1:3" x14ac:dyDescent="0.2">
      <c r="A4184" s="1">
        <v>40000</v>
      </c>
      <c r="B4184">
        <v>7.1266999999999996</v>
      </c>
      <c r="C4184" s="2">
        <f t="shared" si="65"/>
        <v>-1.023273183568341E-2</v>
      </c>
    </row>
    <row r="4185" spans="1:3" x14ac:dyDescent="0.2">
      <c r="A4185" s="1">
        <v>39996</v>
      </c>
      <c r="B4185">
        <v>7.2</v>
      </c>
      <c r="C4185" s="2">
        <f t="shared" si="65"/>
        <v>-3.4133006369458471E-2</v>
      </c>
    </row>
    <row r="4186" spans="1:3" x14ac:dyDescent="0.2">
      <c r="A4186" s="1">
        <v>39995</v>
      </c>
      <c r="B4186">
        <v>7.45</v>
      </c>
      <c r="C4186" s="2">
        <f t="shared" si="65"/>
        <v>1.4875189765043879E-2</v>
      </c>
    </row>
    <row r="4187" spans="1:3" x14ac:dyDescent="0.2">
      <c r="A4187" s="1">
        <v>39994</v>
      </c>
      <c r="B4187">
        <v>7.34</v>
      </c>
      <c r="C4187" s="2">
        <f t="shared" si="65"/>
        <v>2.0188805395578532E-2</v>
      </c>
    </row>
    <row r="4188" spans="1:3" x14ac:dyDescent="0.2">
      <c r="A4188" s="1">
        <v>39993</v>
      </c>
      <c r="B4188">
        <v>7.1932999999999998</v>
      </c>
      <c r="C4188" s="2">
        <f t="shared" si="65"/>
        <v>3.7047396133642017E-3</v>
      </c>
    </row>
    <row r="4189" spans="1:3" x14ac:dyDescent="0.2">
      <c r="A4189" s="1">
        <v>39990</v>
      </c>
      <c r="B4189">
        <v>7.1666999999999996</v>
      </c>
      <c r="C4189" s="2">
        <f t="shared" si="65"/>
        <v>8.8858328186427644E-3</v>
      </c>
    </row>
    <row r="4190" spans="1:3" x14ac:dyDescent="0.2">
      <c r="A4190" s="1">
        <v>39989</v>
      </c>
      <c r="B4190">
        <v>7.1032999999999999</v>
      </c>
      <c r="C4190" s="2">
        <f t="shared" si="65"/>
        <v>1.9905964889347552E-2</v>
      </c>
    </row>
    <row r="4191" spans="1:3" x14ac:dyDescent="0.2">
      <c r="A4191" s="1">
        <v>39988</v>
      </c>
      <c r="B4191">
        <v>6.9633000000000003</v>
      </c>
      <c r="C4191" s="2">
        <f t="shared" si="65"/>
        <v>1.2514614196445459E-2</v>
      </c>
    </row>
    <row r="4192" spans="1:3" x14ac:dyDescent="0.2">
      <c r="A4192" s="1">
        <v>39987</v>
      </c>
      <c r="B4192">
        <v>6.8766999999999996</v>
      </c>
      <c r="C4192" s="2">
        <f t="shared" si="65"/>
        <v>4.3721013434220492E-3</v>
      </c>
    </row>
    <row r="4193" spans="1:3" x14ac:dyDescent="0.2">
      <c r="A4193" s="1">
        <v>39986</v>
      </c>
      <c r="B4193">
        <v>6.8467000000000002</v>
      </c>
      <c r="C4193" s="2">
        <f t="shared" si="65"/>
        <v>-5.8613044467081231E-2</v>
      </c>
    </row>
    <row r="4194" spans="1:3" x14ac:dyDescent="0.2">
      <c r="A4194" s="1">
        <v>39983</v>
      </c>
      <c r="B4194">
        <v>7.26</v>
      </c>
      <c r="C4194" s="2">
        <f t="shared" si="65"/>
        <v>4.1407926660313871E-3</v>
      </c>
    </row>
    <row r="4195" spans="1:3" x14ac:dyDescent="0.2">
      <c r="A4195" s="1">
        <v>39982</v>
      </c>
      <c r="B4195">
        <v>7.23</v>
      </c>
      <c r="C4195" s="2">
        <f t="shared" si="65"/>
        <v>-5.5172553747545169E-3</v>
      </c>
    </row>
    <row r="4196" spans="1:3" x14ac:dyDescent="0.2">
      <c r="A4196" s="1">
        <v>39981</v>
      </c>
      <c r="B4196">
        <v>7.27</v>
      </c>
      <c r="C4196" s="2">
        <f t="shared" si="65"/>
        <v>9.2170371927243928E-3</v>
      </c>
    </row>
    <row r="4197" spans="1:3" x14ac:dyDescent="0.2">
      <c r="A4197" s="1">
        <v>39980</v>
      </c>
      <c r="B4197">
        <v>7.2032999999999996</v>
      </c>
      <c r="C4197" s="2">
        <f t="shared" si="65"/>
        <v>-3.0084447892624794E-2</v>
      </c>
    </row>
    <row r="4198" spans="1:3" x14ac:dyDescent="0.2">
      <c r="A4198" s="1">
        <v>39979</v>
      </c>
      <c r="B4198">
        <v>7.4233000000000002</v>
      </c>
      <c r="C4198" s="2">
        <f t="shared" si="65"/>
        <v>-3.9618031595767135E-2</v>
      </c>
    </row>
    <row r="4199" spans="1:3" x14ac:dyDescent="0.2">
      <c r="A4199" s="1">
        <v>39976</v>
      </c>
      <c r="B4199">
        <v>7.7233000000000001</v>
      </c>
      <c r="C4199" s="2">
        <f t="shared" si="65"/>
        <v>-6.0284305384605283E-3</v>
      </c>
    </row>
    <row r="4200" spans="1:3" x14ac:dyDescent="0.2">
      <c r="A4200" s="1">
        <v>39975</v>
      </c>
      <c r="B4200">
        <v>7.77</v>
      </c>
      <c r="C4200" s="2">
        <f t="shared" si="65"/>
        <v>1.2878301844286859E-3</v>
      </c>
    </row>
    <row r="4201" spans="1:3" x14ac:dyDescent="0.2">
      <c r="A4201" s="1">
        <v>39974</v>
      </c>
      <c r="B4201">
        <v>7.76</v>
      </c>
      <c r="C4201" s="2">
        <f t="shared" si="65"/>
        <v>-8.1241262322030491E-3</v>
      </c>
    </row>
    <row r="4202" spans="1:3" x14ac:dyDescent="0.2">
      <c r="A4202" s="1">
        <v>39973</v>
      </c>
      <c r="B4202">
        <v>7.8232999999999997</v>
      </c>
      <c r="C4202" s="2">
        <f t="shared" si="65"/>
        <v>7.6989588966865224E-3</v>
      </c>
    </row>
    <row r="4203" spans="1:3" x14ac:dyDescent="0.2">
      <c r="A4203" s="1">
        <v>39972</v>
      </c>
      <c r="B4203">
        <v>7.7633000000000001</v>
      </c>
      <c r="C4203" s="2">
        <f t="shared" si="65"/>
        <v>-1.7455257942332002E-2</v>
      </c>
    </row>
    <row r="4204" spans="1:3" x14ac:dyDescent="0.2">
      <c r="A4204" s="1">
        <v>39969</v>
      </c>
      <c r="B4204">
        <v>7.9</v>
      </c>
      <c r="C4204" s="2">
        <f t="shared" si="65"/>
        <v>1.7017395733147062E-2</v>
      </c>
    </row>
    <row r="4205" spans="1:3" x14ac:dyDescent="0.2">
      <c r="A4205" s="1">
        <v>39968</v>
      </c>
      <c r="B4205">
        <v>7.7667000000000002</v>
      </c>
      <c r="C4205" s="2">
        <f t="shared" si="65"/>
        <v>1.8636016923254273E-2</v>
      </c>
    </row>
    <row r="4206" spans="1:3" x14ac:dyDescent="0.2">
      <c r="A4206" s="1">
        <v>39967</v>
      </c>
      <c r="B4206">
        <v>7.6233000000000004</v>
      </c>
      <c r="C4206" s="2">
        <f t="shared" si="65"/>
        <v>-1.6483496548681042E-2</v>
      </c>
    </row>
    <row r="4207" spans="1:3" x14ac:dyDescent="0.2">
      <c r="A4207" s="1">
        <v>39966</v>
      </c>
      <c r="B4207">
        <v>7.75</v>
      </c>
      <c r="C4207" s="2">
        <f t="shared" si="65"/>
        <v>-1.4945817277357389E-2</v>
      </c>
    </row>
    <row r="4208" spans="1:3" x14ac:dyDescent="0.2">
      <c r="A4208" s="1">
        <v>39965</v>
      </c>
      <c r="B4208">
        <v>7.8666999999999998</v>
      </c>
      <c r="C4208" s="2">
        <f t="shared" si="65"/>
        <v>5.7112801912945127E-2</v>
      </c>
    </row>
    <row r="4209" spans="1:3" x14ac:dyDescent="0.2">
      <c r="A4209" s="1">
        <v>39962</v>
      </c>
      <c r="B4209">
        <v>7.43</v>
      </c>
      <c r="C4209" s="2">
        <f t="shared" si="65"/>
        <v>3.0514709850511176E-2</v>
      </c>
    </row>
    <row r="4210" spans="1:3" x14ac:dyDescent="0.2">
      <c r="A4210" s="1">
        <v>39961</v>
      </c>
      <c r="B4210">
        <v>7.2066999999999997</v>
      </c>
      <c r="C4210" s="2">
        <f t="shared" si="65"/>
        <v>-4.1541525045966097E-3</v>
      </c>
    </row>
    <row r="4211" spans="1:3" x14ac:dyDescent="0.2">
      <c r="A4211" s="1">
        <v>39960</v>
      </c>
      <c r="B4211">
        <v>7.2366999999999999</v>
      </c>
      <c r="C4211" s="2">
        <f t="shared" si="65"/>
        <v>-4.4591739712134426E-2</v>
      </c>
    </row>
    <row r="4212" spans="1:3" x14ac:dyDescent="0.2">
      <c r="A4212" s="1">
        <v>39959</v>
      </c>
      <c r="B4212">
        <v>7.5667</v>
      </c>
      <c r="C4212" s="2">
        <f t="shared" si="65"/>
        <v>4.1831861050829013E-2</v>
      </c>
    </row>
    <row r="4213" spans="1:3" x14ac:dyDescent="0.2">
      <c r="A4213" s="1">
        <v>39955</v>
      </c>
      <c r="B4213">
        <v>7.2567000000000004</v>
      </c>
      <c r="C4213" s="2">
        <f t="shared" si="65"/>
        <v>-7.7694282383872857E-3</v>
      </c>
    </row>
    <row r="4214" spans="1:3" x14ac:dyDescent="0.2">
      <c r="A4214" s="1">
        <v>39954</v>
      </c>
      <c r="B4214">
        <v>7.3132999999999999</v>
      </c>
      <c r="C4214" s="2">
        <f t="shared" si="65"/>
        <v>-3.0089812150302368E-2</v>
      </c>
    </row>
    <row r="4215" spans="1:3" x14ac:dyDescent="0.2">
      <c r="A4215" s="1">
        <v>39953</v>
      </c>
      <c r="B4215">
        <v>7.5366999999999997</v>
      </c>
      <c r="C4215" s="2">
        <f t="shared" si="65"/>
        <v>-2.575125921628903E-2</v>
      </c>
    </row>
    <row r="4216" spans="1:3" x14ac:dyDescent="0.2">
      <c r="A4216" s="1">
        <v>39952</v>
      </c>
      <c r="B4216">
        <v>7.7332999999999998</v>
      </c>
      <c r="C4216" s="2">
        <f t="shared" si="65"/>
        <v>2.1488681408060677E-3</v>
      </c>
    </row>
    <row r="4217" spans="1:3" x14ac:dyDescent="0.2">
      <c r="A4217" s="1">
        <v>39951</v>
      </c>
      <c r="B4217">
        <v>7.7167000000000003</v>
      </c>
      <c r="C4217" s="2">
        <f t="shared" si="65"/>
        <v>3.6959609448010425E-2</v>
      </c>
    </row>
    <row r="4218" spans="1:3" x14ac:dyDescent="0.2">
      <c r="A4218" s="1">
        <v>39948</v>
      </c>
      <c r="B4218">
        <v>7.4367000000000001</v>
      </c>
      <c r="C4218" s="2">
        <f t="shared" si="65"/>
        <v>4.0422060779287984E-3</v>
      </c>
    </row>
    <row r="4219" spans="1:3" x14ac:dyDescent="0.2">
      <c r="A4219" s="1">
        <v>39947</v>
      </c>
      <c r="B4219">
        <v>7.4066999999999998</v>
      </c>
      <c r="C4219" s="2">
        <f t="shared" si="65"/>
        <v>-4.4858528617082805E-3</v>
      </c>
    </row>
    <row r="4220" spans="1:3" x14ac:dyDescent="0.2">
      <c r="A4220" s="1">
        <v>39946</v>
      </c>
      <c r="B4220">
        <v>7.44</v>
      </c>
      <c r="C4220" s="2">
        <f t="shared" si="65"/>
        <v>-4.4685489345299721E-2</v>
      </c>
    </row>
    <row r="4221" spans="1:3" x14ac:dyDescent="0.2">
      <c r="A4221" s="1">
        <v>39945</v>
      </c>
      <c r="B4221">
        <v>7.78</v>
      </c>
      <c r="C4221" s="2">
        <f t="shared" si="65"/>
        <v>-4.6461589062471068E-2</v>
      </c>
    </row>
    <row r="4222" spans="1:3" x14ac:dyDescent="0.2">
      <c r="A4222" s="1">
        <v>39944</v>
      </c>
      <c r="B4222">
        <v>8.15</v>
      </c>
      <c r="C4222" s="2">
        <f t="shared" si="65"/>
        <v>-1.5015534838599857E-2</v>
      </c>
    </row>
    <row r="4223" spans="1:3" x14ac:dyDescent="0.2">
      <c r="A4223" s="1">
        <v>39941</v>
      </c>
      <c r="B4223">
        <v>8.2733000000000008</v>
      </c>
      <c r="C4223" s="2">
        <f t="shared" si="65"/>
        <v>2.4050088824416494E-2</v>
      </c>
    </row>
    <row r="4224" spans="1:3" x14ac:dyDescent="0.2">
      <c r="A4224" s="1">
        <v>39940</v>
      </c>
      <c r="B4224">
        <v>8.0767000000000007</v>
      </c>
      <c r="C4224" s="2">
        <f t="shared" si="65"/>
        <v>-6.5775502927646109E-3</v>
      </c>
    </row>
    <row r="4225" spans="1:3" x14ac:dyDescent="0.2">
      <c r="A4225" s="1">
        <v>39939</v>
      </c>
      <c r="B4225">
        <v>8.1300000000000008</v>
      </c>
      <c r="C4225" s="2">
        <f t="shared" si="65"/>
        <v>8.6473670411823262E-3</v>
      </c>
    </row>
    <row r="4226" spans="1:3" x14ac:dyDescent="0.2">
      <c r="A4226" s="1">
        <v>39938</v>
      </c>
      <c r="B4226">
        <v>8.06</v>
      </c>
      <c r="C4226" s="2">
        <f t="shared" si="65"/>
        <v>-1.8439366945799941E-2</v>
      </c>
    </row>
    <row r="4227" spans="1:3" x14ac:dyDescent="0.2">
      <c r="A4227" s="1">
        <v>39937</v>
      </c>
      <c r="B4227">
        <v>8.2100000000000009</v>
      </c>
      <c r="C4227" s="2">
        <f t="shared" ref="C4227:C4290" si="66">+LN(B4227/B4228)</f>
        <v>4.52598622209789E-2</v>
      </c>
    </row>
    <row r="4228" spans="1:3" x14ac:dyDescent="0.2">
      <c r="A4228" s="1">
        <v>39934</v>
      </c>
      <c r="B4228">
        <v>7.8467000000000002</v>
      </c>
      <c r="C4228" s="2">
        <f t="shared" si="66"/>
        <v>-2.1133044147730903E-3</v>
      </c>
    </row>
    <row r="4229" spans="1:3" x14ac:dyDescent="0.2">
      <c r="A4229" s="1">
        <v>39933</v>
      </c>
      <c r="B4229">
        <v>7.8632999999999997</v>
      </c>
      <c r="C4229" s="2">
        <f t="shared" si="66"/>
        <v>3.8224885043305068E-3</v>
      </c>
    </row>
    <row r="4230" spans="1:3" x14ac:dyDescent="0.2">
      <c r="A4230" s="1">
        <v>39932</v>
      </c>
      <c r="B4230">
        <v>7.8333000000000004</v>
      </c>
      <c r="C4230" s="2">
        <f t="shared" si="66"/>
        <v>4.2587922062944171E-2</v>
      </c>
    </row>
    <row r="4231" spans="1:3" x14ac:dyDescent="0.2">
      <c r="A4231" s="1">
        <v>39931</v>
      </c>
      <c r="B4231">
        <v>7.5067000000000004</v>
      </c>
      <c r="C4231" s="2">
        <f t="shared" si="66"/>
        <v>-1.5413391725717785E-2</v>
      </c>
    </row>
    <row r="4232" spans="1:3" x14ac:dyDescent="0.2">
      <c r="A4232" s="1">
        <v>39930</v>
      </c>
      <c r="B4232">
        <v>7.6233000000000004</v>
      </c>
      <c r="C4232" s="2">
        <f t="shared" si="66"/>
        <v>1.3204475325223675E-2</v>
      </c>
    </row>
    <row r="4233" spans="1:3" x14ac:dyDescent="0.2">
      <c r="A4233" s="1">
        <v>39927</v>
      </c>
      <c r="B4233">
        <v>7.5232999999999999</v>
      </c>
      <c r="C4233" s="2">
        <f t="shared" si="66"/>
        <v>0.11142972783471429</v>
      </c>
    </row>
    <row r="4234" spans="1:3" x14ac:dyDescent="0.2">
      <c r="A4234" s="1">
        <v>39926</v>
      </c>
      <c r="B4234">
        <v>6.73</v>
      </c>
      <c r="C4234" s="2">
        <f t="shared" si="66"/>
        <v>1.1958288988873576E-2</v>
      </c>
    </row>
    <row r="4235" spans="1:3" x14ac:dyDescent="0.2">
      <c r="A4235" s="1">
        <v>39925</v>
      </c>
      <c r="B4235">
        <v>6.65</v>
      </c>
      <c r="C4235" s="2">
        <f t="shared" si="66"/>
        <v>4.1966132505842267E-2</v>
      </c>
    </row>
    <row r="4236" spans="1:3" x14ac:dyDescent="0.2">
      <c r="A4236" s="1">
        <v>39924</v>
      </c>
      <c r="B4236">
        <v>6.3766999999999996</v>
      </c>
      <c r="C4236" s="2">
        <f t="shared" si="66"/>
        <v>1.262503552437752E-2</v>
      </c>
    </row>
    <row r="4237" spans="1:3" x14ac:dyDescent="0.2">
      <c r="A4237" s="1">
        <v>39923</v>
      </c>
      <c r="B4237">
        <v>6.2967000000000004</v>
      </c>
      <c r="C4237" s="2">
        <f t="shared" si="66"/>
        <v>-5.2076731286539786E-2</v>
      </c>
    </row>
    <row r="4238" spans="1:3" x14ac:dyDescent="0.2">
      <c r="A4238" s="1">
        <v>39920</v>
      </c>
      <c r="B4238">
        <v>6.6333000000000002</v>
      </c>
      <c r="C4238" s="2">
        <f t="shared" si="66"/>
        <v>7.0499535565312276E-3</v>
      </c>
    </row>
    <row r="4239" spans="1:3" x14ac:dyDescent="0.2">
      <c r="A4239" s="1">
        <v>39919</v>
      </c>
      <c r="B4239">
        <v>6.5867000000000004</v>
      </c>
      <c r="C4239" s="2">
        <f t="shared" si="66"/>
        <v>2.2523924251289212E-2</v>
      </c>
    </row>
    <row r="4240" spans="1:3" x14ac:dyDescent="0.2">
      <c r="A4240" s="1">
        <v>39918</v>
      </c>
      <c r="B4240">
        <v>6.44</v>
      </c>
      <c r="C4240" s="2">
        <f t="shared" si="66"/>
        <v>1.9331620225005307E-2</v>
      </c>
    </row>
    <row r="4241" spans="1:3" x14ac:dyDescent="0.2">
      <c r="A4241" s="1">
        <v>39917</v>
      </c>
      <c r="B4241">
        <v>6.3167</v>
      </c>
      <c r="C4241" s="2">
        <f t="shared" si="66"/>
        <v>-3.829660535860821E-2</v>
      </c>
    </row>
    <row r="4242" spans="1:3" x14ac:dyDescent="0.2">
      <c r="A4242" s="1">
        <v>39916</v>
      </c>
      <c r="B4242">
        <v>6.5632999999999999</v>
      </c>
      <c r="C4242" s="2">
        <f t="shared" si="66"/>
        <v>-2.3594629285192889E-2</v>
      </c>
    </row>
    <row r="4243" spans="1:3" x14ac:dyDescent="0.2">
      <c r="A4243" s="1">
        <v>39912</v>
      </c>
      <c r="B4243">
        <v>6.72</v>
      </c>
      <c r="C4243" s="2">
        <f t="shared" si="66"/>
        <v>6.7192834363007589E-2</v>
      </c>
    </row>
    <row r="4244" spans="1:3" x14ac:dyDescent="0.2">
      <c r="A4244" s="1">
        <v>39911</v>
      </c>
      <c r="B4244">
        <v>6.2832999999999997</v>
      </c>
      <c r="C4244" s="2">
        <f t="shared" si="66"/>
        <v>9.5950074872685892E-3</v>
      </c>
    </row>
    <row r="4245" spans="1:3" x14ac:dyDescent="0.2">
      <c r="A4245" s="1">
        <v>39910</v>
      </c>
      <c r="B4245">
        <v>6.2233000000000001</v>
      </c>
      <c r="C4245" s="2">
        <f t="shared" si="66"/>
        <v>-3.3715673738027051E-2</v>
      </c>
    </row>
    <row r="4246" spans="1:3" x14ac:dyDescent="0.2">
      <c r="A4246" s="1">
        <v>39909</v>
      </c>
      <c r="B4246">
        <v>6.4367000000000001</v>
      </c>
      <c r="C4246" s="2">
        <f t="shared" si="66"/>
        <v>-9.7861904787824999E-3</v>
      </c>
    </row>
    <row r="4247" spans="1:3" x14ac:dyDescent="0.2">
      <c r="A4247" s="1">
        <v>39906</v>
      </c>
      <c r="B4247">
        <v>6.5</v>
      </c>
      <c r="C4247" s="2">
        <f t="shared" si="66"/>
        <v>3.3365886151511238E-2</v>
      </c>
    </row>
    <row r="4248" spans="1:3" x14ac:dyDescent="0.2">
      <c r="A4248" s="1">
        <v>39905</v>
      </c>
      <c r="B4248">
        <v>6.2866999999999997</v>
      </c>
      <c r="C4248" s="2">
        <f t="shared" si="66"/>
        <v>8.4032608065794115E-2</v>
      </c>
    </row>
    <row r="4249" spans="1:3" x14ac:dyDescent="0.2">
      <c r="A4249" s="1">
        <v>39904</v>
      </c>
      <c r="B4249">
        <v>5.78</v>
      </c>
      <c r="C4249" s="2">
        <f t="shared" si="66"/>
        <v>1.5693434546046547E-2</v>
      </c>
    </row>
    <row r="4250" spans="1:3" x14ac:dyDescent="0.2">
      <c r="A4250" s="1">
        <v>39903</v>
      </c>
      <c r="B4250">
        <v>5.69</v>
      </c>
      <c r="C4250" s="2">
        <f t="shared" si="66"/>
        <v>4.1033104144930534E-3</v>
      </c>
    </row>
    <row r="4251" spans="1:3" x14ac:dyDescent="0.2">
      <c r="A4251" s="1">
        <v>39902</v>
      </c>
      <c r="B4251">
        <v>5.6666999999999996</v>
      </c>
      <c r="C4251" s="2">
        <f t="shared" si="66"/>
        <v>-3.5247696116258581E-2</v>
      </c>
    </row>
    <row r="4252" spans="1:3" x14ac:dyDescent="0.2">
      <c r="A4252" s="1">
        <v>39899</v>
      </c>
      <c r="B4252">
        <v>5.87</v>
      </c>
      <c r="C4252" s="2">
        <f t="shared" si="66"/>
        <v>-3.0748944041941506E-2</v>
      </c>
    </row>
    <row r="4253" spans="1:3" x14ac:dyDescent="0.2">
      <c r="A4253" s="1">
        <v>39898</v>
      </c>
      <c r="B4253">
        <v>6.0533000000000001</v>
      </c>
      <c r="C4253" s="2">
        <f t="shared" si="66"/>
        <v>5.4888047155298297E-2</v>
      </c>
    </row>
    <row r="4254" spans="1:3" x14ac:dyDescent="0.2">
      <c r="A4254" s="1">
        <v>39897</v>
      </c>
      <c r="B4254">
        <v>5.73</v>
      </c>
      <c r="C4254" s="2">
        <f t="shared" si="66"/>
        <v>1.3476085274798993E-2</v>
      </c>
    </row>
    <row r="4255" spans="1:3" x14ac:dyDescent="0.2">
      <c r="A4255" s="1">
        <v>39896</v>
      </c>
      <c r="B4255">
        <v>5.6532999999999998</v>
      </c>
      <c r="C4255" s="2">
        <f t="shared" si="66"/>
        <v>-2.3674922718972067E-3</v>
      </c>
    </row>
    <row r="4256" spans="1:3" x14ac:dyDescent="0.2">
      <c r="A4256" s="1">
        <v>39895</v>
      </c>
      <c r="B4256">
        <v>5.6666999999999996</v>
      </c>
      <c r="C4256" s="2">
        <f t="shared" si="66"/>
        <v>0.11324045442437246</v>
      </c>
    </row>
    <row r="4257" spans="1:3" x14ac:dyDescent="0.2">
      <c r="A4257" s="1">
        <v>39892</v>
      </c>
      <c r="B4257">
        <v>5.0599999999999996</v>
      </c>
      <c r="C4257" s="2">
        <f t="shared" si="66"/>
        <v>-8.0340626198064133E-2</v>
      </c>
    </row>
    <row r="4258" spans="1:3" x14ac:dyDescent="0.2">
      <c r="A4258" s="1">
        <v>39891</v>
      </c>
      <c r="B4258">
        <v>5.4832999999999998</v>
      </c>
      <c r="C4258" s="2">
        <f t="shared" si="66"/>
        <v>-0.12014500003778616</v>
      </c>
    </row>
    <row r="4259" spans="1:3" x14ac:dyDescent="0.2">
      <c r="A4259" s="1">
        <v>39890</v>
      </c>
      <c r="B4259">
        <v>6.1833</v>
      </c>
      <c r="C4259" s="2">
        <f t="shared" si="66"/>
        <v>5.5410448291459219E-2</v>
      </c>
    </row>
    <row r="4260" spans="1:3" x14ac:dyDescent="0.2">
      <c r="A4260" s="1">
        <v>39889</v>
      </c>
      <c r="B4260">
        <v>5.85</v>
      </c>
      <c r="C4260" s="2">
        <f t="shared" si="66"/>
        <v>4.5462374076757198E-2</v>
      </c>
    </row>
    <row r="4261" spans="1:3" x14ac:dyDescent="0.2">
      <c r="A4261" s="1">
        <v>39888</v>
      </c>
      <c r="B4261">
        <v>5.59</v>
      </c>
      <c r="C4261" s="2">
        <f t="shared" si="66"/>
        <v>7.7761308447278302E-3</v>
      </c>
    </row>
    <row r="4262" spans="1:3" x14ac:dyDescent="0.2">
      <c r="A4262" s="1">
        <v>39885</v>
      </c>
      <c r="B4262">
        <v>5.5467000000000004</v>
      </c>
      <c r="C4262" s="2">
        <f t="shared" si="66"/>
        <v>1.2086555630874121E-3</v>
      </c>
    </row>
    <row r="4263" spans="1:3" x14ac:dyDescent="0.2">
      <c r="A4263" s="1">
        <v>39884</v>
      </c>
      <c r="B4263">
        <v>5.54</v>
      </c>
      <c r="C4263" s="2">
        <f t="shared" si="66"/>
        <v>4.0521197405639399E-2</v>
      </c>
    </row>
    <row r="4264" spans="1:3" x14ac:dyDescent="0.2">
      <c r="A4264" s="1">
        <v>39883</v>
      </c>
      <c r="B4264">
        <v>5.32</v>
      </c>
      <c r="C4264" s="2">
        <f t="shared" si="66"/>
        <v>1.7693199568716948E-2</v>
      </c>
    </row>
    <row r="4265" spans="1:3" x14ac:dyDescent="0.2">
      <c r="A4265" s="1">
        <v>39882</v>
      </c>
      <c r="B4265">
        <v>5.2267000000000001</v>
      </c>
      <c r="C4265" s="2">
        <f t="shared" si="66"/>
        <v>6.8634883919780343E-2</v>
      </c>
    </row>
    <row r="4266" spans="1:3" x14ac:dyDescent="0.2">
      <c r="A4266" s="1">
        <v>39881</v>
      </c>
      <c r="B4266">
        <v>4.88</v>
      </c>
      <c r="C4266" s="2">
        <f t="shared" si="66"/>
        <v>1.098221552209391E-2</v>
      </c>
    </row>
    <row r="4267" spans="1:3" x14ac:dyDescent="0.2">
      <c r="A4267" s="1">
        <v>39878</v>
      </c>
      <c r="B4267">
        <v>4.8266999999999998</v>
      </c>
      <c r="C4267" s="2">
        <f t="shared" si="66"/>
        <v>-3.4614690195259042E-2</v>
      </c>
    </row>
    <row r="4268" spans="1:3" x14ac:dyDescent="0.2">
      <c r="A4268" s="1">
        <v>39877</v>
      </c>
      <c r="B4268">
        <v>4.9966999999999997</v>
      </c>
      <c r="C4268" s="2">
        <f t="shared" si="66"/>
        <v>-4.88216130028973E-2</v>
      </c>
    </row>
    <row r="4269" spans="1:3" x14ac:dyDescent="0.2">
      <c r="A4269" s="1">
        <v>39876</v>
      </c>
      <c r="B4269">
        <v>5.2466999999999997</v>
      </c>
      <c r="C4269" s="2">
        <f t="shared" si="66"/>
        <v>1.8602592865473264E-2</v>
      </c>
    </row>
    <row r="4270" spans="1:3" x14ac:dyDescent="0.2">
      <c r="A4270" s="1">
        <v>39875</v>
      </c>
      <c r="B4270">
        <v>5.15</v>
      </c>
      <c r="C4270" s="2">
        <f t="shared" si="66"/>
        <v>-1.3500687218902463E-2</v>
      </c>
    </row>
    <row r="4271" spans="1:3" x14ac:dyDescent="0.2">
      <c r="A4271" s="1">
        <v>39874</v>
      </c>
      <c r="B4271">
        <v>5.22</v>
      </c>
      <c r="C4271" s="2">
        <f t="shared" si="66"/>
        <v>-8.0926490320544331E-2</v>
      </c>
    </row>
    <row r="4272" spans="1:3" x14ac:dyDescent="0.2">
      <c r="A4272" s="1">
        <v>39871</v>
      </c>
      <c r="B4272">
        <v>5.66</v>
      </c>
      <c r="C4272" s="2">
        <f t="shared" si="66"/>
        <v>-1.5201884799560215E-2</v>
      </c>
    </row>
    <row r="4273" spans="1:3" x14ac:dyDescent="0.2">
      <c r="A4273" s="1">
        <v>39870</v>
      </c>
      <c r="B4273">
        <v>5.7466999999999997</v>
      </c>
      <c r="C4273" s="2">
        <f t="shared" si="66"/>
        <v>-2.5767095384204033E-2</v>
      </c>
    </row>
    <row r="4274" spans="1:3" x14ac:dyDescent="0.2">
      <c r="A4274" s="1">
        <v>39869</v>
      </c>
      <c r="B4274">
        <v>5.8967000000000001</v>
      </c>
      <c r="C4274" s="2">
        <f t="shared" si="66"/>
        <v>-1.2354055005654764E-2</v>
      </c>
    </row>
    <row r="4275" spans="1:3" x14ac:dyDescent="0.2">
      <c r="A4275" s="1">
        <v>39868</v>
      </c>
      <c r="B4275">
        <v>5.97</v>
      </c>
      <c r="C4275" s="2">
        <f t="shared" si="66"/>
        <v>3.3503086627054451E-2</v>
      </c>
    </row>
    <row r="4276" spans="1:3" x14ac:dyDescent="0.2">
      <c r="A4276" s="1">
        <v>39867</v>
      </c>
      <c r="B4276">
        <v>5.7732999999999999</v>
      </c>
      <c r="C4276" s="2">
        <f t="shared" si="66"/>
        <v>-5.2303471115867604E-2</v>
      </c>
    </row>
    <row r="4277" spans="1:3" x14ac:dyDescent="0.2">
      <c r="A4277" s="1">
        <v>39864</v>
      </c>
      <c r="B4277">
        <v>6.0833000000000004</v>
      </c>
      <c r="C4277" s="2">
        <f t="shared" si="66"/>
        <v>-4.027411543326178E-2</v>
      </c>
    </row>
    <row r="4278" spans="1:3" x14ac:dyDescent="0.2">
      <c r="A4278" s="1">
        <v>39863</v>
      </c>
      <c r="B4278">
        <v>6.3333000000000004</v>
      </c>
      <c r="C4278" s="2">
        <f t="shared" si="66"/>
        <v>-3.7194562173021681E-2</v>
      </c>
    </row>
    <row r="4279" spans="1:3" x14ac:dyDescent="0.2">
      <c r="A4279" s="1">
        <v>39862</v>
      </c>
      <c r="B4279">
        <v>6.5732999999999997</v>
      </c>
      <c r="C4279" s="2">
        <f t="shared" si="66"/>
        <v>-1.9583952954057283E-2</v>
      </c>
    </row>
    <row r="4280" spans="1:3" x14ac:dyDescent="0.2">
      <c r="A4280" s="1">
        <v>39861</v>
      </c>
      <c r="B4280">
        <v>6.7032999999999996</v>
      </c>
      <c r="C4280" s="2">
        <f t="shared" si="66"/>
        <v>-4.3310206601648735E-2</v>
      </c>
    </row>
    <row r="4281" spans="1:3" x14ac:dyDescent="0.2">
      <c r="A4281" s="1">
        <v>39857</v>
      </c>
      <c r="B4281">
        <v>7</v>
      </c>
      <c r="C4281" s="2">
        <f t="shared" si="66"/>
        <v>9.5742587200154747E-3</v>
      </c>
    </row>
    <row r="4282" spans="1:3" x14ac:dyDescent="0.2">
      <c r="A4282" s="1">
        <v>39856</v>
      </c>
      <c r="B4282">
        <v>6.9333</v>
      </c>
      <c r="C4282" s="2">
        <f t="shared" si="66"/>
        <v>-1.8109161169852783E-2</v>
      </c>
    </row>
    <row r="4283" spans="1:3" x14ac:dyDescent="0.2">
      <c r="A4283" s="1">
        <v>39855</v>
      </c>
      <c r="B4283">
        <v>7.06</v>
      </c>
      <c r="C4283" s="2">
        <f t="shared" si="66"/>
        <v>-4.7056250410215392E-3</v>
      </c>
    </row>
    <row r="4284" spans="1:3" x14ac:dyDescent="0.2">
      <c r="A4284" s="1">
        <v>39854</v>
      </c>
      <c r="B4284">
        <v>7.0933000000000002</v>
      </c>
      <c r="C4284" s="2">
        <f t="shared" si="66"/>
        <v>-4.5028380633116948E-2</v>
      </c>
    </row>
    <row r="4285" spans="1:3" x14ac:dyDescent="0.2">
      <c r="A4285" s="1">
        <v>39853</v>
      </c>
      <c r="B4285">
        <v>7.42</v>
      </c>
      <c r="C4285" s="2">
        <f t="shared" si="66"/>
        <v>-9.3897403498390316E-3</v>
      </c>
    </row>
    <row r="4286" spans="1:3" x14ac:dyDescent="0.2">
      <c r="A4286" s="1">
        <v>39850</v>
      </c>
      <c r="B4286">
        <v>7.49</v>
      </c>
      <c r="C4286" s="2">
        <f t="shared" si="66"/>
        <v>3.118896869242354E-2</v>
      </c>
    </row>
    <row r="4287" spans="1:3" x14ac:dyDescent="0.2">
      <c r="A4287" s="1">
        <v>39849</v>
      </c>
      <c r="B4287">
        <v>7.26</v>
      </c>
      <c r="C4287" s="2">
        <f t="shared" si="66"/>
        <v>1.8336360063227969E-3</v>
      </c>
    </row>
    <row r="4288" spans="1:3" x14ac:dyDescent="0.2">
      <c r="A4288" s="1">
        <v>39848</v>
      </c>
      <c r="B4288">
        <v>7.2466999999999997</v>
      </c>
      <c r="C4288" s="2">
        <f t="shared" si="66"/>
        <v>2.0451408783112225E-2</v>
      </c>
    </row>
    <row r="4289" spans="1:3" x14ac:dyDescent="0.2">
      <c r="A4289" s="1">
        <v>39847</v>
      </c>
      <c r="B4289">
        <v>7.1</v>
      </c>
      <c r="C4289" s="2">
        <f t="shared" si="66"/>
        <v>1.9915309700941516E-2</v>
      </c>
    </row>
    <row r="4290" spans="1:3" x14ac:dyDescent="0.2">
      <c r="A4290" s="1">
        <v>39846</v>
      </c>
      <c r="B4290">
        <v>6.96</v>
      </c>
      <c r="C4290" s="2">
        <f t="shared" si="66"/>
        <v>-1.8505866197707822E-2</v>
      </c>
    </row>
    <row r="4291" spans="1:3" x14ac:dyDescent="0.2">
      <c r="A4291" s="1">
        <v>39843</v>
      </c>
      <c r="B4291">
        <v>7.09</v>
      </c>
      <c r="C4291" s="2">
        <f t="shared" ref="C4291:C4313" si="67">+LN(B4291/B4292)</f>
        <v>-1.8626571650808804E-2</v>
      </c>
    </row>
    <row r="4292" spans="1:3" x14ac:dyDescent="0.2">
      <c r="A4292" s="1">
        <v>39842</v>
      </c>
      <c r="B4292">
        <v>7.2233000000000001</v>
      </c>
      <c r="C4292" s="2">
        <f t="shared" si="67"/>
        <v>-4.5122674762766456E-2</v>
      </c>
    </row>
    <row r="4293" spans="1:3" x14ac:dyDescent="0.2">
      <c r="A4293" s="1">
        <v>39841</v>
      </c>
      <c r="B4293">
        <v>7.5567000000000002</v>
      </c>
      <c r="C4293" s="2">
        <f t="shared" si="67"/>
        <v>2.2306851997500907E-2</v>
      </c>
    </row>
    <row r="4294" spans="1:3" x14ac:dyDescent="0.2">
      <c r="A4294" s="1">
        <v>39840</v>
      </c>
      <c r="B4294">
        <v>7.39</v>
      </c>
      <c r="C4294" s="2">
        <f t="shared" si="67"/>
        <v>-4.0513222191786895E-3</v>
      </c>
    </row>
    <row r="4295" spans="1:3" x14ac:dyDescent="0.2">
      <c r="A4295" s="1">
        <v>39839</v>
      </c>
      <c r="B4295">
        <v>7.42</v>
      </c>
      <c r="C4295" s="2">
        <f t="shared" si="67"/>
        <v>2.1344786162529918E-2</v>
      </c>
    </row>
    <row r="4296" spans="1:3" x14ac:dyDescent="0.2">
      <c r="A4296" s="1">
        <v>39836</v>
      </c>
      <c r="B4296">
        <v>7.2633000000000001</v>
      </c>
      <c r="C4296" s="2">
        <f t="shared" si="67"/>
        <v>-1.729346394335118E-2</v>
      </c>
    </row>
    <row r="4297" spans="1:3" x14ac:dyDescent="0.2">
      <c r="A4297" s="1">
        <v>39835</v>
      </c>
      <c r="B4297">
        <v>7.39</v>
      </c>
      <c r="C4297" s="2">
        <f t="shared" si="67"/>
        <v>-4.2390452615127791E-2</v>
      </c>
    </row>
    <row r="4298" spans="1:3" x14ac:dyDescent="0.2">
      <c r="A4298" s="1">
        <v>39834</v>
      </c>
      <c r="B4298">
        <v>7.71</v>
      </c>
      <c r="C4298" s="2">
        <f t="shared" si="67"/>
        <v>3.8783973259175854E-2</v>
      </c>
    </row>
    <row r="4299" spans="1:3" x14ac:dyDescent="0.2">
      <c r="A4299" s="1">
        <v>39833</v>
      </c>
      <c r="B4299">
        <v>7.4166999999999996</v>
      </c>
      <c r="C4299" s="2">
        <f t="shared" si="67"/>
        <v>-6.5240238013929808E-2</v>
      </c>
    </row>
    <row r="4300" spans="1:3" x14ac:dyDescent="0.2">
      <c r="A4300" s="1">
        <v>39829</v>
      </c>
      <c r="B4300">
        <v>7.9166999999999996</v>
      </c>
      <c r="C4300" s="2">
        <f t="shared" si="67"/>
        <v>2.6028340763084364E-2</v>
      </c>
    </row>
    <row r="4301" spans="1:3" x14ac:dyDescent="0.2">
      <c r="A4301" s="1">
        <v>39828</v>
      </c>
      <c r="B4301">
        <v>7.7133000000000003</v>
      </c>
      <c r="C4301" s="2">
        <f t="shared" si="67"/>
        <v>2.8483187853047025E-2</v>
      </c>
    </row>
    <row r="4302" spans="1:3" x14ac:dyDescent="0.2">
      <c r="A4302" s="1">
        <v>39827</v>
      </c>
      <c r="B4302">
        <v>7.4966999999999997</v>
      </c>
      <c r="C4302" s="2">
        <f t="shared" si="67"/>
        <v>-2.3726843603593159E-2</v>
      </c>
    </row>
    <row r="4303" spans="1:3" x14ac:dyDescent="0.2">
      <c r="A4303" s="1">
        <v>39826</v>
      </c>
      <c r="B4303">
        <v>7.6767000000000003</v>
      </c>
      <c r="C4303" s="2">
        <f t="shared" si="67"/>
        <v>-9.9287918695738706E-3</v>
      </c>
    </row>
    <row r="4304" spans="1:3" x14ac:dyDescent="0.2">
      <c r="A4304" s="1">
        <v>39825</v>
      </c>
      <c r="B4304">
        <v>7.7533000000000003</v>
      </c>
      <c r="C4304" s="2">
        <f t="shared" si="67"/>
        <v>-4.044376144212742E-2</v>
      </c>
    </row>
    <row r="4305" spans="1:3" x14ac:dyDescent="0.2">
      <c r="A4305" s="1">
        <v>39822</v>
      </c>
      <c r="B4305">
        <v>8.0732999999999997</v>
      </c>
      <c r="C4305" s="2">
        <f t="shared" si="67"/>
        <v>-2.8897288238201781E-2</v>
      </c>
    </row>
    <row r="4306" spans="1:3" x14ac:dyDescent="0.2">
      <c r="A4306" s="1">
        <v>39821</v>
      </c>
      <c r="B4306">
        <v>8.31</v>
      </c>
      <c r="C4306" s="2">
        <f t="shared" si="67"/>
        <v>1.6586864779198154E-2</v>
      </c>
    </row>
    <row r="4307" spans="1:3" x14ac:dyDescent="0.2">
      <c r="A4307" s="1">
        <v>39820</v>
      </c>
      <c r="B4307">
        <v>8.1732999999999993</v>
      </c>
      <c r="C4307" s="2">
        <f t="shared" si="67"/>
        <v>-5.784197848618499E-2</v>
      </c>
    </row>
    <row r="4308" spans="1:3" x14ac:dyDescent="0.2">
      <c r="A4308" s="1">
        <v>39819</v>
      </c>
      <c r="B4308">
        <v>8.66</v>
      </c>
      <c r="C4308" s="2">
        <f t="shared" si="67"/>
        <v>3.765150620368838E-2</v>
      </c>
    </row>
    <row r="4309" spans="1:3" x14ac:dyDescent="0.2">
      <c r="A4309" s="1">
        <v>39818</v>
      </c>
      <c r="B4309">
        <v>8.34</v>
      </c>
      <c r="C4309" s="2">
        <f t="shared" si="67"/>
        <v>6.8217766490934742E-3</v>
      </c>
    </row>
    <row r="4310" spans="1:3" x14ac:dyDescent="0.2">
      <c r="A4310" s="1">
        <v>39815</v>
      </c>
      <c r="B4310">
        <v>8.2833000000000006</v>
      </c>
      <c r="C4310" s="2">
        <f t="shared" si="67"/>
        <v>4.611365794199946E-2</v>
      </c>
    </row>
    <row r="4311" spans="1:3" x14ac:dyDescent="0.2">
      <c r="A4311" s="1">
        <v>39813</v>
      </c>
      <c r="B4311">
        <v>7.91</v>
      </c>
      <c r="C4311" s="2">
        <f t="shared" si="67"/>
        <v>2.4740970270331199E-2</v>
      </c>
    </row>
    <row r="4312" spans="1:3" x14ac:dyDescent="0.2">
      <c r="A4312" s="1">
        <v>39812</v>
      </c>
      <c r="B4312">
        <v>7.7167000000000003</v>
      </c>
      <c r="C4312" s="2">
        <f t="shared" si="67"/>
        <v>3.9652597193169159E-2</v>
      </c>
    </row>
    <row r="4313" spans="1:3" x14ac:dyDescent="0.2">
      <c r="A4313" s="1">
        <v>39811</v>
      </c>
      <c r="B4313">
        <v>7.4166999999999996</v>
      </c>
      <c r="C4313" s="2">
        <f t="shared" si="67"/>
        <v>-8.4985776703236544E-3</v>
      </c>
    </row>
    <row r="4314" spans="1:3" x14ac:dyDescent="0.2">
      <c r="A4314" s="1">
        <v>39808</v>
      </c>
      <c r="B4314">
        <v>7.48</v>
      </c>
    </row>
  </sheetData>
  <autoFilter ref="A1:C4811" xr:uid="{A1754276-8331-3D45-804C-4D93B3B4DDE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45C3-25E1-A848-98B3-E16A241AAE4A}">
  <dimension ref="A1:J64"/>
  <sheetViews>
    <sheetView workbookViewId="0">
      <selection activeCell="B2" sqref="B2:B9"/>
    </sheetView>
  </sheetViews>
  <sheetFormatPr baseColWidth="10" defaultRowHeight="15" x14ac:dyDescent="0.2"/>
  <sheetData>
    <row r="1" spans="1:10" x14ac:dyDescent="0.2">
      <c r="A1" s="13" t="s">
        <v>12</v>
      </c>
      <c r="B1" s="12" t="s">
        <v>11</v>
      </c>
      <c r="C1" s="11" t="s">
        <v>10</v>
      </c>
      <c r="D1" s="12" t="s">
        <v>9</v>
      </c>
      <c r="E1" s="12" t="s">
        <v>8</v>
      </c>
      <c r="F1" s="11" t="s">
        <v>7</v>
      </c>
      <c r="G1" s="12" t="s">
        <v>6</v>
      </c>
      <c r="H1" s="11" t="s">
        <v>5</v>
      </c>
      <c r="I1" t="s">
        <v>2</v>
      </c>
      <c r="J1" t="s">
        <v>3</v>
      </c>
    </row>
    <row r="2" spans="1:10" x14ac:dyDescent="0.2">
      <c r="A2" s="1">
        <v>45926</v>
      </c>
      <c r="B2">
        <v>543.35799999999995</v>
      </c>
      <c r="C2" s="9">
        <f t="shared" ref="C2:C33" si="0">+LN(B2/B3)</f>
        <v>-5.1031370137380613E-2</v>
      </c>
      <c r="D2">
        <v>289.22500000000002</v>
      </c>
      <c r="E2">
        <f t="shared" ref="E2:E33" si="1">+B2-D2</f>
        <v>254.13299999999992</v>
      </c>
      <c r="F2" s="9">
        <f t="shared" ref="F2:F33" si="2">+E2/B2</f>
        <v>0.46770821447369865</v>
      </c>
      <c r="G2">
        <v>188.62100000000001</v>
      </c>
      <c r="H2" s="8">
        <f t="shared" ref="H2:H33" si="3">+B2-E2-G2</f>
        <v>100.60400000000001</v>
      </c>
      <c r="I2">
        <v>-555.48500000000001</v>
      </c>
      <c r="J2">
        <v>14035954688</v>
      </c>
    </row>
    <row r="3" spans="1:10" x14ac:dyDescent="0.2">
      <c r="A3" s="1">
        <v>45835</v>
      </c>
      <c r="B3">
        <v>571.80600000000004</v>
      </c>
      <c r="C3" s="9">
        <f t="shared" si="0"/>
        <v>7.9165755123395881E-2</v>
      </c>
      <c r="D3">
        <v>299.52999999999997</v>
      </c>
      <c r="E3">
        <f t="shared" si="1"/>
        <v>272.27600000000007</v>
      </c>
      <c r="F3" s="9">
        <f t="shared" si="2"/>
        <v>0.47616849071188488</v>
      </c>
      <c r="G3">
        <v>184.62</v>
      </c>
      <c r="H3" s="8">
        <f t="shared" si="3"/>
        <v>114.90999999999997</v>
      </c>
      <c r="I3">
        <v>-467.774</v>
      </c>
      <c r="J3">
        <v>14398494720</v>
      </c>
    </row>
    <row r="4" spans="1:10" x14ac:dyDescent="0.2">
      <c r="A4" s="1">
        <v>45744</v>
      </c>
      <c r="B4">
        <v>528.28399999999999</v>
      </c>
      <c r="C4" s="9">
        <f t="shared" si="0"/>
        <v>-3.7866795167094805E-2</v>
      </c>
      <c r="D4">
        <v>277.733</v>
      </c>
      <c r="E4">
        <f t="shared" si="1"/>
        <v>250.55099999999999</v>
      </c>
      <c r="F4" s="9">
        <f t="shared" si="2"/>
        <v>0.47427330753912667</v>
      </c>
      <c r="G4">
        <v>168.721</v>
      </c>
      <c r="H4" s="8">
        <f t="shared" si="3"/>
        <v>109.012</v>
      </c>
      <c r="I4">
        <v>-471.154</v>
      </c>
      <c r="J4">
        <v>14025940992</v>
      </c>
    </row>
    <row r="5" spans="1:10" x14ac:dyDescent="0.2">
      <c r="A5" s="1">
        <v>45653</v>
      </c>
      <c r="B5">
        <v>548.67200000000003</v>
      </c>
      <c r="C5" s="9">
        <f t="shared" si="0"/>
        <v>5.5188535452760222E-2</v>
      </c>
      <c r="D5">
        <v>279.27999999999997</v>
      </c>
      <c r="E5">
        <f t="shared" si="1"/>
        <v>269.39200000000005</v>
      </c>
      <c r="F5" s="9">
        <f t="shared" si="2"/>
        <v>0.49098915198880211</v>
      </c>
      <c r="G5">
        <v>154.714</v>
      </c>
      <c r="H5" s="8">
        <f t="shared" si="3"/>
        <v>124.56599999999997</v>
      </c>
      <c r="I5">
        <v>-611.678</v>
      </c>
      <c r="J5">
        <v>14207003648</v>
      </c>
    </row>
    <row r="6" spans="1:10" x14ac:dyDescent="0.2">
      <c r="A6" s="1">
        <v>45562</v>
      </c>
      <c r="B6">
        <v>519.21199999999999</v>
      </c>
      <c r="C6" s="9">
        <f t="shared" si="0"/>
        <v>-6.3485048739677155E-2</v>
      </c>
      <c r="D6">
        <v>276.13</v>
      </c>
      <c r="E6">
        <f t="shared" si="1"/>
        <v>243.08199999999999</v>
      </c>
      <c r="F6" s="9">
        <f t="shared" si="2"/>
        <v>0.46817484957974775</v>
      </c>
      <c r="G6">
        <v>168.452</v>
      </c>
      <c r="H6" s="8">
        <f t="shared" si="3"/>
        <v>107.678</v>
      </c>
      <c r="I6">
        <v>-717.69200000000001</v>
      </c>
      <c r="J6">
        <v>14805143552</v>
      </c>
    </row>
    <row r="7" spans="1:10" x14ac:dyDescent="0.2">
      <c r="A7" s="1">
        <v>45471</v>
      </c>
      <c r="B7">
        <v>553.24300000000005</v>
      </c>
      <c r="C7" s="9">
        <f t="shared" si="0"/>
        <v>0.11693453727475141</v>
      </c>
      <c r="D7">
        <v>300.85399999999998</v>
      </c>
      <c r="E7">
        <f t="shared" si="1"/>
        <v>252.38900000000007</v>
      </c>
      <c r="F7" s="9">
        <f t="shared" si="2"/>
        <v>0.45619917468454196</v>
      </c>
      <c r="G7">
        <v>181.16800000000001</v>
      </c>
      <c r="H7" s="8">
        <f t="shared" si="3"/>
        <v>119.68599999999998</v>
      </c>
      <c r="I7">
        <v>-618.96799999999996</v>
      </c>
      <c r="J7">
        <v>13409092608</v>
      </c>
    </row>
    <row r="8" spans="1:10" x14ac:dyDescent="0.2">
      <c r="A8" s="1">
        <v>45380</v>
      </c>
      <c r="B8">
        <v>492.18900000000002</v>
      </c>
      <c r="C8" s="9">
        <f t="shared" si="0"/>
        <v>-0.14086668672968955</v>
      </c>
      <c r="D8">
        <v>266.197</v>
      </c>
      <c r="E8">
        <f t="shared" si="1"/>
        <v>225.99200000000002</v>
      </c>
      <c r="F8" s="9">
        <f t="shared" si="2"/>
        <v>0.45915694987088296</v>
      </c>
      <c r="G8">
        <v>152.512</v>
      </c>
      <c r="H8" s="8">
        <f t="shared" si="3"/>
        <v>113.685</v>
      </c>
      <c r="I8">
        <v>-575.77099999999996</v>
      </c>
    </row>
    <row r="9" spans="1:10" x14ac:dyDescent="0.2">
      <c r="A9" s="1">
        <v>45289</v>
      </c>
      <c r="B9">
        <v>566.64300000000003</v>
      </c>
      <c r="C9" s="9">
        <f t="shared" si="0"/>
        <v>4.8767928193846163E-2</v>
      </c>
      <c r="D9">
        <v>299.94200000000001</v>
      </c>
      <c r="E9">
        <f t="shared" si="1"/>
        <v>266.70100000000002</v>
      </c>
      <c r="F9" s="9">
        <f t="shared" si="2"/>
        <v>0.47066848086008301</v>
      </c>
      <c r="G9">
        <v>190.07599999999999</v>
      </c>
      <c r="H9" s="8">
        <f t="shared" si="3"/>
        <v>109.86600000000001</v>
      </c>
      <c r="I9">
        <v>-487.88799999999998</v>
      </c>
      <c r="J9">
        <v>14644054016</v>
      </c>
    </row>
    <row r="10" spans="1:10" x14ac:dyDescent="0.2">
      <c r="A10" s="1">
        <v>45198</v>
      </c>
      <c r="B10">
        <v>539.67200000000003</v>
      </c>
      <c r="C10" s="9">
        <f t="shared" si="0"/>
        <v>-3.633931968717595E-2</v>
      </c>
      <c r="D10">
        <v>284.524</v>
      </c>
      <c r="E10">
        <f t="shared" si="1"/>
        <v>255.14800000000002</v>
      </c>
      <c r="F10" s="9">
        <f t="shared" si="2"/>
        <v>0.47278346847714908</v>
      </c>
      <c r="G10">
        <v>181.251</v>
      </c>
      <c r="H10" s="8">
        <f t="shared" si="3"/>
        <v>103.273</v>
      </c>
      <c r="I10">
        <v>-468.858</v>
      </c>
      <c r="J10">
        <v>12316193792</v>
      </c>
    </row>
    <row r="11" spans="1:10" x14ac:dyDescent="0.2">
      <c r="A11" s="1">
        <v>45107</v>
      </c>
      <c r="B11">
        <v>559.64400000000001</v>
      </c>
      <c r="C11" s="9">
        <f t="shared" si="0"/>
        <v>5.509200843457307E-2</v>
      </c>
      <c r="D11">
        <v>291.41500000000002</v>
      </c>
      <c r="E11">
        <f t="shared" si="1"/>
        <v>268.22899999999998</v>
      </c>
      <c r="F11" s="9">
        <f t="shared" si="2"/>
        <v>0.47928504549320639</v>
      </c>
      <c r="G11">
        <v>175.18199999999999</v>
      </c>
      <c r="H11" s="8">
        <f t="shared" si="3"/>
        <v>116.23300000000003</v>
      </c>
      <c r="I11">
        <v>-367.065</v>
      </c>
      <c r="J11">
        <v>14536186880</v>
      </c>
    </row>
    <row r="12" spans="1:10" x14ac:dyDescent="0.2">
      <c r="A12" s="1">
        <v>45016</v>
      </c>
      <c r="B12">
        <v>529.64599999999996</v>
      </c>
      <c r="C12" s="9">
        <f t="shared" si="0"/>
        <v>-4.6840332683719885E-2</v>
      </c>
      <c r="D12">
        <v>285.14</v>
      </c>
      <c r="E12">
        <f t="shared" si="1"/>
        <v>244.50599999999997</v>
      </c>
      <c r="F12" s="9">
        <f t="shared" si="2"/>
        <v>0.4616404164290866</v>
      </c>
      <c r="G12">
        <v>174.655</v>
      </c>
      <c r="H12" s="8">
        <f t="shared" si="3"/>
        <v>110.48499999999999</v>
      </c>
      <c r="I12">
        <v>-247.56800000000001</v>
      </c>
      <c r="J12">
        <v>12265290752</v>
      </c>
    </row>
    <row r="13" spans="1:10" x14ac:dyDescent="0.2">
      <c r="A13" s="1">
        <v>44925</v>
      </c>
      <c r="B13">
        <v>555.04499999999996</v>
      </c>
      <c r="C13" s="9">
        <f t="shared" si="0"/>
        <v>1.7082443101725801E-2</v>
      </c>
      <c r="D13">
        <v>272.81599999999997</v>
      </c>
      <c r="E13">
        <f t="shared" si="1"/>
        <v>282.22899999999998</v>
      </c>
      <c r="F13" s="9">
        <f t="shared" si="2"/>
        <v>0.50847949265374881</v>
      </c>
      <c r="G13">
        <v>170.28200000000001</v>
      </c>
      <c r="H13" s="8">
        <f t="shared" si="3"/>
        <v>102.53399999999996</v>
      </c>
      <c r="I13">
        <v>-212.61</v>
      </c>
      <c r="J13">
        <v>11335261184</v>
      </c>
    </row>
    <row r="14" spans="1:10" x14ac:dyDescent="0.2">
      <c r="A14" s="1">
        <v>44834</v>
      </c>
      <c r="B14">
        <v>545.64400000000001</v>
      </c>
      <c r="C14" s="9">
        <f t="shared" si="0"/>
        <v>-5.3062158460172376E-3</v>
      </c>
      <c r="D14">
        <v>261.08800000000002</v>
      </c>
      <c r="E14">
        <f t="shared" si="1"/>
        <v>284.55599999999998</v>
      </c>
      <c r="F14" s="9">
        <f t="shared" si="2"/>
        <v>0.52150486397724516</v>
      </c>
      <c r="G14">
        <v>159.91900000000001</v>
      </c>
      <c r="H14" s="8">
        <f t="shared" si="3"/>
        <v>101.16900000000001</v>
      </c>
      <c r="I14">
        <v>-265.83499999999998</v>
      </c>
      <c r="J14">
        <v>10138477568</v>
      </c>
    </row>
    <row r="15" spans="1:10" x14ac:dyDescent="0.2">
      <c r="A15" s="1">
        <v>44743</v>
      </c>
      <c r="B15">
        <v>548.54700000000003</v>
      </c>
      <c r="C15" s="9">
        <f t="shared" si="0"/>
        <v>0.10416069037620646</v>
      </c>
      <c r="D15">
        <v>269.06</v>
      </c>
      <c r="E15">
        <f t="shared" si="1"/>
        <v>279.48700000000002</v>
      </c>
      <c r="F15" s="9">
        <f t="shared" si="2"/>
        <v>0.50950419927554069</v>
      </c>
      <c r="G15">
        <v>164.56299999999999</v>
      </c>
      <c r="H15" s="8">
        <f t="shared" si="3"/>
        <v>104.49700000000001</v>
      </c>
      <c r="I15">
        <v>-250.34100000000001</v>
      </c>
      <c r="J15">
        <v>10068997120</v>
      </c>
    </row>
    <row r="16" spans="1:10" x14ac:dyDescent="0.2">
      <c r="A16" s="1">
        <v>44652</v>
      </c>
      <c r="B16">
        <v>494.28500000000003</v>
      </c>
      <c r="C16" s="9">
        <f t="shared" si="0"/>
        <v>-8.7751061072597017E-2</v>
      </c>
      <c r="D16">
        <v>254.47499999999999</v>
      </c>
      <c r="E16">
        <f t="shared" si="1"/>
        <v>239.81000000000003</v>
      </c>
      <c r="F16" s="9">
        <f t="shared" si="2"/>
        <v>0.48516544099052172</v>
      </c>
      <c r="G16">
        <v>143.93299999999999</v>
      </c>
      <c r="H16" s="8">
        <f t="shared" si="3"/>
        <v>110.542</v>
      </c>
      <c r="I16">
        <v>-231.66900000000001</v>
      </c>
      <c r="J16">
        <v>11979243520</v>
      </c>
    </row>
    <row r="17" spans="1:10" x14ac:dyDescent="0.2">
      <c r="A17" s="1">
        <v>44561</v>
      </c>
      <c r="B17">
        <v>539.61900000000003</v>
      </c>
      <c r="C17" s="9">
        <f t="shared" si="0"/>
        <v>0.10322363679083209</v>
      </c>
      <c r="D17">
        <v>274.55700000000002</v>
      </c>
      <c r="E17">
        <f t="shared" si="1"/>
        <v>265.06200000000001</v>
      </c>
      <c r="F17" s="9">
        <f t="shared" si="2"/>
        <v>0.49120212594441631</v>
      </c>
      <c r="G17">
        <v>159.07400000000001</v>
      </c>
      <c r="H17" s="8">
        <f t="shared" si="3"/>
        <v>115.483</v>
      </c>
      <c r="I17">
        <v>-398.19</v>
      </c>
      <c r="J17">
        <v>13702624256</v>
      </c>
    </row>
    <row r="18" spans="1:10" x14ac:dyDescent="0.2">
      <c r="A18" s="1">
        <v>44463</v>
      </c>
      <c r="B18">
        <v>486.69600000000003</v>
      </c>
      <c r="C18" s="9">
        <f t="shared" si="0"/>
        <v>-4.1194724495511155E-2</v>
      </c>
      <c r="D18">
        <v>248.23400000000001</v>
      </c>
      <c r="E18">
        <f t="shared" si="1"/>
        <v>238.46200000000002</v>
      </c>
      <c r="F18" s="9">
        <f t="shared" si="2"/>
        <v>0.48996087907030261</v>
      </c>
      <c r="G18">
        <v>139.63300000000001</v>
      </c>
      <c r="H18" s="8">
        <f t="shared" si="3"/>
        <v>108.601</v>
      </c>
      <c r="I18">
        <v>-363.70699999999999</v>
      </c>
      <c r="J18">
        <v>12474310656</v>
      </c>
    </row>
    <row r="19" spans="1:10" x14ac:dyDescent="0.2">
      <c r="A19" s="1">
        <v>44372</v>
      </c>
      <c r="B19">
        <v>507.16399999999999</v>
      </c>
      <c r="C19" s="9">
        <f t="shared" si="0"/>
        <v>0.11045312403587246</v>
      </c>
      <c r="D19">
        <v>263.82400000000001</v>
      </c>
      <c r="E19">
        <f t="shared" si="1"/>
        <v>243.33999999999997</v>
      </c>
      <c r="F19" s="9">
        <f t="shared" si="2"/>
        <v>0.47980534896009963</v>
      </c>
      <c r="G19">
        <v>149.13999999999999</v>
      </c>
      <c r="H19" s="8">
        <f t="shared" si="3"/>
        <v>114.68400000000003</v>
      </c>
      <c r="I19">
        <v>-278.25799999999998</v>
      </c>
      <c r="J19">
        <v>12704241664</v>
      </c>
    </row>
    <row r="20" spans="1:10" x14ac:dyDescent="0.2">
      <c r="A20" s="1">
        <v>44281</v>
      </c>
      <c r="B20">
        <v>454.12900000000002</v>
      </c>
      <c r="C20" s="9">
        <f t="shared" si="0"/>
        <v>-3.5074538778574707E-2</v>
      </c>
      <c r="D20">
        <v>247.334</v>
      </c>
      <c r="E20">
        <f t="shared" si="1"/>
        <v>206.79500000000002</v>
      </c>
      <c r="F20" s="9">
        <f t="shared" si="2"/>
        <v>0.4553662065184122</v>
      </c>
      <c r="G20">
        <v>142.80099999999999</v>
      </c>
      <c r="H20" s="8">
        <f t="shared" si="3"/>
        <v>104.53300000000002</v>
      </c>
      <c r="I20">
        <v>-239.58199999999999</v>
      </c>
      <c r="J20">
        <v>12152790016</v>
      </c>
    </row>
    <row r="21" spans="1:10" x14ac:dyDescent="0.2">
      <c r="A21" s="1">
        <v>44190</v>
      </c>
      <c r="B21">
        <v>470.34</v>
      </c>
      <c r="C21" s="9">
        <f t="shared" si="0"/>
        <v>6.8236865530415469E-2</v>
      </c>
      <c r="D21">
        <v>244.82400000000001</v>
      </c>
      <c r="E21">
        <f t="shared" si="1"/>
        <v>225.51599999999996</v>
      </c>
      <c r="F21" s="9">
        <f t="shared" si="2"/>
        <v>0.47947442275800478</v>
      </c>
      <c r="G21">
        <v>146.74299999999999</v>
      </c>
      <c r="H21" s="8">
        <f t="shared" si="3"/>
        <v>98.081000000000017</v>
      </c>
      <c r="I21">
        <v>-166.32400000000001</v>
      </c>
    </row>
    <row r="22" spans="1:10" x14ac:dyDescent="0.2">
      <c r="A22" s="1">
        <v>44099</v>
      </c>
      <c r="B22">
        <v>439.31599999999997</v>
      </c>
      <c r="C22" s="9">
        <f t="shared" si="0"/>
        <v>0.18015144508110179</v>
      </c>
      <c r="D22">
        <v>228.953</v>
      </c>
      <c r="E22">
        <f t="shared" si="1"/>
        <v>210.36299999999997</v>
      </c>
      <c r="F22" s="9">
        <f t="shared" si="2"/>
        <v>0.47884210909686875</v>
      </c>
      <c r="G22">
        <v>138.75299999999999</v>
      </c>
      <c r="H22" s="8">
        <f t="shared" si="3"/>
        <v>90.200000000000017</v>
      </c>
      <c r="I22">
        <v>-75.204999999999998</v>
      </c>
      <c r="J22">
        <v>10087660544</v>
      </c>
    </row>
    <row r="23" spans="1:10" x14ac:dyDescent="0.2">
      <c r="A23" s="1">
        <v>44008</v>
      </c>
      <c r="B23">
        <v>366.892</v>
      </c>
      <c r="C23" s="9">
        <f t="shared" si="0"/>
        <v>-1.802984587176178E-2</v>
      </c>
      <c r="D23">
        <v>182.529</v>
      </c>
      <c r="E23">
        <f t="shared" si="1"/>
        <v>184.363</v>
      </c>
      <c r="F23" s="9">
        <f t="shared" si="2"/>
        <v>0.50249937311252357</v>
      </c>
      <c r="G23">
        <v>58.677</v>
      </c>
      <c r="H23" s="8">
        <f t="shared" si="3"/>
        <v>123.852</v>
      </c>
      <c r="I23">
        <v>18.571000000000002</v>
      </c>
      <c r="J23">
        <v>7801788928</v>
      </c>
    </row>
    <row r="24" spans="1:10" x14ac:dyDescent="0.2">
      <c r="A24" s="1">
        <v>43917</v>
      </c>
      <c r="B24">
        <v>373.56700000000001</v>
      </c>
      <c r="C24" s="9">
        <f t="shared" si="0"/>
        <v>-9.8634463488599319E-2</v>
      </c>
      <c r="D24">
        <v>198.631</v>
      </c>
      <c r="E24">
        <f t="shared" si="1"/>
        <v>174.93600000000001</v>
      </c>
      <c r="F24" s="9">
        <f t="shared" si="2"/>
        <v>0.4682854748947311</v>
      </c>
      <c r="G24">
        <v>102.874</v>
      </c>
      <c r="H24" s="8">
        <f t="shared" si="3"/>
        <v>95.757000000000005</v>
      </c>
      <c r="I24">
        <v>21.411999999999999</v>
      </c>
      <c r="J24">
        <v>7664221184</v>
      </c>
    </row>
    <row r="25" spans="1:10" x14ac:dyDescent="0.2">
      <c r="A25" s="1">
        <v>43826</v>
      </c>
      <c r="B25">
        <v>412.29199999999997</v>
      </c>
      <c r="C25" s="9">
        <f t="shared" si="0"/>
        <v>2.8880750758213333E-2</v>
      </c>
      <c r="D25">
        <v>209.381</v>
      </c>
      <c r="E25">
        <f t="shared" si="1"/>
        <v>202.91099999999997</v>
      </c>
      <c r="F25" s="9">
        <f t="shared" si="2"/>
        <v>0.49215361927953971</v>
      </c>
      <c r="G25">
        <v>119.57899999999999</v>
      </c>
      <c r="H25" s="8">
        <f t="shared" si="3"/>
        <v>89.802000000000007</v>
      </c>
      <c r="I25">
        <v>-17.077000000000002</v>
      </c>
      <c r="J25">
        <v>8702580736</v>
      </c>
    </row>
    <row r="26" spans="1:10" x14ac:dyDescent="0.2">
      <c r="A26" s="1">
        <v>43735</v>
      </c>
      <c r="B26">
        <v>400.55500000000001</v>
      </c>
      <c r="C26" s="9">
        <f t="shared" si="0"/>
        <v>-6.703817180250761E-2</v>
      </c>
      <c r="D26">
        <v>207.37899999999999</v>
      </c>
      <c r="E26">
        <f t="shared" si="1"/>
        <v>193.17600000000002</v>
      </c>
      <c r="F26" s="9">
        <f t="shared" si="2"/>
        <v>0.48227084919673957</v>
      </c>
      <c r="G26">
        <v>118.51300000000001</v>
      </c>
      <c r="H26" s="8">
        <f t="shared" si="3"/>
        <v>88.865999999999985</v>
      </c>
      <c r="I26">
        <v>52.209000000000003</v>
      </c>
      <c r="J26">
        <v>7626324480</v>
      </c>
    </row>
    <row r="27" spans="1:10" x14ac:dyDescent="0.2">
      <c r="A27" s="1">
        <v>43644</v>
      </c>
      <c r="B27">
        <v>428.32799999999997</v>
      </c>
      <c r="C27" s="9">
        <f t="shared" si="0"/>
        <v>5.6323229297169604E-2</v>
      </c>
      <c r="D27">
        <v>226.95400000000001</v>
      </c>
      <c r="E27">
        <f t="shared" si="1"/>
        <v>201.37399999999997</v>
      </c>
      <c r="F27" s="9">
        <f t="shared" si="2"/>
        <v>0.4701397060196858</v>
      </c>
      <c r="G27">
        <v>127.435</v>
      </c>
      <c r="H27" s="8">
        <f t="shared" si="3"/>
        <v>99.519000000000005</v>
      </c>
      <c r="I27">
        <v>114.63200000000001</v>
      </c>
      <c r="J27">
        <v>8355885056</v>
      </c>
    </row>
    <row r="28" spans="1:10" x14ac:dyDescent="0.2">
      <c r="A28" s="1">
        <v>43553</v>
      </c>
      <c r="B28">
        <v>404.87</v>
      </c>
      <c r="C28" s="9">
        <f t="shared" si="0"/>
        <v>-3.8653679054050389E-3</v>
      </c>
      <c r="D28">
        <v>216.042</v>
      </c>
      <c r="E28">
        <f t="shared" si="1"/>
        <v>188.828</v>
      </c>
      <c r="F28" s="9">
        <f t="shared" si="2"/>
        <v>0.46639168128041097</v>
      </c>
      <c r="G28">
        <v>119.34</v>
      </c>
      <c r="H28" s="8">
        <f t="shared" si="3"/>
        <v>96.701999999999998</v>
      </c>
      <c r="I28">
        <v>172.26900000000001</v>
      </c>
      <c r="J28">
        <v>8196068864</v>
      </c>
    </row>
    <row r="29" spans="1:10" x14ac:dyDescent="0.2">
      <c r="A29" s="1">
        <v>43462</v>
      </c>
      <c r="B29">
        <v>406.43799999999999</v>
      </c>
      <c r="C29" s="9">
        <f t="shared" si="0"/>
        <v>-2.3100006441824316E-2</v>
      </c>
      <c r="D29">
        <v>208.756</v>
      </c>
      <c r="E29">
        <f t="shared" si="1"/>
        <v>197.68199999999999</v>
      </c>
      <c r="F29" s="9">
        <f t="shared" si="2"/>
        <v>0.48637676595200252</v>
      </c>
      <c r="G29">
        <v>108.758</v>
      </c>
      <c r="H29" s="8">
        <f t="shared" si="3"/>
        <v>99.998000000000005</v>
      </c>
      <c r="I29">
        <v>145.35599999999999</v>
      </c>
      <c r="J29">
        <v>6843889664</v>
      </c>
    </row>
    <row r="30" spans="1:10" x14ac:dyDescent="0.2">
      <c r="A30" s="1">
        <v>43371</v>
      </c>
      <c r="B30">
        <v>415.93599999999998</v>
      </c>
      <c r="C30" s="9">
        <f t="shared" si="0"/>
        <v>-2.0545489767241566E-2</v>
      </c>
      <c r="D30">
        <v>221.459</v>
      </c>
      <c r="E30">
        <f t="shared" si="1"/>
        <v>194.47699999999998</v>
      </c>
      <c r="F30" s="9">
        <f t="shared" si="2"/>
        <v>0.46756472149561468</v>
      </c>
      <c r="G30">
        <v>126.59399999999999</v>
      </c>
      <c r="H30" s="8">
        <f t="shared" si="3"/>
        <v>94.865000000000009</v>
      </c>
      <c r="I30">
        <v>132.79499999999999</v>
      </c>
      <c r="J30">
        <v>7745731072</v>
      </c>
    </row>
    <row r="31" spans="1:10" x14ac:dyDescent="0.2">
      <c r="A31" s="1">
        <v>43280</v>
      </c>
      <c r="B31">
        <v>424.57</v>
      </c>
      <c r="C31" s="9">
        <f t="shared" si="0"/>
        <v>4.3866956717410796E-2</v>
      </c>
      <c r="D31">
        <v>229.90299999999999</v>
      </c>
      <c r="E31">
        <f t="shared" si="1"/>
        <v>194.667</v>
      </c>
      <c r="F31" s="9">
        <f t="shared" si="2"/>
        <v>0.45850389806156816</v>
      </c>
      <c r="G31">
        <v>124.482</v>
      </c>
      <c r="H31" s="8">
        <f t="shared" si="3"/>
        <v>105.42099999999999</v>
      </c>
      <c r="I31">
        <v>193.99</v>
      </c>
      <c r="J31">
        <v>7579143168</v>
      </c>
    </row>
    <row r="32" spans="1:10" x14ac:dyDescent="0.2">
      <c r="A32" s="1">
        <v>43189</v>
      </c>
      <c r="B32">
        <v>406.34800000000001</v>
      </c>
      <c r="C32" s="9">
        <f t="shared" si="0"/>
        <v>8.0659980057027778E-2</v>
      </c>
      <c r="D32">
        <v>222.42099999999999</v>
      </c>
      <c r="E32">
        <f t="shared" si="1"/>
        <v>183.92700000000002</v>
      </c>
      <c r="F32" s="9">
        <f t="shared" si="2"/>
        <v>0.45263419532026739</v>
      </c>
      <c r="G32">
        <v>124.34699999999999</v>
      </c>
      <c r="H32" s="8">
        <f t="shared" si="3"/>
        <v>98.073999999999998</v>
      </c>
      <c r="I32">
        <v>183.29400000000001</v>
      </c>
    </row>
    <row r="33" spans="1:10" x14ac:dyDescent="0.2">
      <c r="A33" s="1">
        <v>43098</v>
      </c>
      <c r="B33">
        <v>374.85899999999998</v>
      </c>
      <c r="C33" s="9">
        <f t="shared" si="0"/>
        <v>-1.3126438190988503E-2</v>
      </c>
      <c r="D33">
        <v>200.767</v>
      </c>
      <c r="E33">
        <f t="shared" si="1"/>
        <v>174.09199999999998</v>
      </c>
      <c r="F33" s="9">
        <f t="shared" si="2"/>
        <v>0.46441995523650226</v>
      </c>
      <c r="G33">
        <v>101.428</v>
      </c>
      <c r="H33" s="8">
        <f t="shared" si="3"/>
        <v>99.338999999999999</v>
      </c>
      <c r="I33">
        <v>128.95099999999999</v>
      </c>
      <c r="J33">
        <v>7614595584</v>
      </c>
    </row>
    <row r="34" spans="1:10" x14ac:dyDescent="0.2">
      <c r="A34" s="1">
        <v>43007</v>
      </c>
      <c r="B34">
        <v>379.81200000000001</v>
      </c>
      <c r="C34" s="9">
        <f t="shared" ref="C34:C63" si="4">+LN(B34/B35)</f>
        <v>8.6659340727786218E-4</v>
      </c>
      <c r="D34">
        <v>204.08</v>
      </c>
      <c r="E34">
        <f t="shared" ref="E34:E64" si="5">+B34-D34</f>
        <v>175.732</v>
      </c>
      <c r="F34" s="9">
        <f t="shared" ref="F34:F64" si="6">+E34/B34</f>
        <v>0.46268153718155297</v>
      </c>
      <c r="G34">
        <v>112.693</v>
      </c>
      <c r="H34" s="8">
        <f t="shared" ref="H34:H64" si="7">+B34-E34-G34</f>
        <v>91.387000000000015</v>
      </c>
      <c r="I34">
        <v>166.215</v>
      </c>
      <c r="J34">
        <v>6926145024</v>
      </c>
    </row>
    <row r="35" spans="1:10" x14ac:dyDescent="0.2">
      <c r="A35" s="1">
        <v>42916</v>
      </c>
      <c r="B35">
        <v>379.483</v>
      </c>
      <c r="C35" s="9">
        <f t="shared" si="4"/>
        <v>0.1081303922038455</v>
      </c>
      <c r="D35">
        <v>204.51</v>
      </c>
      <c r="E35">
        <f t="shared" si="5"/>
        <v>174.97300000000001</v>
      </c>
      <c r="F35" s="9">
        <f t="shared" si="6"/>
        <v>0.46108257813920522</v>
      </c>
      <c r="G35">
        <v>111.678</v>
      </c>
      <c r="H35" s="8">
        <f t="shared" si="7"/>
        <v>92.831999999999994</v>
      </c>
      <c r="I35">
        <v>246.63499999999999</v>
      </c>
      <c r="J35">
        <v>6070722560</v>
      </c>
    </row>
    <row r="36" spans="1:10" x14ac:dyDescent="0.2">
      <c r="A36" s="1">
        <v>42825</v>
      </c>
      <c r="B36">
        <v>340.59</v>
      </c>
      <c r="C36" s="9">
        <f t="shared" si="4"/>
        <v>-2.4573013826178318E-2</v>
      </c>
      <c r="D36">
        <v>185.845</v>
      </c>
      <c r="E36">
        <f t="shared" si="5"/>
        <v>154.74499999999998</v>
      </c>
      <c r="F36" s="9">
        <f t="shared" si="6"/>
        <v>0.45434393258756861</v>
      </c>
      <c r="G36">
        <v>98.528999999999996</v>
      </c>
      <c r="H36" s="8">
        <f t="shared" si="7"/>
        <v>87.316000000000003</v>
      </c>
      <c r="I36">
        <v>310.46699999999998</v>
      </c>
      <c r="J36">
        <v>5203341824</v>
      </c>
    </row>
    <row r="37" spans="1:10" x14ac:dyDescent="0.2">
      <c r="A37" s="1">
        <v>42734</v>
      </c>
      <c r="B37">
        <v>349.06299999999999</v>
      </c>
      <c r="C37" s="9">
        <f t="shared" si="4"/>
        <v>6.4705267118791945E-2</v>
      </c>
      <c r="D37">
        <v>184.70400000000001</v>
      </c>
      <c r="E37">
        <f t="shared" si="5"/>
        <v>164.35899999999998</v>
      </c>
      <c r="F37" s="9">
        <f t="shared" si="6"/>
        <v>0.47085769617518897</v>
      </c>
      <c r="G37">
        <v>-95.432000000000002</v>
      </c>
      <c r="H37" s="8">
        <f t="shared" si="7"/>
        <v>280.13600000000002</v>
      </c>
      <c r="I37">
        <v>262.233</v>
      </c>
      <c r="J37">
        <v>4626783232</v>
      </c>
    </row>
    <row r="38" spans="1:10" x14ac:dyDescent="0.2">
      <c r="A38" s="1">
        <v>42636</v>
      </c>
      <c r="B38">
        <v>327.19200000000001</v>
      </c>
      <c r="C38" s="9">
        <f t="shared" si="4"/>
        <v>-6.2017328656902765E-2</v>
      </c>
      <c r="D38">
        <v>176.59800000000001</v>
      </c>
      <c r="E38">
        <f t="shared" si="5"/>
        <v>150.59399999999999</v>
      </c>
      <c r="F38" s="9">
        <f t="shared" si="6"/>
        <v>0.46026186459326629</v>
      </c>
      <c r="G38">
        <v>93.81</v>
      </c>
      <c r="H38" s="8">
        <f t="shared" si="7"/>
        <v>82.788000000000011</v>
      </c>
      <c r="I38">
        <v>310.83800000000002</v>
      </c>
      <c r="J38">
        <v>4094633728</v>
      </c>
    </row>
    <row r="39" spans="1:10" x14ac:dyDescent="0.2">
      <c r="A39" s="1">
        <v>42545</v>
      </c>
      <c r="B39">
        <v>348.12599999999998</v>
      </c>
      <c r="C39" s="9">
        <f t="shared" si="4"/>
        <v>0.13254127282282097</v>
      </c>
      <c r="D39">
        <v>185.14099999999999</v>
      </c>
      <c r="E39">
        <f t="shared" si="5"/>
        <v>162.98499999999999</v>
      </c>
      <c r="F39" s="9">
        <f t="shared" si="6"/>
        <v>0.46817818835708908</v>
      </c>
      <c r="G39">
        <v>90.831999999999994</v>
      </c>
      <c r="H39" s="8">
        <f t="shared" si="7"/>
        <v>94.308999999999997</v>
      </c>
      <c r="I39">
        <v>398.93700000000001</v>
      </c>
      <c r="J39">
        <v>4308972544</v>
      </c>
    </row>
    <row r="40" spans="1:10" x14ac:dyDescent="0.2">
      <c r="A40" s="1">
        <v>42454</v>
      </c>
      <c r="B40">
        <v>304.91199999999998</v>
      </c>
      <c r="C40" s="9">
        <f t="shared" si="4"/>
        <v>-6.5514351139099009E-2</v>
      </c>
      <c r="D40">
        <v>161.79599999999999</v>
      </c>
      <c r="E40">
        <f t="shared" si="5"/>
        <v>143.11599999999999</v>
      </c>
      <c r="F40" s="9">
        <f t="shared" si="6"/>
        <v>0.46936821115600563</v>
      </c>
      <c r="G40">
        <v>72.959000000000003</v>
      </c>
      <c r="H40" s="8">
        <f t="shared" si="7"/>
        <v>88.836999999999989</v>
      </c>
      <c r="I40">
        <v>435.68799999999999</v>
      </c>
    </row>
    <row r="41" spans="1:10" x14ac:dyDescent="0.2">
      <c r="A41" s="1">
        <v>42363</v>
      </c>
      <c r="B41">
        <v>325.55700000000002</v>
      </c>
      <c r="C41" s="9">
        <f t="shared" si="4"/>
        <v>2.0390346850679045E-2</v>
      </c>
      <c r="D41">
        <v>171.75200000000001</v>
      </c>
      <c r="E41">
        <f t="shared" si="5"/>
        <v>153.80500000000001</v>
      </c>
      <c r="F41" s="9">
        <f t="shared" si="6"/>
        <v>0.47243647041839065</v>
      </c>
      <c r="G41">
        <v>87.397000000000006</v>
      </c>
      <c r="H41" s="8">
        <f t="shared" si="7"/>
        <v>84.355000000000004</v>
      </c>
      <c r="I41">
        <v>356.30099999999999</v>
      </c>
    </row>
    <row r="42" spans="1:10" x14ac:dyDescent="0.2">
      <c r="A42" s="1">
        <v>42272</v>
      </c>
      <c r="B42">
        <v>318.98599999999999</v>
      </c>
      <c r="C42" s="9">
        <f t="shared" si="4"/>
        <v>-5.044195431454878E-2</v>
      </c>
      <c r="D42">
        <v>170.196</v>
      </c>
      <c r="E42">
        <f t="shared" si="5"/>
        <v>148.79</v>
      </c>
      <c r="F42" s="9">
        <f t="shared" si="6"/>
        <v>0.46644680330798216</v>
      </c>
      <c r="G42">
        <v>88.244</v>
      </c>
      <c r="H42" s="8">
        <f t="shared" si="7"/>
        <v>81.951999999999998</v>
      </c>
      <c r="I42">
        <v>332.33</v>
      </c>
      <c r="J42">
        <v>3836669440</v>
      </c>
    </row>
    <row r="43" spans="1:10" x14ac:dyDescent="0.2">
      <c r="A43" s="1">
        <v>42181</v>
      </c>
      <c r="B43">
        <v>335.48899999999998</v>
      </c>
      <c r="C43" s="9">
        <f t="shared" si="4"/>
        <v>9.0524769579957157E-2</v>
      </c>
      <c r="D43">
        <v>180.62299999999999</v>
      </c>
      <c r="E43">
        <f t="shared" si="5"/>
        <v>154.86599999999999</v>
      </c>
      <c r="F43" s="9">
        <f t="shared" si="6"/>
        <v>0.46161275034352839</v>
      </c>
      <c r="G43">
        <v>95.05</v>
      </c>
      <c r="H43" s="8">
        <f t="shared" si="7"/>
        <v>85.572999999999993</v>
      </c>
      <c r="I43">
        <v>266.50599999999997</v>
      </c>
      <c r="J43">
        <v>4250047744</v>
      </c>
    </row>
    <row r="44" spans="1:10" x14ac:dyDescent="0.2">
      <c r="A44" s="1">
        <v>42090</v>
      </c>
      <c r="B44">
        <v>306.45299999999997</v>
      </c>
      <c r="C44" s="9">
        <f t="shared" si="4"/>
        <v>1.4629577208640997E-3</v>
      </c>
      <c r="D44">
        <v>162.12899999999999</v>
      </c>
      <c r="E44">
        <f t="shared" si="5"/>
        <v>144.32399999999998</v>
      </c>
      <c r="F44" s="9">
        <f t="shared" si="6"/>
        <v>0.47094986833217489</v>
      </c>
      <c r="G44">
        <v>76.040999999999997</v>
      </c>
      <c r="H44" s="8">
        <f t="shared" si="7"/>
        <v>86.087999999999994</v>
      </c>
      <c r="I44">
        <v>369.608</v>
      </c>
      <c r="J44">
        <v>4188780032</v>
      </c>
    </row>
    <row r="45" spans="1:10" x14ac:dyDescent="0.2">
      <c r="A45" s="1">
        <v>41999</v>
      </c>
      <c r="B45">
        <v>306.005</v>
      </c>
      <c r="C45" s="9">
        <f t="shared" si="4"/>
        <v>1.1143375706846264E-2</v>
      </c>
      <c r="D45">
        <v>164.76</v>
      </c>
      <c r="E45">
        <f t="shared" si="5"/>
        <v>141.245</v>
      </c>
      <c r="F45" s="9">
        <f t="shared" si="6"/>
        <v>0.46157742520547052</v>
      </c>
      <c r="G45">
        <v>77.358999999999995</v>
      </c>
      <c r="H45" s="8">
        <f t="shared" si="7"/>
        <v>87.400999999999996</v>
      </c>
      <c r="I45">
        <v>174.59299999999999</v>
      </c>
      <c r="J45">
        <v>4842561024</v>
      </c>
    </row>
    <row r="46" spans="1:10" x14ac:dyDescent="0.2">
      <c r="A46" s="1">
        <v>41908</v>
      </c>
      <c r="B46">
        <v>302.61399999999998</v>
      </c>
      <c r="C46" s="9">
        <f t="shared" si="4"/>
        <v>-6.3796996697595476E-2</v>
      </c>
      <c r="D46">
        <v>165.81399999999999</v>
      </c>
      <c r="E46">
        <f t="shared" si="5"/>
        <v>136.79999999999998</v>
      </c>
      <c r="F46" s="9">
        <f t="shared" si="6"/>
        <v>0.45206104145875603</v>
      </c>
      <c r="G46">
        <v>88.200999999999993</v>
      </c>
      <c r="H46" s="8">
        <f t="shared" si="7"/>
        <v>77.613</v>
      </c>
      <c r="I46">
        <v>64.406999999999996</v>
      </c>
      <c r="J46">
        <v>4377647616</v>
      </c>
    </row>
    <row r="47" spans="1:10" x14ac:dyDescent="0.2">
      <c r="A47" s="1">
        <v>41817</v>
      </c>
      <c r="B47">
        <v>322.54899999999998</v>
      </c>
      <c r="C47" s="9">
        <f t="shared" si="4"/>
        <v>0.10650518276692354</v>
      </c>
      <c r="D47">
        <v>176.85</v>
      </c>
      <c r="E47">
        <f t="shared" si="5"/>
        <v>145.69899999999998</v>
      </c>
      <c r="F47" s="9">
        <f t="shared" si="6"/>
        <v>0.4517112128699825</v>
      </c>
      <c r="G47">
        <v>94.912999999999997</v>
      </c>
      <c r="H47" s="8">
        <f t="shared" si="7"/>
        <v>81.936999999999998</v>
      </c>
      <c r="I47">
        <v>84.024000000000001</v>
      </c>
      <c r="J47">
        <v>4713500160</v>
      </c>
    </row>
    <row r="48" spans="1:10" x14ac:dyDescent="0.2">
      <c r="A48" s="1">
        <v>41726</v>
      </c>
      <c r="B48">
        <v>289.96199999999999</v>
      </c>
      <c r="C48" s="9">
        <f t="shared" si="4"/>
        <v>6.423094192832815E-2</v>
      </c>
      <c r="D48">
        <v>159.31200000000001</v>
      </c>
      <c r="E48">
        <f t="shared" si="5"/>
        <v>130.64999999999998</v>
      </c>
      <c r="F48" s="9">
        <f t="shared" si="6"/>
        <v>0.4505762824094191</v>
      </c>
      <c r="G48">
        <v>83.966999999999999</v>
      </c>
      <c r="H48" s="8">
        <f t="shared" si="7"/>
        <v>75.345000000000013</v>
      </c>
      <c r="I48">
        <v>67.680000000000007</v>
      </c>
      <c r="J48">
        <v>4475798016</v>
      </c>
    </row>
    <row r="49" spans="1:10" x14ac:dyDescent="0.2">
      <c r="A49" s="1">
        <v>41635</v>
      </c>
      <c r="B49">
        <v>271.923</v>
      </c>
      <c r="C49" s="9">
        <f t="shared" si="4"/>
        <v>-1.8624914012319468E-2</v>
      </c>
      <c r="D49">
        <v>147.19900000000001</v>
      </c>
      <c r="E49">
        <f t="shared" si="5"/>
        <v>124.72399999999999</v>
      </c>
      <c r="F49" s="9">
        <f t="shared" si="6"/>
        <v>0.45867396284977729</v>
      </c>
      <c r="G49">
        <v>72.897000000000006</v>
      </c>
      <c r="H49" s="8">
        <f t="shared" si="7"/>
        <v>74.302000000000007</v>
      </c>
      <c r="I49">
        <v>-24.099</v>
      </c>
      <c r="J49">
        <v>4765152256</v>
      </c>
    </row>
    <row r="50" spans="1:10" x14ac:dyDescent="0.2">
      <c r="A50" s="1">
        <v>41544</v>
      </c>
      <c r="B50">
        <v>277.03500000000003</v>
      </c>
      <c r="C50" s="9">
        <f t="shared" si="4"/>
        <v>-3.1917886448804743E-2</v>
      </c>
      <c r="D50">
        <v>150.87299999999999</v>
      </c>
      <c r="E50">
        <f t="shared" si="5"/>
        <v>126.16200000000003</v>
      </c>
      <c r="F50" s="9">
        <f t="shared" si="6"/>
        <v>0.45540094211922688</v>
      </c>
      <c r="G50">
        <v>78.837000000000003</v>
      </c>
      <c r="H50" s="8">
        <f t="shared" si="7"/>
        <v>72.035999999999987</v>
      </c>
      <c r="I50">
        <v>-25.786000000000001</v>
      </c>
      <c r="J50">
        <v>4504117248</v>
      </c>
    </row>
    <row r="51" spans="1:10" x14ac:dyDescent="0.2">
      <c r="A51" s="1">
        <v>41453</v>
      </c>
      <c r="B51">
        <v>286.02</v>
      </c>
      <c r="C51" s="9">
        <f t="shared" si="4"/>
        <v>6.117936974494715E-2</v>
      </c>
      <c r="D51">
        <v>158.739</v>
      </c>
      <c r="E51">
        <f t="shared" si="5"/>
        <v>127.28099999999998</v>
      </c>
      <c r="F51" s="9">
        <f t="shared" si="6"/>
        <v>0.44500734214390597</v>
      </c>
      <c r="G51">
        <v>84.581999999999994</v>
      </c>
      <c r="H51" s="8">
        <f t="shared" si="7"/>
        <v>74.157000000000011</v>
      </c>
      <c r="I51">
        <v>20.041</v>
      </c>
      <c r="J51">
        <v>3872307968</v>
      </c>
    </row>
    <row r="52" spans="1:10" x14ac:dyDescent="0.2">
      <c r="A52" s="1">
        <v>41362</v>
      </c>
      <c r="B52">
        <v>269.04599999999999</v>
      </c>
      <c r="C52" s="9">
        <f t="shared" si="4"/>
        <v>5.881662244911013E-2</v>
      </c>
      <c r="D52">
        <v>150.64400000000001</v>
      </c>
      <c r="E52">
        <f t="shared" si="5"/>
        <v>118.40199999999999</v>
      </c>
      <c r="F52" s="9">
        <f t="shared" si="6"/>
        <v>0.44008087836280779</v>
      </c>
      <c r="G52">
        <v>80.769000000000005</v>
      </c>
      <c r="H52" s="8">
        <f t="shared" si="7"/>
        <v>69.875</v>
      </c>
      <c r="I52">
        <v>64.66</v>
      </c>
    </row>
    <row r="53" spans="1:10" x14ac:dyDescent="0.2">
      <c r="A53" s="1">
        <v>41271</v>
      </c>
      <c r="B53">
        <v>253.678</v>
      </c>
      <c r="C53" s="9">
        <f t="shared" si="4"/>
        <v>-1.0953750608137545E-2</v>
      </c>
      <c r="D53">
        <v>138.88800000000001</v>
      </c>
      <c r="E53">
        <f t="shared" si="5"/>
        <v>114.78999999999999</v>
      </c>
      <c r="F53" s="9">
        <f t="shared" si="6"/>
        <v>0.45250277911367953</v>
      </c>
      <c r="G53">
        <v>68.22</v>
      </c>
      <c r="H53" s="8">
        <f t="shared" si="7"/>
        <v>70.668000000000006</v>
      </c>
      <c r="I53">
        <v>106.68</v>
      </c>
      <c r="J53">
        <v>3085222144</v>
      </c>
    </row>
    <row r="54" spans="1:10" x14ac:dyDescent="0.2">
      <c r="A54" s="1">
        <v>41180</v>
      </c>
      <c r="B54">
        <v>256.47199999999998</v>
      </c>
      <c r="C54" s="9">
        <f t="shared" si="4"/>
        <v>-4.4653815236751972E-2</v>
      </c>
      <c r="D54">
        <v>139.93299999999999</v>
      </c>
      <c r="E54">
        <f t="shared" si="5"/>
        <v>116.53899999999999</v>
      </c>
      <c r="F54" s="9">
        <f t="shared" si="6"/>
        <v>0.4543926822421161</v>
      </c>
      <c r="G54">
        <v>66.394000000000005</v>
      </c>
      <c r="H54" s="8">
        <f t="shared" si="7"/>
        <v>73.538999999999987</v>
      </c>
      <c r="I54">
        <v>143.10300000000001</v>
      </c>
      <c r="J54">
        <v>3042794752</v>
      </c>
    </row>
    <row r="55" spans="1:10" x14ac:dyDescent="0.2">
      <c r="A55" s="1">
        <v>41089</v>
      </c>
      <c r="B55">
        <v>268.18400000000003</v>
      </c>
      <c r="C55" s="9">
        <f t="shared" si="4"/>
        <v>0.13583096508137726</v>
      </c>
      <c r="D55">
        <v>139.53</v>
      </c>
      <c r="E55">
        <f t="shared" si="5"/>
        <v>128.65400000000002</v>
      </c>
      <c r="F55" s="9">
        <f t="shared" si="6"/>
        <v>0.47972287683083259</v>
      </c>
      <c r="G55">
        <v>62.780999999999999</v>
      </c>
      <c r="H55" s="8">
        <f t="shared" si="7"/>
        <v>76.748999999999995</v>
      </c>
      <c r="I55">
        <v>183.61500000000001</v>
      </c>
      <c r="J55">
        <v>2785351680</v>
      </c>
    </row>
    <row r="56" spans="1:10" x14ac:dyDescent="0.2">
      <c r="A56" s="1">
        <v>40998</v>
      </c>
      <c r="B56">
        <v>234.12200000000001</v>
      </c>
      <c r="C56" s="9">
        <f t="shared" si="4"/>
        <v>8.2445337680188441E-2</v>
      </c>
      <c r="D56">
        <v>132.179</v>
      </c>
      <c r="E56">
        <f t="shared" si="5"/>
        <v>101.94300000000001</v>
      </c>
      <c r="F56" s="9">
        <f t="shared" si="6"/>
        <v>0.43542682874740524</v>
      </c>
      <c r="G56">
        <v>66.043999999999997</v>
      </c>
      <c r="H56" s="8">
        <f t="shared" si="7"/>
        <v>66.135000000000005</v>
      </c>
      <c r="I56">
        <v>-16.251000000000001</v>
      </c>
      <c r="J56">
        <v>3175598592</v>
      </c>
    </row>
    <row r="57" spans="1:10" x14ac:dyDescent="0.2">
      <c r="A57" s="1">
        <v>40907</v>
      </c>
      <c r="B57">
        <v>215.59399999999999</v>
      </c>
      <c r="C57" s="9">
        <f t="shared" si="4"/>
        <v>-5.3080475336376734E-2</v>
      </c>
      <c r="D57">
        <v>117.01300000000001</v>
      </c>
      <c r="E57">
        <f t="shared" si="5"/>
        <v>98.580999999999989</v>
      </c>
      <c r="F57" s="9">
        <f t="shared" si="6"/>
        <v>0.45725298477694182</v>
      </c>
      <c r="G57">
        <v>53.563000000000002</v>
      </c>
      <c r="H57" s="8">
        <f t="shared" si="7"/>
        <v>63.45</v>
      </c>
      <c r="I57">
        <v>5.508</v>
      </c>
      <c r="J57">
        <v>2440519680</v>
      </c>
    </row>
    <row r="58" spans="1:10" x14ac:dyDescent="0.2">
      <c r="A58" s="1">
        <v>40816</v>
      </c>
      <c r="B58">
        <v>227.34700000000001</v>
      </c>
      <c r="C58" s="9">
        <f t="shared" si="4"/>
        <v>-3.1672957697428568E-2</v>
      </c>
      <c r="D58">
        <v>126.349</v>
      </c>
      <c r="E58">
        <f t="shared" si="5"/>
        <v>100.998</v>
      </c>
      <c r="F58" s="9">
        <f t="shared" si="6"/>
        <v>0.44424602040053313</v>
      </c>
      <c r="G58">
        <v>65.567999999999998</v>
      </c>
      <c r="H58" s="8">
        <f t="shared" si="7"/>
        <v>60.781000000000006</v>
      </c>
      <c r="I58">
        <v>33.256</v>
      </c>
      <c r="J58">
        <v>2077419008</v>
      </c>
    </row>
    <row r="59" spans="1:10" x14ac:dyDescent="0.2">
      <c r="A59" s="1">
        <v>40725</v>
      </c>
      <c r="B59">
        <v>234.66300000000001</v>
      </c>
      <c r="C59" s="9">
        <f t="shared" si="4"/>
        <v>7.5128941802724086E-2</v>
      </c>
      <c r="D59">
        <v>132.446</v>
      </c>
      <c r="E59">
        <f t="shared" si="5"/>
        <v>102.21700000000001</v>
      </c>
      <c r="F59" s="9">
        <f t="shared" si="6"/>
        <v>0.43559061292150875</v>
      </c>
      <c r="G59">
        <v>67.37</v>
      </c>
      <c r="H59" s="8">
        <f t="shared" si="7"/>
        <v>65.075999999999993</v>
      </c>
      <c r="I59">
        <v>44.667999999999999</v>
      </c>
      <c r="J59">
        <v>3125242880</v>
      </c>
    </row>
    <row r="60" spans="1:10" x14ac:dyDescent="0.2">
      <c r="A60" s="1">
        <v>40634</v>
      </c>
      <c r="B60">
        <v>217.679</v>
      </c>
      <c r="C60" s="9">
        <f t="shared" si="4"/>
        <v>9.8331567132002515E-2</v>
      </c>
      <c r="D60">
        <v>124.39700000000001</v>
      </c>
      <c r="E60">
        <f t="shared" si="5"/>
        <v>93.281999999999996</v>
      </c>
      <c r="F60" s="9">
        <f t="shared" si="6"/>
        <v>0.42853008328777692</v>
      </c>
      <c r="G60">
        <v>65.495999999999995</v>
      </c>
      <c r="H60" s="8">
        <f t="shared" si="7"/>
        <v>58.90100000000001</v>
      </c>
      <c r="I60">
        <v>58.683</v>
      </c>
      <c r="J60">
        <v>2712574720</v>
      </c>
    </row>
    <row r="61" spans="1:10" x14ac:dyDescent="0.2">
      <c r="A61" s="1">
        <v>40543</v>
      </c>
      <c r="B61">
        <v>197.29300000000001</v>
      </c>
      <c r="C61" s="9">
        <f t="shared" si="4"/>
        <v>3.7860617078434702E-2</v>
      </c>
      <c r="D61">
        <v>107.672</v>
      </c>
      <c r="E61">
        <f t="shared" si="5"/>
        <v>89.621000000000009</v>
      </c>
      <c r="F61" s="9">
        <f t="shared" si="6"/>
        <v>0.45425331866817376</v>
      </c>
      <c r="G61">
        <v>46.28</v>
      </c>
      <c r="H61" s="8">
        <f t="shared" si="7"/>
        <v>61.391999999999996</v>
      </c>
      <c r="I61">
        <v>68.846999999999994</v>
      </c>
      <c r="J61">
        <v>2362187008</v>
      </c>
    </row>
    <row r="62" spans="1:10" x14ac:dyDescent="0.2">
      <c r="A62" s="1">
        <v>40445</v>
      </c>
      <c r="B62">
        <v>189.96299999999999</v>
      </c>
      <c r="C62" s="9">
        <f t="shared" si="4"/>
        <v>-1.1124284003775516E-2</v>
      </c>
      <c r="D62">
        <v>104.55800000000001</v>
      </c>
      <c r="E62">
        <f t="shared" si="5"/>
        <v>85.404999999999987</v>
      </c>
      <c r="F62" s="9">
        <f t="shared" si="6"/>
        <v>0.44958755125998218</v>
      </c>
      <c r="G62">
        <v>51.6</v>
      </c>
      <c r="H62" s="8">
        <f t="shared" si="7"/>
        <v>52.958000000000006</v>
      </c>
      <c r="I62">
        <v>91.4</v>
      </c>
      <c r="J62">
        <v>1855638400</v>
      </c>
    </row>
    <row r="63" spans="1:10" x14ac:dyDescent="0.2">
      <c r="A63" s="1">
        <v>40354</v>
      </c>
      <c r="B63">
        <v>192.08799999999999</v>
      </c>
      <c r="C63" s="9">
        <f t="shared" si="4"/>
        <v>0.15370046674916152</v>
      </c>
      <c r="D63">
        <v>101.92</v>
      </c>
      <c r="E63" s="5">
        <f t="shared" si="5"/>
        <v>90.167999999999992</v>
      </c>
      <c r="F63" s="6">
        <f t="shared" si="6"/>
        <v>0.46940985381700051</v>
      </c>
      <c r="G63">
        <v>47.95</v>
      </c>
      <c r="H63" s="4">
        <f t="shared" si="7"/>
        <v>53.97</v>
      </c>
      <c r="I63">
        <v>88.721000000000004</v>
      </c>
      <c r="J63">
        <v>1818726016</v>
      </c>
    </row>
    <row r="64" spans="1:10" x14ac:dyDescent="0.2">
      <c r="A64" s="1">
        <v>40263</v>
      </c>
      <c r="B64">
        <v>164.721</v>
      </c>
      <c r="D64">
        <v>89.295000000000002</v>
      </c>
      <c r="E64" s="5">
        <f t="shared" si="5"/>
        <v>75.426000000000002</v>
      </c>
      <c r="F64" s="6">
        <f t="shared" si="6"/>
        <v>0.45790154260841059</v>
      </c>
      <c r="G64">
        <v>41.283999999999999</v>
      </c>
      <c r="H64" s="4">
        <f t="shared" si="7"/>
        <v>48.011000000000003</v>
      </c>
      <c r="I64">
        <v>82.418000000000006</v>
      </c>
      <c r="J64">
        <v>1891925504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B59C-C56D-D94E-81C8-E9F546B554C3}">
  <dimension ref="A1:I18"/>
  <sheetViews>
    <sheetView workbookViewId="0">
      <selection activeCell="B5" sqref="B5"/>
    </sheetView>
  </sheetViews>
  <sheetFormatPr baseColWidth="10" defaultRowHeight="15" x14ac:dyDescent="0.2"/>
  <sheetData>
    <row r="1" spans="1:9" x14ac:dyDescent="0.2">
      <c r="A1" t="s">
        <v>22</v>
      </c>
    </row>
    <row r="2" spans="1:9" ht="16" thickBot="1" x14ac:dyDescent="0.25"/>
    <row r="3" spans="1:9" x14ac:dyDescent="0.2">
      <c r="A3" s="18" t="s">
        <v>23</v>
      </c>
      <c r="B3" s="18"/>
    </row>
    <row r="4" spans="1:9" x14ac:dyDescent="0.2">
      <c r="A4" t="s">
        <v>24</v>
      </c>
      <c r="B4">
        <v>0.50389576183275919</v>
      </c>
    </row>
    <row r="5" spans="1:9" x14ac:dyDescent="0.2">
      <c r="A5" t="s">
        <v>25</v>
      </c>
      <c r="B5">
        <v>0.25391093879301674</v>
      </c>
    </row>
    <row r="6" spans="1:9" x14ac:dyDescent="0.2">
      <c r="A6" t="s">
        <v>26</v>
      </c>
      <c r="B6">
        <v>0.24009447469659115</v>
      </c>
    </row>
    <row r="7" spans="1:9" x14ac:dyDescent="0.2">
      <c r="A7" t="s">
        <v>27</v>
      </c>
      <c r="B7">
        <v>27.329925274321852</v>
      </c>
    </row>
    <row r="8" spans="1:9" ht="16" thickBot="1" x14ac:dyDescent="0.25">
      <c r="A8" s="16" t="s">
        <v>28</v>
      </c>
      <c r="B8" s="16">
        <v>56</v>
      </c>
    </row>
    <row r="10" spans="1:9" ht="16" thickBot="1" x14ac:dyDescent="0.25">
      <c r="A10" t="s">
        <v>29</v>
      </c>
    </row>
    <row r="11" spans="1:9" x14ac:dyDescent="0.2">
      <c r="A11" s="17"/>
      <c r="B11" s="17" t="s">
        <v>34</v>
      </c>
      <c r="C11" s="17" t="s">
        <v>35</v>
      </c>
      <c r="D11" s="17" t="s">
        <v>36</v>
      </c>
      <c r="E11" s="17" t="s">
        <v>19</v>
      </c>
      <c r="F11" s="17" t="s">
        <v>37</v>
      </c>
    </row>
    <row r="12" spans="1:9" x14ac:dyDescent="0.2">
      <c r="A12" t="s">
        <v>30</v>
      </c>
      <c r="B12">
        <v>1</v>
      </c>
      <c r="C12">
        <v>13726.549700981304</v>
      </c>
      <c r="D12">
        <v>13726.549700981304</v>
      </c>
      <c r="E12">
        <v>18.377418203453711</v>
      </c>
      <c r="F12">
        <v>7.5213517417023953E-5</v>
      </c>
    </row>
    <row r="13" spans="1:9" x14ac:dyDescent="0.2">
      <c r="A13" t="s">
        <v>31</v>
      </c>
      <c r="B13">
        <v>54</v>
      </c>
      <c r="C13">
        <v>40333.940037000881</v>
      </c>
      <c r="D13">
        <v>746.92481550001628</v>
      </c>
    </row>
    <row r="14" spans="1:9" ht="16" thickBot="1" x14ac:dyDescent="0.25">
      <c r="A14" s="16" t="s">
        <v>32</v>
      </c>
      <c r="B14" s="16">
        <v>55</v>
      </c>
      <c r="C14" s="16">
        <v>54060.489737982185</v>
      </c>
      <c r="D14" s="16"/>
      <c r="E14" s="16"/>
      <c r="F14" s="16"/>
    </row>
    <row r="15" spans="1:9" ht="16" thickBot="1" x14ac:dyDescent="0.25"/>
    <row r="16" spans="1:9" x14ac:dyDescent="0.2">
      <c r="A16" s="17"/>
      <c r="B16" s="17" t="s">
        <v>38</v>
      </c>
      <c r="C16" s="17" t="s">
        <v>27</v>
      </c>
      <c r="D16" s="17" t="s">
        <v>39</v>
      </c>
      <c r="E16" s="17" t="s">
        <v>40</v>
      </c>
      <c r="F16" s="17" t="s">
        <v>41</v>
      </c>
      <c r="G16" s="17" t="s">
        <v>42</v>
      </c>
      <c r="H16" s="17" t="s">
        <v>43</v>
      </c>
      <c r="I16" s="17" t="s">
        <v>44</v>
      </c>
    </row>
    <row r="17" spans="1:9" x14ac:dyDescent="0.2">
      <c r="A17" t="s">
        <v>33</v>
      </c>
      <c r="B17" s="21">
        <v>39.675305057642156</v>
      </c>
      <c r="C17" s="21">
        <v>12.542001399049372</v>
      </c>
      <c r="D17">
        <v>3.1633950432065308</v>
      </c>
      <c r="E17" s="19">
        <v>2.5601404972683162E-3</v>
      </c>
      <c r="F17">
        <v>14.530106220262427</v>
      </c>
      <c r="G17">
        <v>64.820503895021886</v>
      </c>
      <c r="H17">
        <v>14.530106220262427</v>
      </c>
      <c r="I17">
        <v>64.820503895021886</v>
      </c>
    </row>
    <row r="18" spans="1:9" ht="16" thickBot="1" x14ac:dyDescent="0.25">
      <c r="A18" s="16" t="s">
        <v>45</v>
      </c>
      <c r="B18" s="22">
        <v>0.1415884392111057</v>
      </c>
      <c r="C18" s="22">
        <v>3.3028248626059048E-2</v>
      </c>
      <c r="D18" s="16">
        <v>4.2868891055698741</v>
      </c>
      <c r="E18" s="23">
        <v>7.5213517417025349E-5</v>
      </c>
      <c r="F18" s="16">
        <v>7.5370787615594237E-2</v>
      </c>
      <c r="G18" s="16">
        <v>0.20780609080661716</v>
      </c>
      <c r="H18" s="16">
        <v>7.5370787615594237E-2</v>
      </c>
      <c r="I18" s="16">
        <v>0.20780609080661716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845B-DE13-7D48-8EF6-85C52A3E690C}">
  <dimension ref="A2:E18"/>
  <sheetViews>
    <sheetView workbookViewId="0">
      <selection activeCell="B3" sqref="B3"/>
    </sheetView>
  </sheetViews>
  <sheetFormatPr baseColWidth="10" defaultRowHeight="15" x14ac:dyDescent="0.2"/>
  <sheetData>
    <row r="2" spans="1:5" x14ac:dyDescent="0.2">
      <c r="A2" s="14" t="s">
        <v>13</v>
      </c>
    </row>
    <row r="3" spans="1:5" x14ac:dyDescent="0.2">
      <c r="A3" t="s">
        <v>14</v>
      </c>
      <c r="B3" s="19">
        <f>+'GGG - FA'!B60*4</f>
        <v>870.71600000000001</v>
      </c>
    </row>
    <row r="4" spans="1:5" x14ac:dyDescent="0.2">
      <c r="A4" t="s">
        <v>15</v>
      </c>
      <c r="B4" s="15">
        <f>+AVERAGE('GGG - FA'!C60:C63)*4</f>
        <v>0.27876836695582319</v>
      </c>
    </row>
    <row r="5" spans="1:5" x14ac:dyDescent="0.2">
      <c r="A5" t="s">
        <v>16</v>
      </c>
      <c r="B5" s="15">
        <f>+_xlfn.STDEV.S('GGG - FA'!C9:C63)/0.5</f>
        <v>0.1345277676355297</v>
      </c>
    </row>
    <row r="6" spans="1:5" x14ac:dyDescent="0.2">
      <c r="A6" t="s">
        <v>17</v>
      </c>
      <c r="B6" s="15">
        <f>+AVERAGE('GGG - FA'!F9:F64)</f>
        <v>0.46691158683999856</v>
      </c>
    </row>
    <row r="7" spans="1:5" x14ac:dyDescent="0.2">
      <c r="A7" t="s">
        <v>18</v>
      </c>
      <c r="B7" s="15">
        <f>+'GGG - Cost'!B18</f>
        <v>0.1415884392111057</v>
      </c>
      <c r="C7" s="20">
        <f>+'GGG - Cost'!E18</f>
        <v>7.5213517417025349E-5</v>
      </c>
      <c r="D7" t="s">
        <v>48</v>
      </c>
      <c r="E7">
        <f>+'GGG - Cost'!B5</f>
        <v>0.25391093879301674</v>
      </c>
    </row>
    <row r="8" spans="1:5" x14ac:dyDescent="0.2">
      <c r="A8" t="s">
        <v>19</v>
      </c>
      <c r="B8" s="19">
        <f>+'GGG - Cost'!B17</f>
        <v>39.675305057642156</v>
      </c>
      <c r="C8" s="20">
        <f>+'GGG - Cost'!E17</f>
        <v>2.5601404972683162E-3</v>
      </c>
      <c r="D8" t="s">
        <v>49</v>
      </c>
      <c r="E8">
        <f>+'GGG - Cost'!B8</f>
        <v>56</v>
      </c>
    </row>
    <row r="9" spans="1:5" x14ac:dyDescent="0.2">
      <c r="A9" t="s">
        <v>20</v>
      </c>
      <c r="B9" s="15">
        <f>+SQRT(252*_xlfn.VAR.S(GGG!C:C))</f>
        <v>0.27381119296196288</v>
      </c>
    </row>
    <row r="11" spans="1:5" x14ac:dyDescent="0.2">
      <c r="A11" s="14" t="s">
        <v>21</v>
      </c>
    </row>
    <row r="12" spans="1:5" x14ac:dyDescent="0.2">
      <c r="A12" t="s">
        <v>14</v>
      </c>
      <c r="B12" s="19">
        <f>+'GGG - FA'!B9*4</f>
        <v>2266.5720000000001</v>
      </c>
    </row>
    <row r="13" spans="1:5" x14ac:dyDescent="0.2">
      <c r="A13" t="s">
        <v>15</v>
      </c>
      <c r="B13" s="15">
        <f>+AVERAGE('GGG - FA'!C9:C13)*4</f>
        <v>3.0210181887399358E-2</v>
      </c>
    </row>
    <row r="14" spans="1:5" x14ac:dyDescent="0.2">
      <c r="A14" t="s">
        <v>16</v>
      </c>
      <c r="B14" s="15">
        <f>+B5</f>
        <v>0.1345277676355297</v>
      </c>
    </row>
    <row r="15" spans="1:5" x14ac:dyDescent="0.2">
      <c r="A15" t="s">
        <v>17</v>
      </c>
      <c r="B15" s="15">
        <f>+B6</f>
        <v>0.46691158683999856</v>
      </c>
    </row>
    <row r="16" spans="1:5" x14ac:dyDescent="0.2">
      <c r="A16" t="s">
        <v>18</v>
      </c>
      <c r="B16" s="15">
        <f t="shared" ref="B16:B17" si="0">+B7</f>
        <v>0.1415884392111057</v>
      </c>
    </row>
    <row r="17" spans="1:2" x14ac:dyDescent="0.2">
      <c r="A17" t="s">
        <v>19</v>
      </c>
      <c r="B17" s="19">
        <f t="shared" si="0"/>
        <v>39.675305057642156</v>
      </c>
    </row>
    <row r="18" spans="1:2" x14ac:dyDescent="0.2">
      <c r="A18" t="s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0714-C24F-45C1-BF76-F0637F33386F}">
  <dimension ref="A1:C4324"/>
  <sheetViews>
    <sheetView topLeftCell="A4278" workbookViewId="0">
      <selection activeCell="C4298" sqref="C4298"/>
    </sheetView>
  </sheetViews>
  <sheetFormatPr baseColWidth="10" defaultColWidth="8.83203125" defaultRowHeight="16" x14ac:dyDescent="0.2"/>
  <cols>
    <col min="1" max="1" width="13.5" customWidth="1"/>
    <col min="3" max="3" width="8.83203125" style="2"/>
  </cols>
  <sheetData>
    <row r="1" spans="1:3" x14ac:dyDescent="0.2">
      <c r="A1" t="s">
        <v>0</v>
      </c>
      <c r="B1" t="s">
        <v>1</v>
      </c>
      <c r="C1" s="2" t="s">
        <v>46</v>
      </c>
    </row>
    <row r="2" spans="1:3" x14ac:dyDescent="0.2">
      <c r="A2" s="1">
        <v>46072</v>
      </c>
      <c r="B2">
        <v>521.79999999999995</v>
      </c>
      <c r="C2" s="2">
        <f>+LN(B2/B3)</f>
        <v>0</v>
      </c>
    </row>
    <row r="3" spans="1:3" x14ac:dyDescent="0.2">
      <c r="A3" s="1">
        <v>46071</v>
      </c>
      <c r="B3">
        <v>521.79999999999995</v>
      </c>
      <c r="C3" s="2">
        <f t="shared" ref="C3:C66" si="0">+LN(B3/B4)</f>
        <v>1.0402713730140668E-2</v>
      </c>
    </row>
    <row r="4" spans="1:3" x14ac:dyDescent="0.2">
      <c r="A4" s="1">
        <v>46070</v>
      </c>
      <c r="B4">
        <v>516.4</v>
      </c>
      <c r="C4" s="2">
        <f t="shared" si="0"/>
        <v>8.1664852070624638E-3</v>
      </c>
    </row>
    <row r="5" spans="1:3" x14ac:dyDescent="0.2">
      <c r="A5" s="1">
        <v>46069</v>
      </c>
      <c r="B5">
        <v>512.20000000000005</v>
      </c>
      <c r="C5" s="2">
        <f t="shared" si="0"/>
        <v>5.8743070821734942E-3</v>
      </c>
    </row>
    <row r="6" spans="1:3" x14ac:dyDescent="0.2">
      <c r="A6" s="1">
        <v>46066</v>
      </c>
      <c r="B6">
        <v>509.2</v>
      </c>
      <c r="C6" s="2">
        <f t="shared" si="0"/>
        <v>-1.9619390244596181E-3</v>
      </c>
    </row>
    <row r="7" spans="1:3" x14ac:dyDescent="0.2">
      <c r="A7" s="1">
        <v>46065</v>
      </c>
      <c r="B7">
        <v>510.2</v>
      </c>
      <c r="C7" s="2">
        <f t="shared" si="0"/>
        <v>-7.8094891240781759E-3</v>
      </c>
    </row>
    <row r="8" spans="1:3" x14ac:dyDescent="0.2">
      <c r="A8" s="1">
        <v>46064</v>
      </c>
      <c r="B8">
        <v>514.20000000000005</v>
      </c>
      <c r="C8" s="2">
        <f t="shared" si="0"/>
        <v>8.5938028897741114E-3</v>
      </c>
    </row>
    <row r="9" spans="1:3" x14ac:dyDescent="0.2">
      <c r="A9" s="1">
        <v>46063</v>
      </c>
      <c r="B9">
        <v>509.8</v>
      </c>
      <c r="C9" s="2">
        <f t="shared" si="0"/>
        <v>-1.1762400885650217E-3</v>
      </c>
    </row>
    <row r="10" spans="1:3" x14ac:dyDescent="0.2">
      <c r="A10" s="1">
        <v>46062</v>
      </c>
      <c r="B10">
        <v>510.4</v>
      </c>
      <c r="C10" s="2">
        <f t="shared" si="0"/>
        <v>0</v>
      </c>
    </row>
    <row r="11" spans="1:3" x14ac:dyDescent="0.2">
      <c r="A11" s="1">
        <v>46059</v>
      </c>
      <c r="B11">
        <v>510.4</v>
      </c>
      <c r="C11" s="2">
        <f t="shared" si="0"/>
        <v>7.472994463005274E-3</v>
      </c>
    </row>
    <row r="12" spans="1:3" x14ac:dyDescent="0.2">
      <c r="A12" s="1">
        <v>46058</v>
      </c>
      <c r="B12">
        <v>506.6</v>
      </c>
      <c r="C12" s="2">
        <f t="shared" si="0"/>
        <v>-5.511824977781677E-3</v>
      </c>
    </row>
    <row r="13" spans="1:3" x14ac:dyDescent="0.2">
      <c r="A13" s="1">
        <v>46057</v>
      </c>
      <c r="B13">
        <v>509.4</v>
      </c>
      <c r="C13" s="2">
        <f t="shared" si="0"/>
        <v>7.8833675912627701E-3</v>
      </c>
    </row>
    <row r="14" spans="1:3" x14ac:dyDescent="0.2">
      <c r="A14" s="1">
        <v>46056</v>
      </c>
      <c r="B14">
        <v>505.4</v>
      </c>
      <c r="C14" s="2">
        <f t="shared" si="0"/>
        <v>-4.3367229115129836E-2</v>
      </c>
    </row>
    <row r="15" spans="1:3" x14ac:dyDescent="0.2">
      <c r="A15" s="1">
        <v>46055</v>
      </c>
      <c r="B15">
        <v>527.79999999999995</v>
      </c>
      <c r="C15" s="2">
        <f t="shared" si="0"/>
        <v>1.9901154317294806E-2</v>
      </c>
    </row>
    <row r="16" spans="1:3" x14ac:dyDescent="0.2">
      <c r="A16" s="1">
        <v>46052</v>
      </c>
      <c r="B16">
        <v>517.4</v>
      </c>
      <c r="C16" s="2">
        <f t="shared" si="0"/>
        <v>6.5930042967636254E-3</v>
      </c>
    </row>
    <row r="17" spans="1:3" x14ac:dyDescent="0.2">
      <c r="A17" s="1">
        <v>46051</v>
      </c>
      <c r="B17">
        <v>514</v>
      </c>
      <c r="C17" s="2">
        <f t="shared" si="0"/>
        <v>1.3712261863982014E-2</v>
      </c>
    </row>
    <row r="18" spans="1:3" x14ac:dyDescent="0.2">
      <c r="A18" s="1">
        <v>46050</v>
      </c>
      <c r="B18">
        <v>507</v>
      </c>
      <c r="C18" s="2">
        <f t="shared" si="0"/>
        <v>-1.0204170174241847E-2</v>
      </c>
    </row>
    <row r="19" spans="1:3" x14ac:dyDescent="0.2">
      <c r="A19" s="1">
        <v>46049</v>
      </c>
      <c r="B19">
        <v>512.20000000000005</v>
      </c>
      <c r="C19" s="2">
        <f t="shared" si="0"/>
        <v>-3.5080916897401158E-3</v>
      </c>
    </row>
    <row r="20" spans="1:3" x14ac:dyDescent="0.2">
      <c r="A20" s="1">
        <v>46048</v>
      </c>
      <c r="B20">
        <v>514</v>
      </c>
      <c r="C20" s="2">
        <f t="shared" si="0"/>
        <v>1.4896394625198739E-2</v>
      </c>
    </row>
    <row r="21" spans="1:3" x14ac:dyDescent="0.2">
      <c r="A21" s="1">
        <v>46045</v>
      </c>
      <c r="B21">
        <v>506.4</v>
      </c>
      <c r="C21" s="2">
        <f t="shared" si="0"/>
        <v>-6.2992334279872008E-3</v>
      </c>
    </row>
    <row r="22" spans="1:3" x14ac:dyDescent="0.2">
      <c r="A22" s="1">
        <v>46044</v>
      </c>
      <c r="B22">
        <v>509.6</v>
      </c>
      <c r="C22" s="2">
        <f t="shared" si="0"/>
        <v>1.901800583576195E-2</v>
      </c>
    </row>
    <row r="23" spans="1:3" x14ac:dyDescent="0.2">
      <c r="A23" s="1">
        <v>46043</v>
      </c>
      <c r="B23">
        <v>500</v>
      </c>
      <c r="C23" s="2">
        <f t="shared" si="0"/>
        <v>5.816885321564832E-3</v>
      </c>
    </row>
    <row r="24" spans="1:3" x14ac:dyDescent="0.2">
      <c r="A24" s="1">
        <v>46042</v>
      </c>
      <c r="B24">
        <v>497.1</v>
      </c>
      <c r="C24" s="2">
        <f t="shared" si="0"/>
        <v>6.0532872489226447E-3</v>
      </c>
    </row>
    <row r="25" spans="1:3" x14ac:dyDescent="0.2">
      <c r="A25" s="1">
        <v>46041</v>
      </c>
      <c r="B25">
        <v>494.1</v>
      </c>
      <c r="C25" s="2">
        <f t="shared" si="0"/>
        <v>-2.6561721313477112E-2</v>
      </c>
    </row>
    <row r="26" spans="1:3" x14ac:dyDescent="0.2">
      <c r="A26" s="1">
        <v>46038</v>
      </c>
      <c r="B26">
        <v>507.4</v>
      </c>
      <c r="C26" s="2">
        <f t="shared" si="0"/>
        <v>-2.3622058228378296E-3</v>
      </c>
    </row>
    <row r="27" spans="1:3" x14ac:dyDescent="0.2">
      <c r="A27" s="1">
        <v>46037</v>
      </c>
      <c r="B27">
        <v>508.6</v>
      </c>
      <c r="C27" s="2">
        <f t="shared" si="0"/>
        <v>2.0058263586126213E-2</v>
      </c>
    </row>
    <row r="28" spans="1:3" x14ac:dyDescent="0.2">
      <c r="A28" s="1">
        <v>46036</v>
      </c>
      <c r="B28">
        <v>498.5</v>
      </c>
      <c r="C28" s="2">
        <f t="shared" si="0"/>
        <v>1.0688818111703821E-2</v>
      </c>
    </row>
    <row r="29" spans="1:3" x14ac:dyDescent="0.2">
      <c r="A29" s="1">
        <v>46035</v>
      </c>
      <c r="B29">
        <v>493.2</v>
      </c>
      <c r="C29" s="2">
        <f t="shared" si="0"/>
        <v>-2.2278490227243988E-3</v>
      </c>
    </row>
    <row r="30" spans="1:3" x14ac:dyDescent="0.2">
      <c r="A30" s="1">
        <v>46034</v>
      </c>
      <c r="B30">
        <v>494.3</v>
      </c>
      <c r="C30" s="2">
        <f t="shared" si="0"/>
        <v>4.0543335487587739E-3</v>
      </c>
    </row>
    <row r="31" spans="1:3" x14ac:dyDescent="0.2">
      <c r="A31" s="1">
        <v>46031</v>
      </c>
      <c r="B31">
        <v>492.3</v>
      </c>
      <c r="C31" s="2">
        <f t="shared" si="0"/>
        <v>2.8641084127732946E-2</v>
      </c>
    </row>
    <row r="32" spans="1:3" x14ac:dyDescent="0.2">
      <c r="A32" s="1">
        <v>46030</v>
      </c>
      <c r="B32">
        <v>478.4</v>
      </c>
      <c r="C32" s="2">
        <f t="shared" si="0"/>
        <v>-1.287660574600347E-2</v>
      </c>
    </row>
    <row r="33" spans="1:3" x14ac:dyDescent="0.2">
      <c r="A33" s="1">
        <v>46029</v>
      </c>
      <c r="B33">
        <v>484.6</v>
      </c>
      <c r="C33" s="2">
        <f t="shared" si="0"/>
        <v>2.6344822796869973E-2</v>
      </c>
    </row>
    <row r="34" spans="1:3" x14ac:dyDescent="0.2">
      <c r="A34" s="1">
        <v>46027</v>
      </c>
      <c r="B34">
        <v>472</v>
      </c>
      <c r="C34" s="2">
        <f t="shared" si="0"/>
        <v>7.6563538619931456E-3</v>
      </c>
    </row>
    <row r="35" spans="1:3" x14ac:dyDescent="0.2">
      <c r="A35" s="1">
        <v>46024</v>
      </c>
      <c r="B35">
        <v>468.4</v>
      </c>
      <c r="C35" s="2">
        <f t="shared" si="0"/>
        <v>5.7809817352308104E-3</v>
      </c>
    </row>
    <row r="36" spans="1:3" x14ac:dyDescent="0.2">
      <c r="A36" s="1">
        <v>46021</v>
      </c>
      <c r="B36">
        <v>465.7</v>
      </c>
      <c r="C36" s="2">
        <f t="shared" si="0"/>
        <v>3.2261561479949297E-3</v>
      </c>
    </row>
    <row r="37" spans="1:3" x14ac:dyDescent="0.2">
      <c r="A37" s="1">
        <v>46020</v>
      </c>
      <c r="B37">
        <v>464.2</v>
      </c>
      <c r="C37" s="2">
        <f t="shared" si="0"/>
        <v>6.0501481006833453E-3</v>
      </c>
    </row>
    <row r="38" spans="1:3" x14ac:dyDescent="0.2">
      <c r="A38" s="1">
        <v>46014</v>
      </c>
      <c r="B38">
        <v>461.4</v>
      </c>
      <c r="C38" s="2">
        <f t="shared" si="0"/>
        <v>-2.1670820325362468E-4</v>
      </c>
    </row>
    <row r="39" spans="1:3" x14ac:dyDescent="0.2">
      <c r="A39" s="1">
        <v>46013</v>
      </c>
      <c r="B39">
        <v>461.5</v>
      </c>
      <c r="C39" s="2">
        <f t="shared" si="0"/>
        <v>1.9520665563220159E-3</v>
      </c>
    </row>
    <row r="40" spans="1:3" x14ac:dyDescent="0.2">
      <c r="A40" s="1">
        <v>46010</v>
      </c>
      <c r="B40">
        <v>460.6</v>
      </c>
      <c r="C40" s="2">
        <f t="shared" si="0"/>
        <v>8.5032671956316794E-3</v>
      </c>
    </row>
    <row r="41" spans="1:3" x14ac:dyDescent="0.2">
      <c r="A41" s="1">
        <v>46009</v>
      </c>
      <c r="B41">
        <v>456.7</v>
      </c>
      <c r="C41" s="2">
        <f t="shared" si="0"/>
        <v>1.74493659824667E-2</v>
      </c>
    </row>
    <row r="42" spans="1:3" x14ac:dyDescent="0.2">
      <c r="A42" s="1">
        <v>46008</v>
      </c>
      <c r="B42">
        <v>448.8</v>
      </c>
      <c r="C42" s="2">
        <f t="shared" si="0"/>
        <v>-2.1164811192043158E-2</v>
      </c>
    </row>
    <row r="43" spans="1:3" x14ac:dyDescent="0.2">
      <c r="A43" s="1">
        <v>46007</v>
      </c>
      <c r="B43">
        <v>458.4</v>
      </c>
      <c r="C43" s="2">
        <f t="shared" si="0"/>
        <v>-4.3535114471977754E-3</v>
      </c>
    </row>
    <row r="44" spans="1:3" x14ac:dyDescent="0.2">
      <c r="A44" s="1">
        <v>46006</v>
      </c>
      <c r="B44">
        <v>460.4</v>
      </c>
      <c r="C44" s="2">
        <f t="shared" si="0"/>
        <v>-6.5139509414372182E-4</v>
      </c>
    </row>
    <row r="45" spans="1:3" x14ac:dyDescent="0.2">
      <c r="A45" s="1">
        <v>46003</v>
      </c>
      <c r="B45">
        <v>460.7</v>
      </c>
      <c r="C45" s="2">
        <f t="shared" si="0"/>
        <v>-4.9799821443627518E-3</v>
      </c>
    </row>
    <row r="46" spans="1:3" x14ac:dyDescent="0.2">
      <c r="A46" s="1">
        <v>46002</v>
      </c>
      <c r="B46">
        <v>463</v>
      </c>
      <c r="C46" s="2">
        <f t="shared" si="0"/>
        <v>3.6784635224592927E-3</v>
      </c>
    </row>
    <row r="47" spans="1:3" x14ac:dyDescent="0.2">
      <c r="A47" s="1">
        <v>46001</v>
      </c>
      <c r="B47">
        <v>461.3</v>
      </c>
      <c r="C47" s="2">
        <f t="shared" si="0"/>
        <v>5.6521889606485571E-3</v>
      </c>
    </row>
    <row r="48" spans="1:3" x14ac:dyDescent="0.2">
      <c r="A48" s="1">
        <v>46000</v>
      </c>
      <c r="B48">
        <v>458.7</v>
      </c>
      <c r="C48" s="2">
        <f t="shared" si="0"/>
        <v>-9.7625246556592143E-3</v>
      </c>
    </row>
    <row r="49" spans="1:3" x14ac:dyDescent="0.2">
      <c r="A49" s="1">
        <v>45999</v>
      </c>
      <c r="B49">
        <v>463.2</v>
      </c>
      <c r="C49" s="2">
        <f t="shared" si="0"/>
        <v>-4.7383246094057918E-3</v>
      </c>
    </row>
    <row r="50" spans="1:3" x14ac:dyDescent="0.2">
      <c r="A50" s="1">
        <v>45996</v>
      </c>
      <c r="B50">
        <v>465.4</v>
      </c>
      <c r="C50" s="2">
        <f t="shared" si="0"/>
        <v>-4.2881712365662582E-3</v>
      </c>
    </row>
    <row r="51" spans="1:3" x14ac:dyDescent="0.2">
      <c r="A51" s="1">
        <v>45995</v>
      </c>
      <c r="B51">
        <v>467.4</v>
      </c>
      <c r="C51" s="2">
        <f t="shared" si="0"/>
        <v>3.9494606028643221E-2</v>
      </c>
    </row>
    <row r="52" spans="1:3" x14ac:dyDescent="0.2">
      <c r="A52" s="1">
        <v>45994</v>
      </c>
      <c r="B52">
        <v>449.3</v>
      </c>
      <c r="C52" s="2">
        <f t="shared" si="0"/>
        <v>1.0066073139741611E-2</v>
      </c>
    </row>
    <row r="53" spans="1:3" x14ac:dyDescent="0.2">
      <c r="A53" s="1">
        <v>45993</v>
      </c>
      <c r="B53">
        <v>444.8</v>
      </c>
      <c r="C53" s="2">
        <f t="shared" si="0"/>
        <v>-2.245678015395899E-3</v>
      </c>
    </row>
    <row r="54" spans="1:3" x14ac:dyDescent="0.2">
      <c r="A54" s="1">
        <v>45992</v>
      </c>
      <c r="B54">
        <v>445.8</v>
      </c>
      <c r="C54" s="2">
        <f t="shared" si="0"/>
        <v>2.2434099925841645E-4</v>
      </c>
    </row>
    <row r="55" spans="1:3" x14ac:dyDescent="0.2">
      <c r="A55" s="1">
        <v>45989</v>
      </c>
      <c r="B55">
        <v>445.7</v>
      </c>
      <c r="C55" s="2">
        <f t="shared" si="0"/>
        <v>3.8215175202853981E-3</v>
      </c>
    </row>
    <row r="56" spans="1:3" x14ac:dyDescent="0.2">
      <c r="A56" s="1">
        <v>45988</v>
      </c>
      <c r="B56">
        <v>444</v>
      </c>
      <c r="C56" s="2">
        <f t="shared" si="0"/>
        <v>5.1936438297440499E-3</v>
      </c>
    </row>
    <row r="57" spans="1:3" x14ac:dyDescent="0.2">
      <c r="A57" s="1">
        <v>45987</v>
      </c>
      <c r="B57">
        <v>441.7</v>
      </c>
      <c r="C57" s="2">
        <f t="shared" si="0"/>
        <v>1.1326312231334657E-3</v>
      </c>
    </row>
    <row r="58" spans="1:3" x14ac:dyDescent="0.2">
      <c r="A58" s="1">
        <v>45986</v>
      </c>
      <c r="B58">
        <v>441.2</v>
      </c>
      <c r="C58" s="2">
        <f t="shared" si="0"/>
        <v>2.0147201614294202E-2</v>
      </c>
    </row>
    <row r="59" spans="1:3" x14ac:dyDescent="0.2">
      <c r="A59" s="1">
        <v>45985</v>
      </c>
      <c r="B59">
        <v>432.4</v>
      </c>
      <c r="C59" s="2">
        <f t="shared" si="0"/>
        <v>0</v>
      </c>
    </row>
    <row r="60" spans="1:3" x14ac:dyDescent="0.2">
      <c r="A60" s="1">
        <v>45982</v>
      </c>
      <c r="B60">
        <v>432.4</v>
      </c>
      <c r="C60" s="2">
        <f t="shared" si="0"/>
        <v>-6.224803961581332E-3</v>
      </c>
    </row>
    <row r="61" spans="1:3" x14ac:dyDescent="0.2">
      <c r="A61" s="1">
        <v>45981</v>
      </c>
      <c r="B61">
        <v>435.1</v>
      </c>
      <c r="C61" s="2">
        <f t="shared" si="0"/>
        <v>2.99229133386041E-3</v>
      </c>
    </row>
    <row r="62" spans="1:3" x14ac:dyDescent="0.2">
      <c r="A62" s="1">
        <v>45980</v>
      </c>
      <c r="B62">
        <v>433.8</v>
      </c>
      <c r="C62" s="2">
        <f t="shared" si="0"/>
        <v>-4.5998241177454477E-3</v>
      </c>
    </row>
    <row r="63" spans="1:3" x14ac:dyDescent="0.2">
      <c r="A63" s="1">
        <v>45979</v>
      </c>
      <c r="B63">
        <v>435.8</v>
      </c>
      <c r="C63" s="2">
        <f t="shared" si="0"/>
        <v>-2.4031988556581584E-2</v>
      </c>
    </row>
    <row r="64" spans="1:3" x14ac:dyDescent="0.2">
      <c r="A64" s="1">
        <v>45978</v>
      </c>
      <c r="B64">
        <v>446.4</v>
      </c>
      <c r="C64" s="2">
        <f t="shared" si="0"/>
        <v>-1.0473633347249161E-2</v>
      </c>
    </row>
    <row r="65" spans="1:3" x14ac:dyDescent="0.2">
      <c r="A65" s="1">
        <v>45975</v>
      </c>
      <c r="B65">
        <v>451.1</v>
      </c>
      <c r="C65" s="2">
        <f t="shared" si="0"/>
        <v>-6.8485852571077725E-3</v>
      </c>
    </row>
    <row r="66" spans="1:3" x14ac:dyDescent="0.2">
      <c r="A66" s="1">
        <v>45974</v>
      </c>
      <c r="B66">
        <v>454.2</v>
      </c>
      <c r="C66" s="2">
        <f t="shared" si="0"/>
        <v>-4.6128582618988299E-3</v>
      </c>
    </row>
    <row r="67" spans="1:3" x14ac:dyDescent="0.2">
      <c r="A67" s="1">
        <v>45973</v>
      </c>
      <c r="B67">
        <v>456.3</v>
      </c>
      <c r="C67" s="2">
        <f t="shared" ref="C67:C130" si="1">+LN(B67/B68)</f>
        <v>4.3840421570202475E-4</v>
      </c>
    </row>
    <row r="68" spans="1:3" x14ac:dyDescent="0.2">
      <c r="A68" s="1">
        <v>45972</v>
      </c>
      <c r="B68">
        <v>456.1</v>
      </c>
      <c r="C68" s="2">
        <f t="shared" si="1"/>
        <v>2.3066003765144696E-2</v>
      </c>
    </row>
    <row r="69" spans="1:3" x14ac:dyDescent="0.2">
      <c r="A69" s="1">
        <v>45971</v>
      </c>
      <c r="B69">
        <v>445.7</v>
      </c>
      <c r="C69" s="2">
        <f t="shared" si="1"/>
        <v>1.0601204505664074E-2</v>
      </c>
    </row>
    <row r="70" spans="1:3" x14ac:dyDescent="0.2">
      <c r="A70" s="1">
        <v>45968</v>
      </c>
      <c r="B70">
        <v>441</v>
      </c>
      <c r="C70" s="2">
        <f t="shared" si="1"/>
        <v>-9.0294067193942649E-3</v>
      </c>
    </row>
    <row r="71" spans="1:3" x14ac:dyDescent="0.2">
      <c r="A71" s="1">
        <v>45967</v>
      </c>
      <c r="B71">
        <v>445</v>
      </c>
      <c r="C71" s="2">
        <f t="shared" si="1"/>
        <v>-7.8343993326105525E-3</v>
      </c>
    </row>
    <row r="72" spans="1:3" x14ac:dyDescent="0.2">
      <c r="A72" s="1">
        <v>45966</v>
      </c>
      <c r="B72">
        <v>448.5</v>
      </c>
      <c r="C72" s="2">
        <f t="shared" si="1"/>
        <v>7.3850620974610336E-3</v>
      </c>
    </row>
    <row r="73" spans="1:3" x14ac:dyDescent="0.2">
      <c r="A73" s="1">
        <v>45965</v>
      </c>
      <c r="B73">
        <v>445.2</v>
      </c>
      <c r="C73" s="2">
        <f t="shared" si="1"/>
        <v>-2.0195227328293824E-3</v>
      </c>
    </row>
    <row r="74" spans="1:3" x14ac:dyDescent="0.2">
      <c r="A74" s="1">
        <v>45964</v>
      </c>
      <c r="B74">
        <v>446.1</v>
      </c>
      <c r="C74" s="2">
        <f t="shared" si="1"/>
        <v>-1.755405590712885E-2</v>
      </c>
    </row>
    <row r="75" spans="1:3" x14ac:dyDescent="0.2">
      <c r="A75" s="1">
        <v>45961</v>
      </c>
      <c r="B75">
        <v>454</v>
      </c>
      <c r="C75" s="2">
        <f t="shared" si="1"/>
        <v>-5.7105360543472719E-3</v>
      </c>
    </row>
    <row r="76" spans="1:3" x14ac:dyDescent="0.2">
      <c r="A76" s="1">
        <v>45960</v>
      </c>
      <c r="B76">
        <v>456.6</v>
      </c>
      <c r="C76" s="2">
        <f t="shared" si="1"/>
        <v>3.0708512835741597E-3</v>
      </c>
    </row>
    <row r="77" spans="1:3" x14ac:dyDescent="0.2">
      <c r="A77" s="1">
        <v>45959</v>
      </c>
      <c r="B77">
        <v>455.2</v>
      </c>
      <c r="C77" s="2">
        <f t="shared" si="1"/>
        <v>-1.1358794035606405E-2</v>
      </c>
    </row>
    <row r="78" spans="1:3" x14ac:dyDescent="0.2">
      <c r="A78" s="1">
        <v>45958</v>
      </c>
      <c r="B78">
        <v>460.4</v>
      </c>
      <c r="C78" s="2">
        <f t="shared" si="1"/>
        <v>-2.3823425225784602E-2</v>
      </c>
    </row>
    <row r="79" spans="1:3" x14ac:dyDescent="0.2">
      <c r="A79" s="1">
        <v>45957</v>
      </c>
      <c r="B79">
        <v>471.5</v>
      </c>
      <c r="C79" s="2">
        <f t="shared" si="1"/>
        <v>3.8249090405628561E-3</v>
      </c>
    </row>
    <row r="80" spans="1:3" x14ac:dyDescent="0.2">
      <c r="A80" s="1">
        <v>45954</v>
      </c>
      <c r="B80">
        <v>469.7</v>
      </c>
      <c r="C80" s="2">
        <f t="shared" si="1"/>
        <v>1.544763608046946E-2</v>
      </c>
    </row>
    <row r="81" spans="1:3" x14ac:dyDescent="0.2">
      <c r="A81" s="1">
        <v>45953</v>
      </c>
      <c r="B81">
        <v>462.5</v>
      </c>
      <c r="C81" s="2">
        <f t="shared" si="1"/>
        <v>1.3715247102192287E-2</v>
      </c>
    </row>
    <row r="82" spans="1:3" x14ac:dyDescent="0.2">
      <c r="A82" s="1">
        <v>45952</v>
      </c>
      <c r="B82">
        <v>456.2</v>
      </c>
      <c r="C82" s="2">
        <f t="shared" si="1"/>
        <v>-6.5545351550689804E-3</v>
      </c>
    </row>
    <row r="83" spans="1:3" x14ac:dyDescent="0.2">
      <c r="A83" s="1">
        <v>45951</v>
      </c>
      <c r="B83">
        <v>459.2</v>
      </c>
      <c r="C83" s="2">
        <f t="shared" si="1"/>
        <v>1.2711106931928173E-2</v>
      </c>
    </row>
    <row r="84" spans="1:3" x14ac:dyDescent="0.2">
      <c r="A84" s="1">
        <v>45950</v>
      </c>
      <c r="B84">
        <v>453.4</v>
      </c>
      <c r="C84" s="2">
        <f t="shared" si="1"/>
        <v>1.2874761635658278E-2</v>
      </c>
    </row>
    <row r="85" spans="1:3" x14ac:dyDescent="0.2">
      <c r="A85" s="1">
        <v>45947</v>
      </c>
      <c r="B85">
        <v>447.6</v>
      </c>
      <c r="C85" s="2">
        <f t="shared" si="1"/>
        <v>-1.8373510781625434E-2</v>
      </c>
    </row>
    <row r="86" spans="1:3" x14ac:dyDescent="0.2">
      <c r="A86" s="1">
        <v>45946</v>
      </c>
      <c r="B86">
        <v>455.9</v>
      </c>
      <c r="C86" s="2">
        <f t="shared" si="1"/>
        <v>1.2359459911869672E-2</v>
      </c>
    </row>
    <row r="87" spans="1:3" x14ac:dyDescent="0.2">
      <c r="A87" s="1">
        <v>45945</v>
      </c>
      <c r="B87">
        <v>450.3</v>
      </c>
      <c r="C87" s="2">
        <f t="shared" si="1"/>
        <v>-4.4404974086660414E-4</v>
      </c>
    </row>
    <row r="88" spans="1:3" x14ac:dyDescent="0.2">
      <c r="A88" s="1">
        <v>45944</v>
      </c>
      <c r="B88">
        <v>450.5</v>
      </c>
      <c r="C88" s="2">
        <f t="shared" si="1"/>
        <v>-5.9754521054586011E-3</v>
      </c>
    </row>
    <row r="89" spans="1:3" x14ac:dyDescent="0.2">
      <c r="A89" s="1">
        <v>45943</v>
      </c>
      <c r="B89">
        <v>453.2</v>
      </c>
      <c r="C89" s="2">
        <f t="shared" si="1"/>
        <v>1.0647837955846421E-2</v>
      </c>
    </row>
    <row r="90" spans="1:3" x14ac:dyDescent="0.2">
      <c r="A90" s="1">
        <v>45940</v>
      </c>
      <c r="B90">
        <v>448.4</v>
      </c>
      <c r="C90" s="2">
        <f t="shared" si="1"/>
        <v>-8.916630104817922E-4</v>
      </c>
    </row>
    <row r="91" spans="1:3" x14ac:dyDescent="0.2">
      <c r="A91" s="1">
        <v>45939</v>
      </c>
      <c r="B91">
        <v>448.8</v>
      </c>
      <c r="C91" s="2">
        <f t="shared" si="1"/>
        <v>8.9166301048186386E-4</v>
      </c>
    </row>
    <row r="92" spans="1:3" x14ac:dyDescent="0.2">
      <c r="A92" s="1">
        <v>45938</v>
      </c>
      <c r="B92">
        <v>448.4</v>
      </c>
      <c r="C92" s="2">
        <f t="shared" si="1"/>
        <v>2.0091534830947487E-3</v>
      </c>
    </row>
    <row r="93" spans="1:3" x14ac:dyDescent="0.2">
      <c r="A93" s="1">
        <v>45937</v>
      </c>
      <c r="B93">
        <v>447.5</v>
      </c>
      <c r="C93" s="2">
        <f t="shared" si="1"/>
        <v>-3.7916851493780385E-3</v>
      </c>
    </row>
    <row r="94" spans="1:3" x14ac:dyDescent="0.2">
      <c r="A94" s="1">
        <v>45936</v>
      </c>
      <c r="B94">
        <v>449.2</v>
      </c>
      <c r="C94" s="2">
        <f t="shared" si="1"/>
        <v>5.8048834582305961E-3</v>
      </c>
    </row>
    <row r="95" spans="1:3" x14ac:dyDescent="0.2">
      <c r="A95" s="1">
        <v>45933</v>
      </c>
      <c r="B95">
        <v>446.6</v>
      </c>
      <c r="C95" s="2">
        <f t="shared" si="1"/>
        <v>8.9969117891082664E-3</v>
      </c>
    </row>
    <row r="96" spans="1:3" x14ac:dyDescent="0.2">
      <c r="A96" s="1">
        <v>45932</v>
      </c>
      <c r="B96">
        <v>442.6</v>
      </c>
      <c r="C96" s="2">
        <f t="shared" si="1"/>
        <v>2.7951418769374754E-2</v>
      </c>
    </row>
    <row r="97" spans="1:3" x14ac:dyDescent="0.2">
      <c r="A97" s="1">
        <v>45931</v>
      </c>
      <c r="B97">
        <v>430.4</v>
      </c>
      <c r="C97" s="2">
        <f t="shared" si="1"/>
        <v>4.6576702739809404E-3</v>
      </c>
    </row>
    <row r="98" spans="1:3" x14ac:dyDescent="0.2">
      <c r="A98" s="1">
        <v>45930</v>
      </c>
      <c r="B98">
        <v>428.4</v>
      </c>
      <c r="C98" s="2">
        <f t="shared" si="1"/>
        <v>8.9097893044377732E-3</v>
      </c>
    </row>
    <row r="99" spans="1:3" x14ac:dyDescent="0.2">
      <c r="A99" s="1">
        <v>45929</v>
      </c>
      <c r="B99">
        <v>424.6</v>
      </c>
      <c r="C99" s="2">
        <f t="shared" si="1"/>
        <v>-6.3387933808235321E-3</v>
      </c>
    </row>
    <row r="100" spans="1:3" x14ac:dyDescent="0.2">
      <c r="A100" s="1">
        <v>45926</v>
      </c>
      <c r="B100">
        <v>427.3</v>
      </c>
      <c r="C100" s="2">
        <f t="shared" si="1"/>
        <v>-6.2988660376288395E-3</v>
      </c>
    </row>
    <row r="101" spans="1:3" x14ac:dyDescent="0.2">
      <c r="A101" s="1">
        <v>45925</v>
      </c>
      <c r="B101">
        <v>430</v>
      </c>
      <c r="C101" s="2">
        <f t="shared" si="1"/>
        <v>-9.950330853168092E-3</v>
      </c>
    </row>
    <row r="102" spans="1:3" x14ac:dyDescent="0.2">
      <c r="A102" s="1">
        <v>45924</v>
      </c>
      <c r="B102">
        <v>434.3</v>
      </c>
      <c r="C102" s="2">
        <f t="shared" si="1"/>
        <v>-1.5082552823115655E-2</v>
      </c>
    </row>
    <row r="103" spans="1:3" x14ac:dyDescent="0.2">
      <c r="A103" s="1">
        <v>45923</v>
      </c>
      <c r="B103">
        <v>440.9</v>
      </c>
      <c r="C103" s="2">
        <f t="shared" si="1"/>
        <v>1.5773558263487118E-2</v>
      </c>
    </row>
    <row r="104" spans="1:3" x14ac:dyDescent="0.2">
      <c r="A104" s="1">
        <v>45922</v>
      </c>
      <c r="B104">
        <v>434</v>
      </c>
      <c r="C104" s="2">
        <f t="shared" si="1"/>
        <v>8.0972102326193028E-3</v>
      </c>
    </row>
    <row r="105" spans="1:3" x14ac:dyDescent="0.2">
      <c r="A105" s="1">
        <v>45919</v>
      </c>
      <c r="B105">
        <v>430.5</v>
      </c>
      <c r="C105" s="2">
        <f t="shared" si="1"/>
        <v>-7.8667689365194953E-3</v>
      </c>
    </row>
    <row r="106" spans="1:3" x14ac:dyDescent="0.2">
      <c r="A106" s="1">
        <v>45918</v>
      </c>
      <c r="B106">
        <v>433.9</v>
      </c>
      <c r="C106" s="2">
        <f t="shared" si="1"/>
        <v>9.4941085958948762E-3</v>
      </c>
    </row>
    <row r="107" spans="1:3" x14ac:dyDescent="0.2">
      <c r="A107" s="1">
        <v>45917</v>
      </c>
      <c r="B107">
        <v>429.8</v>
      </c>
      <c r="C107" s="2">
        <f t="shared" si="1"/>
        <v>-2.0918078516547313E-3</v>
      </c>
    </row>
    <row r="108" spans="1:3" x14ac:dyDescent="0.2">
      <c r="A108" s="1">
        <v>45916</v>
      </c>
      <c r="B108">
        <v>430.7</v>
      </c>
      <c r="C108" s="2">
        <f t="shared" si="1"/>
        <v>-1.2001067184281967E-2</v>
      </c>
    </row>
    <row r="109" spans="1:3" x14ac:dyDescent="0.2">
      <c r="A109" s="1">
        <v>45915</v>
      </c>
      <c r="B109">
        <v>435.9</v>
      </c>
      <c r="C109" s="2">
        <f t="shared" si="1"/>
        <v>-7.5420309509739453E-3</v>
      </c>
    </row>
    <row r="110" spans="1:3" x14ac:dyDescent="0.2">
      <c r="A110" s="1">
        <v>45912</v>
      </c>
      <c r="B110">
        <v>439.2</v>
      </c>
      <c r="C110" s="2">
        <f t="shared" si="1"/>
        <v>3.6496390875493312E-3</v>
      </c>
    </row>
    <row r="111" spans="1:3" x14ac:dyDescent="0.2">
      <c r="A111" s="1">
        <v>45911</v>
      </c>
      <c r="B111">
        <v>437.6</v>
      </c>
      <c r="C111" s="2">
        <f t="shared" si="1"/>
        <v>1.8298266770761572E-3</v>
      </c>
    </row>
    <row r="112" spans="1:3" x14ac:dyDescent="0.2">
      <c r="A112" s="1">
        <v>45910</v>
      </c>
      <c r="B112">
        <v>436.8</v>
      </c>
      <c r="C112" s="2">
        <f t="shared" si="1"/>
        <v>3.4399758724434804E-3</v>
      </c>
    </row>
    <row r="113" spans="1:3" x14ac:dyDescent="0.2">
      <c r="A113" s="1">
        <v>45909</v>
      </c>
      <c r="B113">
        <v>435.3</v>
      </c>
      <c r="C113" s="2">
        <f t="shared" si="1"/>
        <v>-6.6399786031142759E-3</v>
      </c>
    </row>
    <row r="114" spans="1:3" x14ac:dyDescent="0.2">
      <c r="A114" s="1">
        <v>45908</v>
      </c>
      <c r="B114">
        <v>438.2</v>
      </c>
      <c r="C114" s="2">
        <f t="shared" si="1"/>
        <v>1.0322376320045673E-2</v>
      </c>
    </row>
    <row r="115" spans="1:3" x14ac:dyDescent="0.2">
      <c r="A115" s="1">
        <v>45905</v>
      </c>
      <c r="B115">
        <v>433.7</v>
      </c>
      <c r="C115" s="2">
        <f t="shared" si="1"/>
        <v>1.3931035608457652E-2</v>
      </c>
    </row>
    <row r="116" spans="1:3" x14ac:dyDescent="0.2">
      <c r="A116" s="1">
        <v>45904</v>
      </c>
      <c r="B116">
        <v>427.7</v>
      </c>
      <c r="C116" s="2">
        <f t="shared" si="1"/>
        <v>-4.1997261914471541E-3</v>
      </c>
    </row>
    <row r="117" spans="1:3" x14ac:dyDescent="0.2">
      <c r="A117" s="1">
        <v>45903</v>
      </c>
      <c r="B117">
        <v>429.5</v>
      </c>
      <c r="C117" s="2">
        <f t="shared" si="1"/>
        <v>1.1945334684482134E-2</v>
      </c>
    </row>
    <row r="118" spans="1:3" x14ac:dyDescent="0.2">
      <c r="A118" s="1">
        <v>45902</v>
      </c>
      <c r="B118">
        <v>424.4</v>
      </c>
      <c r="C118" s="2">
        <f t="shared" si="1"/>
        <v>-1.566367501326095E-2</v>
      </c>
    </row>
    <row r="119" spans="1:3" x14ac:dyDescent="0.2">
      <c r="A119" s="1">
        <v>45901</v>
      </c>
      <c r="B119">
        <v>431.1</v>
      </c>
      <c r="C119" s="2">
        <f t="shared" si="1"/>
        <v>1.3927578853034758E-3</v>
      </c>
    </row>
    <row r="120" spans="1:3" x14ac:dyDescent="0.2">
      <c r="A120" s="1">
        <v>45898</v>
      </c>
      <c r="B120">
        <v>430.5</v>
      </c>
      <c r="C120" s="2">
        <f t="shared" si="1"/>
        <v>-1.292425098093529E-2</v>
      </c>
    </row>
    <row r="121" spans="1:3" x14ac:dyDescent="0.2">
      <c r="A121" s="1">
        <v>45897</v>
      </c>
      <c r="B121">
        <v>436.1</v>
      </c>
      <c r="C121" s="2">
        <f t="shared" si="1"/>
        <v>-4.1189989586318289E-3</v>
      </c>
    </row>
    <row r="122" spans="1:3" x14ac:dyDescent="0.2">
      <c r="A122" s="1">
        <v>45896</v>
      </c>
      <c r="B122">
        <v>437.9</v>
      </c>
      <c r="C122" s="2">
        <f t="shared" si="1"/>
        <v>1.0329484705094091E-2</v>
      </c>
    </row>
    <row r="123" spans="1:3" x14ac:dyDescent="0.2">
      <c r="A123" s="1">
        <v>45895</v>
      </c>
      <c r="B123">
        <v>433.4</v>
      </c>
      <c r="C123" s="2">
        <f t="shared" si="1"/>
        <v>-8.5009127670103209E-3</v>
      </c>
    </row>
    <row r="124" spans="1:3" x14ac:dyDescent="0.2">
      <c r="A124" s="1">
        <v>45894</v>
      </c>
      <c r="B124">
        <v>437.1</v>
      </c>
      <c r="C124" s="2">
        <f t="shared" si="1"/>
        <v>-1.7687535942727144E-2</v>
      </c>
    </row>
    <row r="125" spans="1:3" x14ac:dyDescent="0.2">
      <c r="A125" s="1">
        <v>45891</v>
      </c>
      <c r="B125">
        <v>444.9</v>
      </c>
      <c r="C125" s="2">
        <f t="shared" si="1"/>
        <v>2.2043842270263167E-2</v>
      </c>
    </row>
    <row r="126" spans="1:3" x14ac:dyDescent="0.2">
      <c r="A126" s="1">
        <v>45890</v>
      </c>
      <c r="B126">
        <v>435.2</v>
      </c>
      <c r="C126" s="2">
        <f t="shared" si="1"/>
        <v>-5.2710102559362397E-3</v>
      </c>
    </row>
    <row r="127" spans="1:3" x14ac:dyDescent="0.2">
      <c r="A127" s="1">
        <v>45889</v>
      </c>
      <c r="B127">
        <v>437.5</v>
      </c>
      <c r="C127" s="2">
        <f t="shared" si="1"/>
        <v>-5.4707225570048753E-3</v>
      </c>
    </row>
    <row r="128" spans="1:3" x14ac:dyDescent="0.2">
      <c r="A128" s="1">
        <v>45888</v>
      </c>
      <c r="B128">
        <v>439.9</v>
      </c>
      <c r="C128" s="2">
        <f t="shared" si="1"/>
        <v>4.20161603099998E-2</v>
      </c>
    </row>
    <row r="129" spans="1:3" x14ac:dyDescent="0.2">
      <c r="A129" s="1">
        <v>45887</v>
      </c>
      <c r="B129">
        <v>421.8</v>
      </c>
      <c r="C129" s="2">
        <f t="shared" si="1"/>
        <v>-2.1314395280699863E-3</v>
      </c>
    </row>
    <row r="130" spans="1:3" x14ac:dyDescent="0.2">
      <c r="A130" s="1">
        <v>45884</v>
      </c>
      <c r="B130">
        <v>422.7</v>
      </c>
      <c r="C130" s="2">
        <f t="shared" si="1"/>
        <v>4.5050461492440403E-3</v>
      </c>
    </row>
    <row r="131" spans="1:3" x14ac:dyDescent="0.2">
      <c r="A131" s="1">
        <v>45883</v>
      </c>
      <c r="B131">
        <v>420.8</v>
      </c>
      <c r="C131" s="2">
        <f t="shared" ref="C131:C194" si="2">+LN(B131/B132)</f>
        <v>5.2418514116006811E-3</v>
      </c>
    </row>
    <row r="132" spans="1:3" x14ac:dyDescent="0.2">
      <c r="A132" s="1">
        <v>45882</v>
      </c>
      <c r="B132">
        <v>418.6</v>
      </c>
      <c r="C132" s="2">
        <f t="shared" si="2"/>
        <v>-3.3389012655145986E-3</v>
      </c>
    </row>
    <row r="133" spans="1:3" x14ac:dyDescent="0.2">
      <c r="A133" s="1">
        <v>45881</v>
      </c>
      <c r="B133">
        <v>420</v>
      </c>
      <c r="C133" s="2">
        <f t="shared" si="2"/>
        <v>1.0531452052341513E-2</v>
      </c>
    </row>
    <row r="134" spans="1:3" x14ac:dyDescent="0.2">
      <c r="A134" s="1">
        <v>45880</v>
      </c>
      <c r="B134">
        <v>415.6</v>
      </c>
      <c r="C134" s="2">
        <f t="shared" si="2"/>
        <v>-1.0769518950264066E-2</v>
      </c>
    </row>
    <row r="135" spans="1:3" x14ac:dyDescent="0.2">
      <c r="A135" s="1">
        <v>45877</v>
      </c>
      <c r="B135">
        <v>420.1</v>
      </c>
      <c r="C135" s="2">
        <f t="shared" si="2"/>
        <v>-2.3775569925456826E-3</v>
      </c>
    </row>
    <row r="136" spans="1:3" x14ac:dyDescent="0.2">
      <c r="A136" s="1">
        <v>45876</v>
      </c>
      <c r="B136">
        <v>421.1</v>
      </c>
      <c r="C136" s="2">
        <f t="shared" si="2"/>
        <v>2.8537474777346156E-3</v>
      </c>
    </row>
    <row r="137" spans="1:3" x14ac:dyDescent="0.2">
      <c r="A137" s="1">
        <v>45875</v>
      </c>
      <c r="B137">
        <v>419.9</v>
      </c>
      <c r="C137" s="2">
        <f t="shared" si="2"/>
        <v>-9.5215432092347462E-4</v>
      </c>
    </row>
    <row r="138" spans="1:3" x14ac:dyDescent="0.2">
      <c r="A138" s="1">
        <v>45874</v>
      </c>
      <c r="B138">
        <v>420.3</v>
      </c>
      <c r="C138" s="2">
        <f t="shared" si="2"/>
        <v>1.4285716715259137E-3</v>
      </c>
    </row>
    <row r="139" spans="1:3" x14ac:dyDescent="0.2">
      <c r="A139" s="1">
        <v>45873</v>
      </c>
      <c r="B139">
        <v>419.7</v>
      </c>
      <c r="C139" s="2">
        <f t="shared" si="2"/>
        <v>3.8195319770257582E-3</v>
      </c>
    </row>
    <row r="140" spans="1:3" x14ac:dyDescent="0.2">
      <c r="A140" s="1">
        <v>45870</v>
      </c>
      <c r="B140">
        <v>418.1</v>
      </c>
      <c r="C140" s="2">
        <f t="shared" si="2"/>
        <v>-1.9891728569214378E-2</v>
      </c>
    </row>
    <row r="141" spans="1:3" x14ac:dyDescent="0.2">
      <c r="A141" s="1">
        <v>45869</v>
      </c>
      <c r="B141">
        <v>426.5</v>
      </c>
      <c r="C141" s="2">
        <f t="shared" si="2"/>
        <v>-6.5436082987811598E-3</v>
      </c>
    </row>
    <row r="142" spans="1:3" x14ac:dyDescent="0.2">
      <c r="A142" s="1">
        <v>45868</v>
      </c>
      <c r="B142">
        <v>429.3</v>
      </c>
      <c r="C142" s="2">
        <f t="shared" si="2"/>
        <v>1.1008425961359133E-2</v>
      </c>
    </row>
    <row r="143" spans="1:3" x14ac:dyDescent="0.2">
      <c r="A143" s="1">
        <v>45867</v>
      </c>
      <c r="B143">
        <v>424.6</v>
      </c>
      <c r="C143" s="2">
        <f t="shared" si="2"/>
        <v>8.2772141012735292E-3</v>
      </c>
    </row>
    <row r="144" spans="1:3" x14ac:dyDescent="0.2">
      <c r="A144" s="1">
        <v>45866</v>
      </c>
      <c r="B144">
        <v>421.1</v>
      </c>
      <c r="C144" s="2">
        <f t="shared" si="2"/>
        <v>-5.2108123589958812E-3</v>
      </c>
    </row>
    <row r="145" spans="1:3" x14ac:dyDescent="0.2">
      <c r="A145" s="1">
        <v>45863</v>
      </c>
      <c r="B145">
        <v>423.3</v>
      </c>
      <c r="C145" s="2">
        <f t="shared" si="2"/>
        <v>-6.1234294022897359E-3</v>
      </c>
    </row>
    <row r="146" spans="1:3" x14ac:dyDescent="0.2">
      <c r="A146" s="1">
        <v>45862</v>
      </c>
      <c r="B146">
        <v>425.9</v>
      </c>
      <c r="C146" s="2">
        <f t="shared" si="2"/>
        <v>-9.3874684199690347E-4</v>
      </c>
    </row>
    <row r="147" spans="1:3" x14ac:dyDescent="0.2">
      <c r="A147" s="1">
        <v>45861</v>
      </c>
      <c r="B147">
        <v>426.3</v>
      </c>
      <c r="C147" s="2">
        <f t="shared" si="2"/>
        <v>3.9474087966365201E-2</v>
      </c>
    </row>
    <row r="148" spans="1:3" x14ac:dyDescent="0.2">
      <c r="A148" s="1">
        <v>45860</v>
      </c>
      <c r="B148">
        <v>409.8</v>
      </c>
      <c r="C148" s="2">
        <f t="shared" si="2"/>
        <v>-2.7438544455020995E-2</v>
      </c>
    </row>
    <row r="149" spans="1:3" x14ac:dyDescent="0.2">
      <c r="A149" s="1">
        <v>45859</v>
      </c>
      <c r="B149">
        <v>421.2</v>
      </c>
      <c r="C149" s="2">
        <f t="shared" si="2"/>
        <v>-7.0972618707616586E-3</v>
      </c>
    </row>
    <row r="150" spans="1:3" x14ac:dyDescent="0.2">
      <c r="A150" s="1">
        <v>45856</v>
      </c>
      <c r="B150">
        <v>424.2</v>
      </c>
      <c r="C150" s="2">
        <f t="shared" si="2"/>
        <v>-1.6135039622506994E-2</v>
      </c>
    </row>
    <row r="151" spans="1:3" x14ac:dyDescent="0.2">
      <c r="A151" s="1">
        <v>45855</v>
      </c>
      <c r="B151">
        <v>431.1</v>
      </c>
      <c r="C151" s="2">
        <f t="shared" si="2"/>
        <v>3.5174167793554895E-2</v>
      </c>
    </row>
    <row r="152" spans="1:3" x14ac:dyDescent="0.2">
      <c r="A152" s="1">
        <v>45854</v>
      </c>
      <c r="B152">
        <v>416.2</v>
      </c>
      <c r="C152" s="2">
        <f t="shared" si="2"/>
        <v>-9.088797317879975E-3</v>
      </c>
    </row>
    <row r="153" spans="1:3" x14ac:dyDescent="0.2">
      <c r="A153" s="1">
        <v>45853</v>
      </c>
      <c r="B153">
        <v>420</v>
      </c>
      <c r="C153" s="2">
        <f t="shared" si="2"/>
        <v>7.6482208382568188E-3</v>
      </c>
    </row>
    <row r="154" spans="1:3" x14ac:dyDescent="0.2">
      <c r="A154" s="1">
        <v>45852</v>
      </c>
      <c r="B154">
        <v>416.8</v>
      </c>
      <c r="C154" s="2">
        <f t="shared" si="2"/>
        <v>-5.5030644918687066E-3</v>
      </c>
    </row>
    <row r="155" spans="1:3" x14ac:dyDescent="0.2">
      <c r="A155" s="1">
        <v>45849</v>
      </c>
      <c r="B155">
        <v>419.1</v>
      </c>
      <c r="C155" s="2">
        <f t="shared" si="2"/>
        <v>-9.7353256130636983E-3</v>
      </c>
    </row>
    <row r="156" spans="1:3" x14ac:dyDescent="0.2">
      <c r="A156" s="1">
        <v>45848</v>
      </c>
      <c r="B156">
        <v>423.2</v>
      </c>
      <c r="C156" s="2">
        <f t="shared" si="2"/>
        <v>1.7881034285497879E-2</v>
      </c>
    </row>
    <row r="157" spans="1:3" x14ac:dyDescent="0.2">
      <c r="A157" s="1">
        <v>45847</v>
      </c>
      <c r="B157">
        <v>415.7</v>
      </c>
      <c r="C157" s="2">
        <f t="shared" si="2"/>
        <v>2.1673699032193623E-3</v>
      </c>
    </row>
    <row r="158" spans="1:3" x14ac:dyDescent="0.2">
      <c r="A158" s="1">
        <v>45846</v>
      </c>
      <c r="B158">
        <v>414.8</v>
      </c>
      <c r="C158" s="2">
        <f t="shared" si="2"/>
        <v>1.0420547462889434E-2</v>
      </c>
    </row>
    <row r="159" spans="1:3" x14ac:dyDescent="0.2">
      <c r="A159" s="1">
        <v>45845</v>
      </c>
      <c r="B159">
        <v>410.5</v>
      </c>
      <c r="C159" s="2">
        <f t="shared" si="2"/>
        <v>6.1087544883211909E-3</v>
      </c>
    </row>
    <row r="160" spans="1:3" x14ac:dyDescent="0.2">
      <c r="A160" s="1">
        <v>45842</v>
      </c>
      <c r="B160">
        <v>408</v>
      </c>
      <c r="C160" s="2">
        <f t="shared" si="2"/>
        <v>-6.1087544883212533E-3</v>
      </c>
    </row>
    <row r="161" spans="1:3" x14ac:dyDescent="0.2">
      <c r="A161" s="1">
        <v>45841</v>
      </c>
      <c r="B161">
        <v>410.5</v>
      </c>
      <c r="C161" s="2">
        <f t="shared" si="2"/>
        <v>8.8084738848386891E-3</v>
      </c>
    </row>
    <row r="162" spans="1:3" x14ac:dyDescent="0.2">
      <c r="A162" s="1">
        <v>45840</v>
      </c>
      <c r="B162">
        <v>406.9</v>
      </c>
      <c r="C162" s="2">
        <f t="shared" si="2"/>
        <v>2.08599567773744E-2</v>
      </c>
    </row>
    <row r="163" spans="1:3" x14ac:dyDescent="0.2">
      <c r="A163" s="1">
        <v>45839</v>
      </c>
      <c r="B163">
        <v>398.5</v>
      </c>
      <c r="C163" s="2">
        <f t="shared" si="2"/>
        <v>1.7581318103978992E-3</v>
      </c>
    </row>
    <row r="164" spans="1:3" x14ac:dyDescent="0.2">
      <c r="A164" s="1">
        <v>45838</v>
      </c>
      <c r="B164">
        <v>397.8</v>
      </c>
      <c r="C164" s="2">
        <f t="shared" si="2"/>
        <v>-7.26365122222704E-3</v>
      </c>
    </row>
    <row r="165" spans="1:3" x14ac:dyDescent="0.2">
      <c r="A165" s="1">
        <v>45835</v>
      </c>
      <c r="B165">
        <v>400.7</v>
      </c>
      <c r="C165" s="2">
        <f t="shared" si="2"/>
        <v>2.4761244843189704E-2</v>
      </c>
    </row>
    <row r="166" spans="1:3" x14ac:dyDescent="0.2">
      <c r="A166" s="1">
        <v>45834</v>
      </c>
      <c r="B166">
        <v>390.9</v>
      </c>
      <c r="C166" s="2">
        <f t="shared" si="2"/>
        <v>-7.1374251507827797E-3</v>
      </c>
    </row>
    <row r="167" spans="1:3" x14ac:dyDescent="0.2">
      <c r="A167" s="1">
        <v>45833</v>
      </c>
      <c r="B167">
        <v>393.7</v>
      </c>
      <c r="C167" s="2">
        <f t="shared" si="2"/>
        <v>1.7795860804305321E-3</v>
      </c>
    </row>
    <row r="168" spans="1:3" x14ac:dyDescent="0.2">
      <c r="A168" s="1">
        <v>45832</v>
      </c>
      <c r="B168">
        <v>393</v>
      </c>
      <c r="C168" s="2">
        <f t="shared" si="2"/>
        <v>5.3578390703520702E-3</v>
      </c>
    </row>
    <row r="169" spans="1:3" x14ac:dyDescent="0.2">
      <c r="A169" s="1">
        <v>45831</v>
      </c>
      <c r="B169">
        <v>390.9</v>
      </c>
      <c r="C169" s="2">
        <f t="shared" si="2"/>
        <v>-2.5010776971745988E-2</v>
      </c>
    </row>
    <row r="170" spans="1:3" x14ac:dyDescent="0.2">
      <c r="A170" s="1">
        <v>45827</v>
      </c>
      <c r="B170">
        <v>400.8</v>
      </c>
      <c r="C170" s="2">
        <f t="shared" si="2"/>
        <v>3.2487845643256312E-3</v>
      </c>
    </row>
    <row r="171" spans="1:3" x14ac:dyDescent="0.2">
      <c r="A171" s="1">
        <v>45826</v>
      </c>
      <c r="B171">
        <v>399.5</v>
      </c>
      <c r="C171" s="2">
        <f t="shared" si="2"/>
        <v>-2.0005007921985855E-3</v>
      </c>
    </row>
    <row r="172" spans="1:3" x14ac:dyDescent="0.2">
      <c r="A172" s="1">
        <v>45825</v>
      </c>
      <c r="B172">
        <v>400.3</v>
      </c>
      <c r="C172" s="2">
        <f t="shared" si="2"/>
        <v>-8.4577618603671623E-3</v>
      </c>
    </row>
    <row r="173" spans="1:3" x14ac:dyDescent="0.2">
      <c r="A173" s="1">
        <v>45824</v>
      </c>
      <c r="B173">
        <v>403.7</v>
      </c>
      <c r="C173" s="2">
        <f t="shared" si="2"/>
        <v>7.4340233878383399E-4</v>
      </c>
    </row>
    <row r="174" spans="1:3" x14ac:dyDescent="0.2">
      <c r="A174" s="1">
        <v>45821</v>
      </c>
      <c r="B174">
        <v>403.4</v>
      </c>
      <c r="C174" s="2">
        <f t="shared" si="2"/>
        <v>-1.9811794494092485E-3</v>
      </c>
    </row>
    <row r="175" spans="1:3" x14ac:dyDescent="0.2">
      <c r="A175" s="1">
        <v>45820</v>
      </c>
      <c r="B175">
        <v>404.2</v>
      </c>
      <c r="C175" s="2">
        <f t="shared" si="2"/>
        <v>-1.4247354728832864E-2</v>
      </c>
    </row>
    <row r="176" spans="1:3" x14ac:dyDescent="0.2">
      <c r="A176" s="1">
        <v>45819</v>
      </c>
      <c r="B176">
        <v>410</v>
      </c>
      <c r="C176" s="2">
        <f t="shared" si="2"/>
        <v>-1.7168841504546128E-2</v>
      </c>
    </row>
    <row r="177" spans="1:3" x14ac:dyDescent="0.2">
      <c r="A177" s="1">
        <v>45818</v>
      </c>
      <c r="B177">
        <v>417.1</v>
      </c>
      <c r="C177" s="2">
        <f t="shared" si="2"/>
        <v>7.460027377585123E-3</v>
      </c>
    </row>
    <row r="178" spans="1:3" x14ac:dyDescent="0.2">
      <c r="A178" s="1">
        <v>45817</v>
      </c>
      <c r="B178">
        <v>414</v>
      </c>
      <c r="C178" s="2">
        <f t="shared" si="2"/>
        <v>-7.2437525804173292E-4</v>
      </c>
    </row>
    <row r="179" spans="1:3" x14ac:dyDescent="0.2">
      <c r="A179" s="1">
        <v>45813</v>
      </c>
      <c r="B179">
        <v>414.3</v>
      </c>
      <c r="C179" s="2">
        <f t="shared" si="2"/>
        <v>1.9328346196100835E-3</v>
      </c>
    </row>
    <row r="180" spans="1:3" x14ac:dyDescent="0.2">
      <c r="A180" s="1">
        <v>45812</v>
      </c>
      <c r="B180">
        <v>413.5</v>
      </c>
      <c r="C180" s="2">
        <f t="shared" si="2"/>
        <v>1.5598658954812866E-2</v>
      </c>
    </row>
    <row r="181" spans="1:3" x14ac:dyDescent="0.2">
      <c r="A181" s="1">
        <v>45811</v>
      </c>
      <c r="B181">
        <v>407.1</v>
      </c>
      <c r="C181" s="2">
        <f t="shared" si="2"/>
        <v>1.1860776553190649E-2</v>
      </c>
    </row>
    <row r="182" spans="1:3" x14ac:dyDescent="0.2">
      <c r="A182" s="1">
        <v>45810</v>
      </c>
      <c r="B182">
        <v>402.3</v>
      </c>
      <c r="C182" s="2">
        <f t="shared" si="2"/>
        <v>-1.3333530869465144E-2</v>
      </c>
    </row>
    <row r="183" spans="1:3" x14ac:dyDescent="0.2">
      <c r="A183" s="1">
        <v>45807</v>
      </c>
      <c r="B183">
        <v>407.7</v>
      </c>
      <c r="C183" s="2">
        <f t="shared" si="2"/>
        <v>-1.1219629887646618E-2</v>
      </c>
    </row>
    <row r="184" spans="1:3" x14ac:dyDescent="0.2">
      <c r="A184" s="1">
        <v>45805</v>
      </c>
      <c r="B184">
        <v>412.3</v>
      </c>
      <c r="C184" s="2">
        <f t="shared" si="2"/>
        <v>2.185262493997663E-3</v>
      </c>
    </row>
    <row r="185" spans="1:3" x14ac:dyDescent="0.2">
      <c r="A185" s="1">
        <v>45804</v>
      </c>
      <c r="B185">
        <v>411.4</v>
      </c>
      <c r="C185" s="2">
        <f t="shared" si="2"/>
        <v>5.3619431413853731E-3</v>
      </c>
    </row>
    <row r="186" spans="1:3" x14ac:dyDescent="0.2">
      <c r="A186" s="1">
        <v>45803</v>
      </c>
      <c r="B186">
        <v>409.2</v>
      </c>
      <c r="C186" s="2">
        <f t="shared" si="2"/>
        <v>9.576500443208397E-3</v>
      </c>
    </row>
    <row r="187" spans="1:3" x14ac:dyDescent="0.2">
      <c r="A187" s="1">
        <v>45800</v>
      </c>
      <c r="B187">
        <v>405.3</v>
      </c>
      <c r="C187" s="2">
        <f t="shared" si="2"/>
        <v>-8.8430937363337073E-3</v>
      </c>
    </row>
    <row r="188" spans="1:3" x14ac:dyDescent="0.2">
      <c r="A188" s="1">
        <v>45799</v>
      </c>
      <c r="B188">
        <v>408.9</v>
      </c>
      <c r="C188" s="2">
        <f t="shared" si="2"/>
        <v>-1.6733748053316053E-2</v>
      </c>
    </row>
    <row r="189" spans="1:3" x14ac:dyDescent="0.2">
      <c r="A189" s="1">
        <v>45798</v>
      </c>
      <c r="B189">
        <v>415.8</v>
      </c>
      <c r="C189" s="2">
        <f t="shared" si="2"/>
        <v>-1.6694878572169992E-2</v>
      </c>
    </row>
    <row r="190" spans="1:3" x14ac:dyDescent="0.2">
      <c r="A190" s="1">
        <v>45797</v>
      </c>
      <c r="B190">
        <v>422.8</v>
      </c>
      <c r="C190" s="2">
        <f t="shared" si="2"/>
        <v>9.9834439841832052E-3</v>
      </c>
    </row>
    <row r="191" spans="1:3" x14ac:dyDescent="0.2">
      <c r="A191" s="1">
        <v>45796</v>
      </c>
      <c r="B191">
        <v>418.6</v>
      </c>
      <c r="C191" s="2">
        <f t="shared" si="2"/>
        <v>2.1523385087698558E-3</v>
      </c>
    </row>
    <row r="192" spans="1:3" x14ac:dyDescent="0.2">
      <c r="A192" s="1">
        <v>45793</v>
      </c>
      <c r="B192">
        <v>417.7</v>
      </c>
      <c r="C192" s="2">
        <f t="shared" si="2"/>
        <v>3.8378555142340549E-3</v>
      </c>
    </row>
    <row r="193" spans="1:3" x14ac:dyDescent="0.2">
      <c r="A193" s="1">
        <v>45792</v>
      </c>
      <c r="B193">
        <v>416.1</v>
      </c>
      <c r="C193" s="2">
        <f t="shared" si="2"/>
        <v>6.993878743412273E-3</v>
      </c>
    </row>
    <row r="194" spans="1:3" x14ac:dyDescent="0.2">
      <c r="A194" s="1">
        <v>45791</v>
      </c>
      <c r="B194">
        <v>413.2</v>
      </c>
      <c r="C194" s="2">
        <f t="shared" si="2"/>
        <v>4.8414428445068636E-4</v>
      </c>
    </row>
    <row r="195" spans="1:3" x14ac:dyDescent="0.2">
      <c r="A195" s="1">
        <v>45790</v>
      </c>
      <c r="B195">
        <v>413</v>
      </c>
      <c r="C195" s="2">
        <f t="shared" ref="C195:C258" si="3">+LN(B195/B196)</f>
        <v>-4.841442844506869E-4</v>
      </c>
    </row>
    <row r="196" spans="1:3" x14ac:dyDescent="0.2">
      <c r="A196" s="1">
        <v>45789</v>
      </c>
      <c r="B196">
        <v>413.2</v>
      </c>
      <c r="C196" s="2">
        <f t="shared" si="3"/>
        <v>2.8226195880246944E-2</v>
      </c>
    </row>
    <row r="197" spans="1:3" x14ac:dyDescent="0.2">
      <c r="A197" s="1">
        <v>45786</v>
      </c>
      <c r="B197">
        <v>401.7</v>
      </c>
      <c r="C197" s="2">
        <f t="shared" si="3"/>
        <v>4.9912756479586805E-3</v>
      </c>
    </row>
    <row r="198" spans="1:3" x14ac:dyDescent="0.2">
      <c r="A198" s="1">
        <v>45785</v>
      </c>
      <c r="B198">
        <v>399.7</v>
      </c>
      <c r="C198" s="2">
        <f t="shared" si="3"/>
        <v>1.4109581516319773E-2</v>
      </c>
    </row>
    <row r="199" spans="1:3" x14ac:dyDescent="0.2">
      <c r="A199" s="1">
        <v>45784</v>
      </c>
      <c r="B199">
        <v>394.1</v>
      </c>
      <c r="C199" s="2">
        <f t="shared" si="3"/>
        <v>2.7950723316968202E-3</v>
      </c>
    </row>
    <row r="200" spans="1:3" x14ac:dyDescent="0.2">
      <c r="A200" s="1">
        <v>45783</v>
      </c>
      <c r="B200">
        <v>393</v>
      </c>
      <c r="C200" s="2">
        <f t="shared" si="3"/>
        <v>-3.4020289324985034E-2</v>
      </c>
    </row>
    <row r="201" spans="1:3" x14ac:dyDescent="0.2">
      <c r="A201" s="1">
        <v>45782</v>
      </c>
      <c r="B201">
        <v>406.6</v>
      </c>
      <c r="C201" s="2">
        <f t="shared" si="3"/>
        <v>4.4367832209904999E-3</v>
      </c>
    </row>
    <row r="202" spans="1:3" x14ac:dyDescent="0.2">
      <c r="A202" s="1">
        <v>45779</v>
      </c>
      <c r="B202">
        <v>404.8</v>
      </c>
      <c r="C202" s="2">
        <f t="shared" si="3"/>
        <v>1.1678602110066385E-2</v>
      </c>
    </row>
    <row r="203" spans="1:3" x14ac:dyDescent="0.2">
      <c r="A203" s="1">
        <v>45777</v>
      </c>
      <c r="B203">
        <v>400.1</v>
      </c>
      <c r="C203" s="2">
        <f t="shared" si="3"/>
        <v>7.5263777259836724E-3</v>
      </c>
    </row>
    <row r="204" spans="1:3" x14ac:dyDescent="0.2">
      <c r="A204" s="1">
        <v>45776</v>
      </c>
      <c r="B204">
        <v>397.1</v>
      </c>
      <c r="C204" s="2">
        <f t="shared" si="3"/>
        <v>-9.7732891693633663E-3</v>
      </c>
    </row>
    <row r="205" spans="1:3" x14ac:dyDescent="0.2">
      <c r="A205" s="1">
        <v>45775</v>
      </c>
      <c r="B205">
        <v>401</v>
      </c>
      <c r="C205" s="2">
        <f t="shared" si="3"/>
        <v>-2.9880500319824877E-3</v>
      </c>
    </row>
    <row r="206" spans="1:3" x14ac:dyDescent="0.2">
      <c r="A206" s="1">
        <v>45772</v>
      </c>
      <c r="B206">
        <v>402.2</v>
      </c>
      <c r="C206" s="2">
        <f t="shared" si="3"/>
        <v>5.9850552722520017E-3</v>
      </c>
    </row>
    <row r="207" spans="1:3" x14ac:dyDescent="0.2">
      <c r="A207" s="1">
        <v>45771</v>
      </c>
      <c r="B207">
        <v>399.8</v>
      </c>
      <c r="C207" s="2">
        <f t="shared" si="3"/>
        <v>-7.5009379688971954E-4</v>
      </c>
    </row>
    <row r="208" spans="1:3" x14ac:dyDescent="0.2">
      <c r="A208" s="1">
        <v>45770</v>
      </c>
      <c r="B208">
        <v>400.1</v>
      </c>
      <c r="C208" s="2">
        <f t="shared" si="3"/>
        <v>2.5567776739497314E-2</v>
      </c>
    </row>
    <row r="209" spans="1:3" x14ac:dyDescent="0.2">
      <c r="A209" s="1">
        <v>45769</v>
      </c>
      <c r="B209">
        <v>390</v>
      </c>
      <c r="C209" s="2">
        <f t="shared" si="3"/>
        <v>-3.0721990369701403E-3</v>
      </c>
    </row>
    <row r="210" spans="1:3" x14ac:dyDescent="0.2">
      <c r="A210" s="1">
        <v>45764</v>
      </c>
      <c r="B210">
        <v>391.2</v>
      </c>
      <c r="C210" s="2">
        <f t="shared" si="3"/>
        <v>-2.5529756015836187E-3</v>
      </c>
    </row>
    <row r="211" spans="1:3" x14ac:dyDescent="0.2">
      <c r="A211" s="1">
        <v>45763</v>
      </c>
      <c r="B211">
        <v>392.2</v>
      </c>
      <c r="C211" s="2">
        <f t="shared" si="3"/>
        <v>-1.7189503127617575E-2</v>
      </c>
    </row>
    <row r="212" spans="1:3" x14ac:dyDescent="0.2">
      <c r="A212" s="1">
        <v>45762</v>
      </c>
      <c r="B212">
        <v>399</v>
      </c>
      <c r="C212" s="2">
        <f t="shared" si="3"/>
        <v>2.0509644090954363E-2</v>
      </c>
    </row>
    <row r="213" spans="1:3" x14ac:dyDescent="0.2">
      <c r="A213" s="1">
        <v>45761</v>
      </c>
      <c r="B213">
        <v>390.9</v>
      </c>
      <c r="C213" s="2">
        <f t="shared" si="3"/>
        <v>1.8069670792157006E-2</v>
      </c>
    </row>
    <row r="214" spans="1:3" x14ac:dyDescent="0.2">
      <c r="A214" s="1">
        <v>45758</v>
      </c>
      <c r="B214">
        <v>383.9</v>
      </c>
      <c r="C214" s="2">
        <f t="shared" si="3"/>
        <v>-5.7143012634387758E-3</v>
      </c>
    </row>
    <row r="215" spans="1:3" x14ac:dyDescent="0.2">
      <c r="A215" s="1">
        <v>45757</v>
      </c>
      <c r="B215">
        <v>386.1</v>
      </c>
      <c r="C215" s="2">
        <f t="shared" si="3"/>
        <v>3.5054320458754618E-2</v>
      </c>
    </row>
    <row r="216" spans="1:3" x14ac:dyDescent="0.2">
      <c r="A216" s="1">
        <v>45756</v>
      </c>
      <c r="B216">
        <v>372.8</v>
      </c>
      <c r="C216" s="2">
        <f t="shared" si="3"/>
        <v>-2.7514963285269253E-2</v>
      </c>
    </row>
    <row r="217" spans="1:3" x14ac:dyDescent="0.2">
      <c r="A217" s="1">
        <v>45755</v>
      </c>
      <c r="B217">
        <v>383.2</v>
      </c>
      <c r="C217" s="2">
        <f t="shared" si="3"/>
        <v>6.282743179495209E-3</v>
      </c>
    </row>
    <row r="218" spans="1:3" x14ac:dyDescent="0.2">
      <c r="A218" s="1">
        <v>45754</v>
      </c>
      <c r="B218">
        <v>380.8</v>
      </c>
      <c r="C218" s="2">
        <f t="shared" si="3"/>
        <v>-5.0938714724888604E-2</v>
      </c>
    </row>
    <row r="219" spans="1:3" x14ac:dyDescent="0.2">
      <c r="A219" s="1">
        <v>45751</v>
      </c>
      <c r="B219">
        <v>400.7</v>
      </c>
      <c r="C219" s="2">
        <f t="shared" si="3"/>
        <v>-2.4893460412304384E-2</v>
      </c>
    </row>
    <row r="220" spans="1:3" x14ac:dyDescent="0.2">
      <c r="A220" s="1">
        <v>45750</v>
      </c>
      <c r="B220">
        <v>410.8</v>
      </c>
      <c r="C220" s="2">
        <f t="shared" si="3"/>
        <v>-3.3276559264822203E-2</v>
      </c>
    </row>
    <row r="221" spans="1:3" x14ac:dyDescent="0.2">
      <c r="A221" s="1">
        <v>45749</v>
      </c>
      <c r="B221">
        <v>424.7</v>
      </c>
      <c r="C221" s="2">
        <f t="shared" si="3"/>
        <v>-6.3373055658217147E-3</v>
      </c>
    </row>
    <row r="222" spans="1:3" x14ac:dyDescent="0.2">
      <c r="A222" s="1">
        <v>45748</v>
      </c>
      <c r="B222">
        <v>427.4</v>
      </c>
      <c r="C222" s="2">
        <f t="shared" si="3"/>
        <v>-3.5034486377874836E-3</v>
      </c>
    </row>
    <row r="223" spans="1:3" x14ac:dyDescent="0.2">
      <c r="A223" s="1">
        <v>45747</v>
      </c>
      <c r="B223">
        <v>428.9</v>
      </c>
      <c r="C223" s="2">
        <f t="shared" si="3"/>
        <v>-3.1668548215260633E-2</v>
      </c>
    </row>
    <row r="224" spans="1:3" x14ac:dyDescent="0.2">
      <c r="A224" s="1">
        <v>45744</v>
      </c>
      <c r="B224">
        <v>442.7</v>
      </c>
      <c r="C224" s="2">
        <f t="shared" si="3"/>
        <v>-2.0347264295807573E-2</v>
      </c>
    </row>
    <row r="225" spans="1:3" x14ac:dyDescent="0.2">
      <c r="A225" s="1">
        <v>45743</v>
      </c>
      <c r="B225">
        <v>451.8</v>
      </c>
      <c r="C225" s="2">
        <f t="shared" si="3"/>
        <v>4.6589102572412704E-3</v>
      </c>
    </row>
    <row r="226" spans="1:3" x14ac:dyDescent="0.2">
      <c r="A226" s="1">
        <v>45742</v>
      </c>
      <c r="B226">
        <v>449.7</v>
      </c>
      <c r="C226" s="2">
        <f t="shared" si="3"/>
        <v>-1.6540238143993923E-2</v>
      </c>
    </row>
    <row r="227" spans="1:3" x14ac:dyDescent="0.2">
      <c r="A227" s="1">
        <v>45741</v>
      </c>
      <c r="B227">
        <v>457.2</v>
      </c>
      <c r="C227" s="2">
        <f t="shared" si="3"/>
        <v>1.0554187678690171E-2</v>
      </c>
    </row>
    <row r="228" spans="1:3" x14ac:dyDescent="0.2">
      <c r="A228" s="1">
        <v>45740</v>
      </c>
      <c r="B228">
        <v>452.4</v>
      </c>
      <c r="C228" s="2">
        <f t="shared" si="3"/>
        <v>-2.4285253132260006E-3</v>
      </c>
    </row>
    <row r="229" spans="1:3" x14ac:dyDescent="0.2">
      <c r="A229" s="1">
        <v>45737</v>
      </c>
      <c r="B229">
        <v>453.5</v>
      </c>
      <c r="C229" s="2">
        <f t="shared" si="3"/>
        <v>-4.4004471448217085E-3</v>
      </c>
    </row>
    <row r="230" spans="1:3" x14ac:dyDescent="0.2">
      <c r="A230" s="1">
        <v>45736</v>
      </c>
      <c r="B230">
        <v>455.5</v>
      </c>
      <c r="C230" s="2">
        <f t="shared" si="3"/>
        <v>3.0782785961074892E-3</v>
      </c>
    </row>
    <row r="231" spans="1:3" x14ac:dyDescent="0.2">
      <c r="A231" s="1">
        <v>45735</v>
      </c>
      <c r="B231">
        <v>454.1</v>
      </c>
      <c r="C231" s="2">
        <f t="shared" si="3"/>
        <v>2.4253126208713689E-3</v>
      </c>
    </row>
    <row r="232" spans="1:3" x14ac:dyDescent="0.2">
      <c r="A232" s="1">
        <v>45734</v>
      </c>
      <c r="B232">
        <v>453</v>
      </c>
      <c r="C232" s="2">
        <f t="shared" si="3"/>
        <v>-1.764446862707308E-3</v>
      </c>
    </row>
    <row r="233" spans="1:3" x14ac:dyDescent="0.2">
      <c r="A233" s="1">
        <v>45733</v>
      </c>
      <c r="B233">
        <v>453.8</v>
      </c>
      <c r="C233" s="2">
        <f t="shared" si="3"/>
        <v>-3.9586592272857725E-3</v>
      </c>
    </row>
    <row r="234" spans="1:3" x14ac:dyDescent="0.2">
      <c r="A234" s="1">
        <v>45730</v>
      </c>
      <c r="B234">
        <v>455.6</v>
      </c>
      <c r="C234" s="2">
        <f t="shared" si="3"/>
        <v>4.3994791594848424E-3</v>
      </c>
    </row>
    <row r="235" spans="1:3" x14ac:dyDescent="0.2">
      <c r="A235" s="1">
        <v>45729</v>
      </c>
      <c r="B235">
        <v>453.6</v>
      </c>
      <c r="C235" s="2">
        <f t="shared" si="3"/>
        <v>1.1307070914691542E-2</v>
      </c>
    </row>
    <row r="236" spans="1:3" x14ac:dyDescent="0.2">
      <c r="A236" s="1">
        <v>45728</v>
      </c>
      <c r="B236">
        <v>448.5</v>
      </c>
      <c r="C236" s="2">
        <f t="shared" si="3"/>
        <v>1.0309369658861287E-2</v>
      </c>
    </row>
    <row r="237" spans="1:3" x14ac:dyDescent="0.2">
      <c r="A237" s="1">
        <v>45727</v>
      </c>
      <c r="B237">
        <v>443.9</v>
      </c>
      <c r="C237" s="2">
        <f t="shared" si="3"/>
        <v>-2.601591973303757E-2</v>
      </c>
    </row>
    <row r="238" spans="1:3" x14ac:dyDescent="0.2">
      <c r="A238" s="1">
        <v>45726</v>
      </c>
      <c r="B238">
        <v>455.6</v>
      </c>
      <c r="C238" s="2">
        <f t="shared" si="3"/>
        <v>-3.9430500156535393E-3</v>
      </c>
    </row>
    <row r="239" spans="1:3" x14ac:dyDescent="0.2">
      <c r="A239" s="1">
        <v>45723</v>
      </c>
      <c r="B239">
        <v>457.4</v>
      </c>
      <c r="C239" s="2">
        <f t="shared" si="3"/>
        <v>-5.8855755727422786E-3</v>
      </c>
    </row>
    <row r="240" spans="1:3" x14ac:dyDescent="0.2">
      <c r="A240" s="1">
        <v>45722</v>
      </c>
      <c r="B240">
        <v>460.1</v>
      </c>
      <c r="C240" s="2">
        <f t="shared" si="3"/>
        <v>5.0114496429565338E-3</v>
      </c>
    </row>
    <row r="241" spans="1:3" x14ac:dyDescent="0.2">
      <c r="A241" s="1">
        <v>45721</v>
      </c>
      <c r="B241">
        <v>457.8</v>
      </c>
      <c r="C241" s="2">
        <f t="shared" si="3"/>
        <v>1.6962627219579231E-2</v>
      </c>
    </row>
    <row r="242" spans="1:3" x14ac:dyDescent="0.2">
      <c r="A242" s="1">
        <v>45720</v>
      </c>
      <c r="B242">
        <v>450.1</v>
      </c>
      <c r="C242" s="2">
        <f t="shared" si="3"/>
        <v>-3.2997640345622241E-2</v>
      </c>
    </row>
    <row r="243" spans="1:3" x14ac:dyDescent="0.2">
      <c r="A243" s="1">
        <v>45719</v>
      </c>
      <c r="B243">
        <v>465.2</v>
      </c>
      <c r="C243" s="2">
        <f t="shared" si="3"/>
        <v>1.5058623906160271E-3</v>
      </c>
    </row>
    <row r="244" spans="1:3" x14ac:dyDescent="0.2">
      <c r="A244" s="1">
        <v>45716</v>
      </c>
      <c r="B244">
        <v>464.5</v>
      </c>
      <c r="C244" s="2">
        <f t="shared" si="3"/>
        <v>-9.8544070805191303E-3</v>
      </c>
    </row>
    <row r="245" spans="1:3" x14ac:dyDescent="0.2">
      <c r="A245" s="1">
        <v>45715</v>
      </c>
      <c r="B245">
        <v>469.1</v>
      </c>
      <c r="C245" s="2">
        <f t="shared" si="3"/>
        <v>-1.4181632534444946E-2</v>
      </c>
    </row>
    <row r="246" spans="1:3" x14ac:dyDescent="0.2">
      <c r="A246" s="1">
        <v>45714</v>
      </c>
      <c r="B246">
        <v>475.8</v>
      </c>
      <c r="C246" s="2">
        <f t="shared" si="3"/>
        <v>1.9525238281527659E-2</v>
      </c>
    </row>
    <row r="247" spans="1:3" x14ac:dyDescent="0.2">
      <c r="A247" s="1">
        <v>45713</v>
      </c>
      <c r="B247">
        <v>466.6</v>
      </c>
      <c r="C247" s="2">
        <f t="shared" si="3"/>
        <v>-4.7038786754731964E-3</v>
      </c>
    </row>
    <row r="248" spans="1:3" x14ac:dyDescent="0.2">
      <c r="A248" s="1">
        <v>45712</v>
      </c>
      <c r="B248">
        <v>468.8</v>
      </c>
      <c r="C248" s="2">
        <f t="shared" si="3"/>
        <v>-1.0659845375691108E-3</v>
      </c>
    </row>
    <row r="249" spans="1:3" x14ac:dyDescent="0.2">
      <c r="A249" s="1">
        <v>45709</v>
      </c>
      <c r="B249">
        <v>469.3</v>
      </c>
      <c r="C249" s="2">
        <f t="shared" si="3"/>
        <v>-3.1911525857496272E-3</v>
      </c>
    </row>
    <row r="250" spans="1:3" x14ac:dyDescent="0.2">
      <c r="A250" s="1">
        <v>45708</v>
      </c>
      <c r="B250">
        <v>470.8</v>
      </c>
      <c r="C250" s="2">
        <f t="shared" si="3"/>
        <v>1.4764363628423732E-2</v>
      </c>
    </row>
    <row r="251" spans="1:3" x14ac:dyDescent="0.2">
      <c r="A251" s="1">
        <v>45707</v>
      </c>
      <c r="B251">
        <v>463.9</v>
      </c>
      <c r="C251" s="2">
        <f t="shared" si="3"/>
        <v>-2.2592606292284559E-2</v>
      </c>
    </row>
    <row r="252" spans="1:3" x14ac:dyDescent="0.2">
      <c r="A252" s="1">
        <v>45706</v>
      </c>
      <c r="B252">
        <v>474.5</v>
      </c>
      <c r="C252" s="2">
        <f t="shared" si="3"/>
        <v>6.3425159764702805E-3</v>
      </c>
    </row>
    <row r="253" spans="1:3" x14ac:dyDescent="0.2">
      <c r="A253" s="1">
        <v>45705</v>
      </c>
      <c r="B253">
        <v>471.5</v>
      </c>
      <c r="C253" s="2">
        <f t="shared" si="3"/>
        <v>1.3236743222909235E-2</v>
      </c>
    </row>
    <row r="254" spans="1:3" x14ac:dyDescent="0.2">
      <c r="A254" s="1">
        <v>45702</v>
      </c>
      <c r="B254">
        <v>465.3</v>
      </c>
      <c r="C254" s="2">
        <f t="shared" si="3"/>
        <v>-1.4084739881738972E-2</v>
      </c>
    </row>
    <row r="255" spans="1:3" x14ac:dyDescent="0.2">
      <c r="A255" s="1">
        <v>45701</v>
      </c>
      <c r="B255">
        <v>471.9</v>
      </c>
      <c r="C255" s="2">
        <f t="shared" si="3"/>
        <v>7.8715436755313287E-3</v>
      </c>
    </row>
    <row r="256" spans="1:3" x14ac:dyDescent="0.2">
      <c r="A256" s="1">
        <v>45700</v>
      </c>
      <c r="B256">
        <v>468.2</v>
      </c>
      <c r="C256" s="2">
        <f t="shared" si="3"/>
        <v>7.2883495191089455E-3</v>
      </c>
    </row>
    <row r="257" spans="1:3" x14ac:dyDescent="0.2">
      <c r="A257" s="1">
        <v>45699</v>
      </c>
      <c r="B257">
        <v>464.8</v>
      </c>
      <c r="C257" s="2">
        <f t="shared" si="3"/>
        <v>-6.4336486123771656E-3</v>
      </c>
    </row>
    <row r="258" spans="1:3" x14ac:dyDescent="0.2">
      <c r="A258" s="1">
        <v>45698</v>
      </c>
      <c r="B258">
        <v>467.8</v>
      </c>
      <c r="C258" s="2">
        <f t="shared" si="3"/>
        <v>1.2259536273857874E-2</v>
      </c>
    </row>
    <row r="259" spans="1:3" x14ac:dyDescent="0.2">
      <c r="A259" s="1">
        <v>45695</v>
      </c>
      <c r="B259">
        <v>462.1</v>
      </c>
      <c r="C259" s="2">
        <f t="shared" ref="C259:C322" si="4">+LN(B259/B260)</f>
        <v>-1.7589471074781531E-2</v>
      </c>
    </row>
    <row r="260" spans="1:3" x14ac:dyDescent="0.2">
      <c r="A260" s="1">
        <v>45694</v>
      </c>
      <c r="B260">
        <v>470.3</v>
      </c>
      <c r="C260" s="2">
        <f t="shared" si="4"/>
        <v>-6.9922946187937086E-3</v>
      </c>
    </row>
    <row r="261" spans="1:3" x14ac:dyDescent="0.2">
      <c r="A261" s="1">
        <v>45693</v>
      </c>
      <c r="B261">
        <v>473.6</v>
      </c>
      <c r="C261" s="2">
        <f t="shared" si="4"/>
        <v>-2.9542402212023918E-2</v>
      </c>
    </row>
    <row r="262" spans="1:3" x14ac:dyDescent="0.2">
      <c r="A262" s="1">
        <v>45692</v>
      </c>
      <c r="B262">
        <v>487.8</v>
      </c>
      <c r="C262" s="2">
        <f t="shared" si="4"/>
        <v>0</v>
      </c>
    </row>
    <row r="263" spans="1:3" x14ac:dyDescent="0.2">
      <c r="A263" s="1">
        <v>45691</v>
      </c>
      <c r="B263">
        <v>487.8</v>
      </c>
      <c r="C263" s="2">
        <f t="shared" si="4"/>
        <v>-1.6065419244708213E-2</v>
      </c>
    </row>
    <row r="264" spans="1:3" x14ac:dyDescent="0.2">
      <c r="A264" s="1">
        <v>45688</v>
      </c>
      <c r="B264">
        <v>495.7</v>
      </c>
      <c r="C264" s="2">
        <f t="shared" si="4"/>
        <v>8.0726543233612647E-4</v>
      </c>
    </row>
    <row r="265" spans="1:3" x14ac:dyDescent="0.2">
      <c r="A265" s="1">
        <v>45687</v>
      </c>
      <c r="B265">
        <v>495.3</v>
      </c>
      <c r="C265" s="2">
        <f t="shared" si="4"/>
        <v>1.2801150119319918E-2</v>
      </c>
    </row>
    <row r="266" spans="1:3" x14ac:dyDescent="0.2">
      <c r="A266" s="1">
        <v>45686</v>
      </c>
      <c r="B266">
        <v>489</v>
      </c>
      <c r="C266" s="2">
        <f t="shared" si="4"/>
        <v>1.711911457495709E-2</v>
      </c>
    </row>
    <row r="267" spans="1:3" x14ac:dyDescent="0.2">
      <c r="A267" s="1">
        <v>45685</v>
      </c>
      <c r="B267">
        <v>480.7</v>
      </c>
      <c r="C267" s="2">
        <f t="shared" si="4"/>
        <v>-6.2389520584619736E-4</v>
      </c>
    </row>
    <row r="268" spans="1:3" x14ac:dyDescent="0.2">
      <c r="A268" s="1">
        <v>45684</v>
      </c>
      <c r="B268">
        <v>481</v>
      </c>
      <c r="C268" s="2">
        <f t="shared" si="4"/>
        <v>-2.3017867851194328E-2</v>
      </c>
    </row>
    <row r="269" spans="1:3" x14ac:dyDescent="0.2">
      <c r="A269" s="1">
        <v>45681</v>
      </c>
      <c r="B269">
        <v>492.2</v>
      </c>
      <c r="C269" s="2">
        <f t="shared" si="4"/>
        <v>8.5697321038082069E-3</v>
      </c>
    </row>
    <row r="270" spans="1:3" x14ac:dyDescent="0.2">
      <c r="A270" s="1">
        <v>45680</v>
      </c>
      <c r="B270">
        <v>488</v>
      </c>
      <c r="C270" s="2">
        <f t="shared" si="4"/>
        <v>3.4896884434069951E-3</v>
      </c>
    </row>
    <row r="271" spans="1:3" x14ac:dyDescent="0.2">
      <c r="A271" s="1">
        <v>45679</v>
      </c>
      <c r="B271">
        <v>486.3</v>
      </c>
      <c r="C271" s="2">
        <f t="shared" si="4"/>
        <v>1.1582342509825101E-2</v>
      </c>
    </row>
    <row r="272" spans="1:3" x14ac:dyDescent="0.2">
      <c r="A272" s="1">
        <v>45678</v>
      </c>
      <c r="B272">
        <v>480.7</v>
      </c>
      <c r="C272" s="2">
        <f t="shared" si="4"/>
        <v>3.7515675513513625E-3</v>
      </c>
    </row>
    <row r="273" spans="1:3" x14ac:dyDescent="0.2">
      <c r="A273" s="1">
        <v>45677</v>
      </c>
      <c r="B273">
        <v>478.9</v>
      </c>
      <c r="C273" s="2">
        <f t="shared" si="4"/>
        <v>1.044604712141657E-3</v>
      </c>
    </row>
    <row r="274" spans="1:3" x14ac:dyDescent="0.2">
      <c r="A274" s="1">
        <v>45674</v>
      </c>
      <c r="B274">
        <v>478.4</v>
      </c>
      <c r="C274" s="2">
        <f t="shared" si="4"/>
        <v>-4.1718875694064933E-3</v>
      </c>
    </row>
    <row r="275" spans="1:3" x14ac:dyDescent="0.2">
      <c r="A275" s="1">
        <v>45673</v>
      </c>
      <c r="B275">
        <v>480.4</v>
      </c>
      <c r="C275" s="2">
        <f t="shared" si="4"/>
        <v>1.6581343272031004E-2</v>
      </c>
    </row>
    <row r="276" spans="1:3" x14ac:dyDescent="0.2">
      <c r="A276" s="1">
        <v>45672</v>
      </c>
      <c r="B276">
        <v>472.5</v>
      </c>
      <c r="C276" s="2">
        <f t="shared" si="4"/>
        <v>2.7028672387919419E-2</v>
      </c>
    </row>
    <row r="277" spans="1:3" x14ac:dyDescent="0.2">
      <c r="A277" s="1">
        <v>45671</v>
      </c>
      <c r="B277">
        <v>459.9</v>
      </c>
      <c r="C277" s="2">
        <f t="shared" si="4"/>
        <v>-4.1228223745168801E-3</v>
      </c>
    </row>
    <row r="278" spans="1:3" x14ac:dyDescent="0.2">
      <c r="A278" s="1">
        <v>45670</v>
      </c>
      <c r="B278">
        <v>461.8</v>
      </c>
      <c r="C278" s="2">
        <f t="shared" si="4"/>
        <v>-6.9055086669612877E-3</v>
      </c>
    </row>
    <row r="279" spans="1:3" x14ac:dyDescent="0.2">
      <c r="A279" s="1">
        <v>45667</v>
      </c>
      <c r="B279">
        <v>465</v>
      </c>
      <c r="C279" s="2">
        <f t="shared" si="4"/>
        <v>-1.6846544062473739E-2</v>
      </c>
    </row>
    <row r="280" spans="1:3" x14ac:dyDescent="0.2">
      <c r="A280" s="1">
        <v>45666</v>
      </c>
      <c r="B280">
        <v>472.9</v>
      </c>
      <c r="C280" s="2">
        <f t="shared" si="4"/>
        <v>2.5407593596140968E-3</v>
      </c>
    </row>
    <row r="281" spans="1:3" x14ac:dyDescent="0.2">
      <c r="A281" s="1">
        <v>45665</v>
      </c>
      <c r="B281">
        <v>471.7</v>
      </c>
      <c r="C281" s="2">
        <f t="shared" si="4"/>
        <v>1.2372171467464978E-2</v>
      </c>
    </row>
    <row r="282" spans="1:3" x14ac:dyDescent="0.2">
      <c r="A282" s="1">
        <v>45664</v>
      </c>
      <c r="B282">
        <v>465.9</v>
      </c>
      <c r="C282" s="2">
        <f t="shared" si="4"/>
        <v>-1.300796676280439E-2</v>
      </c>
    </row>
    <row r="283" spans="1:3" x14ac:dyDescent="0.2">
      <c r="A283" s="1">
        <v>45660</v>
      </c>
      <c r="B283">
        <v>472</v>
      </c>
      <c r="C283" s="2">
        <f t="shared" si="4"/>
        <v>2.1208915691376296E-3</v>
      </c>
    </row>
    <row r="284" spans="1:3" x14ac:dyDescent="0.2">
      <c r="A284" s="1">
        <v>45659</v>
      </c>
      <c r="B284">
        <v>471</v>
      </c>
      <c r="C284" s="2">
        <f t="shared" si="4"/>
        <v>1.799534421907888E-2</v>
      </c>
    </row>
    <row r="285" spans="1:3" x14ac:dyDescent="0.2">
      <c r="A285" s="1">
        <v>45656</v>
      </c>
      <c r="B285">
        <v>462.6</v>
      </c>
      <c r="C285" s="2">
        <f t="shared" si="4"/>
        <v>-4.5292862935937981E-3</v>
      </c>
    </row>
    <row r="286" spans="1:3" x14ac:dyDescent="0.2">
      <c r="A286" s="1">
        <v>45653</v>
      </c>
      <c r="B286">
        <v>464.7</v>
      </c>
      <c r="C286" s="2">
        <f t="shared" si="4"/>
        <v>5.827145009193708E-3</v>
      </c>
    </row>
    <row r="287" spans="1:3" x14ac:dyDescent="0.2">
      <c r="A287" s="1">
        <v>45649</v>
      </c>
      <c r="B287">
        <v>462</v>
      </c>
      <c r="C287" s="2">
        <f t="shared" si="4"/>
        <v>-7.5472056353829663E-3</v>
      </c>
    </row>
    <row r="288" spans="1:3" x14ac:dyDescent="0.2">
      <c r="A288" s="1">
        <v>45646</v>
      </c>
      <c r="B288">
        <v>465.5</v>
      </c>
      <c r="C288" s="2">
        <f t="shared" si="4"/>
        <v>5.8171013976002954E-3</v>
      </c>
    </row>
    <row r="289" spans="1:3" x14ac:dyDescent="0.2">
      <c r="A289" s="1">
        <v>45645</v>
      </c>
      <c r="B289">
        <v>462.8</v>
      </c>
      <c r="C289" s="2">
        <f t="shared" si="4"/>
        <v>-2.1165942479669075E-2</v>
      </c>
    </row>
    <row r="290" spans="1:3" x14ac:dyDescent="0.2">
      <c r="A290" s="1">
        <v>45644</v>
      </c>
      <c r="B290">
        <v>472.7</v>
      </c>
      <c r="C290" s="2">
        <f t="shared" si="4"/>
        <v>1.5563686930999255E-2</v>
      </c>
    </row>
    <row r="291" spans="1:3" x14ac:dyDescent="0.2">
      <c r="A291" s="1">
        <v>45643</v>
      </c>
      <c r="B291">
        <v>465.4</v>
      </c>
      <c r="C291" s="2">
        <f t="shared" si="4"/>
        <v>-1.0686145716225833E-2</v>
      </c>
    </row>
    <row r="292" spans="1:3" x14ac:dyDescent="0.2">
      <c r="A292" s="1">
        <v>45642</v>
      </c>
      <c r="B292">
        <v>470.4</v>
      </c>
      <c r="C292" s="2">
        <f t="shared" si="4"/>
        <v>-1.5608838307292117E-2</v>
      </c>
    </row>
    <row r="293" spans="1:3" x14ac:dyDescent="0.2">
      <c r="A293" s="1">
        <v>45639</v>
      </c>
      <c r="B293">
        <v>477.8</v>
      </c>
      <c r="C293" s="2">
        <f t="shared" si="4"/>
        <v>-2.2995724568544537E-3</v>
      </c>
    </row>
    <row r="294" spans="1:3" x14ac:dyDescent="0.2">
      <c r="A294" s="1">
        <v>45638</v>
      </c>
      <c r="B294">
        <v>478.9</v>
      </c>
      <c r="C294" s="2">
        <f t="shared" si="4"/>
        <v>-6.452306702036714E-3</v>
      </c>
    </row>
    <row r="295" spans="1:3" x14ac:dyDescent="0.2">
      <c r="A295" s="1">
        <v>45637</v>
      </c>
      <c r="B295">
        <v>482</v>
      </c>
      <c r="C295" s="2">
        <f t="shared" si="4"/>
        <v>2.2847657669832805E-3</v>
      </c>
    </row>
    <row r="296" spans="1:3" x14ac:dyDescent="0.2">
      <c r="A296" s="1">
        <v>45636</v>
      </c>
      <c r="B296">
        <v>480.9</v>
      </c>
      <c r="C296" s="2">
        <f t="shared" si="4"/>
        <v>-1.6907619261694682E-2</v>
      </c>
    </row>
    <row r="297" spans="1:3" x14ac:dyDescent="0.2">
      <c r="A297" s="1">
        <v>45635</v>
      </c>
      <c r="B297">
        <v>489.1</v>
      </c>
      <c r="C297" s="2">
        <f t="shared" si="4"/>
        <v>-1.1384550688351364E-2</v>
      </c>
    </row>
    <row r="298" spans="1:3" x14ac:dyDescent="0.2">
      <c r="A298" s="1">
        <v>45632</v>
      </c>
      <c r="B298">
        <v>494.7</v>
      </c>
      <c r="C298" s="2">
        <f t="shared" si="4"/>
        <v>1.2202713957553742E-2</v>
      </c>
    </row>
    <row r="299" spans="1:3" x14ac:dyDescent="0.2">
      <c r="A299" s="1">
        <v>45631</v>
      </c>
      <c r="B299">
        <v>488.7</v>
      </c>
      <c r="C299" s="2">
        <f t="shared" si="4"/>
        <v>-3.2686443810784655E-3</v>
      </c>
    </row>
    <row r="300" spans="1:3" x14ac:dyDescent="0.2">
      <c r="A300" s="1">
        <v>45630</v>
      </c>
      <c r="B300">
        <v>490.3</v>
      </c>
      <c r="C300" s="2">
        <f t="shared" si="4"/>
        <v>5.5220510500711903E-3</v>
      </c>
    </row>
    <row r="301" spans="1:3" x14ac:dyDescent="0.2">
      <c r="A301" s="1">
        <v>45629</v>
      </c>
      <c r="B301">
        <v>487.6</v>
      </c>
      <c r="C301" s="2">
        <f t="shared" si="4"/>
        <v>2.1140683702386875E-2</v>
      </c>
    </row>
    <row r="302" spans="1:3" x14ac:dyDescent="0.2">
      <c r="A302" s="1">
        <v>45628</v>
      </c>
      <c r="B302">
        <v>477.4</v>
      </c>
      <c r="C302" s="2">
        <f t="shared" si="4"/>
        <v>2.7823818878853629E-2</v>
      </c>
    </row>
    <row r="303" spans="1:3" x14ac:dyDescent="0.2">
      <c r="A303" s="1">
        <v>45625</v>
      </c>
      <c r="B303">
        <v>464.3</v>
      </c>
      <c r="C303" s="2">
        <f t="shared" si="4"/>
        <v>-3.2254624243645636E-3</v>
      </c>
    </row>
    <row r="304" spans="1:3" x14ac:dyDescent="0.2">
      <c r="A304" s="1">
        <v>45624</v>
      </c>
      <c r="B304">
        <v>465.8</v>
      </c>
      <c r="C304" s="2">
        <f t="shared" si="4"/>
        <v>-1.3222628135314746E-2</v>
      </c>
    </row>
    <row r="305" spans="1:3" x14ac:dyDescent="0.2">
      <c r="A305" s="1">
        <v>45623</v>
      </c>
      <c r="B305">
        <v>472</v>
      </c>
      <c r="C305" s="2">
        <f t="shared" si="4"/>
        <v>8.5106896679086105E-3</v>
      </c>
    </row>
    <row r="306" spans="1:3" x14ac:dyDescent="0.2">
      <c r="A306" s="1">
        <v>45622</v>
      </c>
      <c r="B306">
        <v>468</v>
      </c>
      <c r="C306" s="2">
        <f t="shared" si="4"/>
        <v>-1.5688259008446802E-2</v>
      </c>
    </row>
    <row r="307" spans="1:3" x14ac:dyDescent="0.2">
      <c r="A307" s="1">
        <v>45621</v>
      </c>
      <c r="B307">
        <v>475.4</v>
      </c>
      <c r="C307" s="2">
        <f t="shared" si="4"/>
        <v>0</v>
      </c>
    </row>
    <row r="308" spans="1:3" x14ac:dyDescent="0.2">
      <c r="A308" s="1">
        <v>45618</v>
      </c>
      <c r="B308">
        <v>475.4</v>
      </c>
      <c r="C308" s="2">
        <f t="shared" si="4"/>
        <v>-2.3111681681632894E-3</v>
      </c>
    </row>
    <row r="309" spans="1:3" x14ac:dyDescent="0.2">
      <c r="A309" s="1">
        <v>45617</v>
      </c>
      <c r="B309">
        <v>476.5</v>
      </c>
      <c r="C309" s="2">
        <f t="shared" si="4"/>
        <v>2.1638519279981696E-2</v>
      </c>
    </row>
    <row r="310" spans="1:3" x14ac:dyDescent="0.2">
      <c r="A310" s="1">
        <v>45616</v>
      </c>
      <c r="B310">
        <v>466.3</v>
      </c>
      <c r="C310" s="2">
        <f t="shared" si="4"/>
        <v>-2.7840257836381738E-3</v>
      </c>
    </row>
    <row r="311" spans="1:3" x14ac:dyDescent="0.2">
      <c r="A311" s="1">
        <v>45615</v>
      </c>
      <c r="B311">
        <v>467.6</v>
      </c>
      <c r="C311" s="2">
        <f t="shared" si="4"/>
        <v>3.4275954722674975E-3</v>
      </c>
    </row>
    <row r="312" spans="1:3" x14ac:dyDescent="0.2">
      <c r="A312" s="1">
        <v>45614</v>
      </c>
      <c r="B312">
        <v>466</v>
      </c>
      <c r="C312" s="2">
        <f t="shared" si="4"/>
        <v>6.4585800394117284E-3</v>
      </c>
    </row>
    <row r="313" spans="1:3" x14ac:dyDescent="0.2">
      <c r="A313" s="1">
        <v>45611</v>
      </c>
      <c r="B313">
        <v>463</v>
      </c>
      <c r="C313" s="2">
        <f t="shared" si="4"/>
        <v>-1.0313800063844601E-2</v>
      </c>
    </row>
    <row r="314" spans="1:3" x14ac:dyDescent="0.2">
      <c r="A314" s="1">
        <v>45610</v>
      </c>
      <c r="B314">
        <v>467.8</v>
      </c>
      <c r="C314" s="2">
        <f t="shared" si="4"/>
        <v>5.7884179200273648E-3</v>
      </c>
    </row>
    <row r="315" spans="1:3" x14ac:dyDescent="0.2">
      <c r="A315" s="1">
        <v>45609</v>
      </c>
      <c r="B315">
        <v>465.1</v>
      </c>
      <c r="C315" s="2">
        <f t="shared" si="4"/>
        <v>5.3896864327125042E-3</v>
      </c>
    </row>
    <row r="316" spans="1:3" x14ac:dyDescent="0.2">
      <c r="A316" s="1">
        <v>45608</v>
      </c>
      <c r="B316">
        <v>462.6</v>
      </c>
      <c r="C316" s="2">
        <f t="shared" si="4"/>
        <v>-2.7083433822624861E-2</v>
      </c>
    </row>
    <row r="317" spans="1:3" x14ac:dyDescent="0.2">
      <c r="A317" s="1">
        <v>45607</v>
      </c>
      <c r="B317">
        <v>475.3</v>
      </c>
      <c r="C317" s="2">
        <f t="shared" si="4"/>
        <v>-6.3098119666300659E-4</v>
      </c>
    </row>
    <row r="318" spans="1:3" x14ac:dyDescent="0.2">
      <c r="A318" s="1">
        <v>45604</v>
      </c>
      <c r="B318">
        <v>475.6</v>
      </c>
      <c r="C318" s="2">
        <f t="shared" si="4"/>
        <v>-3.1489477054345528E-3</v>
      </c>
    </row>
    <row r="319" spans="1:3" x14ac:dyDescent="0.2">
      <c r="A319" s="1">
        <v>45603</v>
      </c>
      <c r="B319">
        <v>477.1</v>
      </c>
      <c r="C319" s="2">
        <f t="shared" si="4"/>
        <v>2.1396854853163956E-2</v>
      </c>
    </row>
    <row r="320" spans="1:3" x14ac:dyDescent="0.2">
      <c r="A320" s="1">
        <v>45602</v>
      </c>
      <c r="B320">
        <v>467</v>
      </c>
      <c r="C320" s="2">
        <f t="shared" si="4"/>
        <v>-1.5510775214638742E-2</v>
      </c>
    </row>
    <row r="321" spans="1:3" x14ac:dyDescent="0.2">
      <c r="A321" s="1">
        <v>45601</v>
      </c>
      <c r="B321">
        <v>474.3</v>
      </c>
      <c r="C321" s="2">
        <f t="shared" si="4"/>
        <v>7.1942756340272309E-3</v>
      </c>
    </row>
    <row r="322" spans="1:3" x14ac:dyDescent="0.2">
      <c r="A322" s="1">
        <v>45600</v>
      </c>
      <c r="B322">
        <v>470.9</v>
      </c>
      <c r="C322" s="2">
        <f t="shared" si="4"/>
        <v>3.4035344491368746E-3</v>
      </c>
    </row>
    <row r="323" spans="1:3" x14ac:dyDescent="0.2">
      <c r="A323" s="1">
        <v>45597</v>
      </c>
      <c r="B323">
        <v>469.3</v>
      </c>
      <c r="C323" s="2">
        <f t="shared" ref="C323:C386" si="5">+LN(B323/B324)</f>
        <v>-1.2776833083980291E-3</v>
      </c>
    </row>
    <row r="324" spans="1:3" x14ac:dyDescent="0.2">
      <c r="A324" s="1">
        <v>45596</v>
      </c>
      <c r="B324">
        <v>469.9</v>
      </c>
      <c r="C324" s="2">
        <f t="shared" si="5"/>
        <v>-2.8117672742268476E-2</v>
      </c>
    </row>
    <row r="325" spans="1:3" x14ac:dyDescent="0.2">
      <c r="A325" s="1">
        <v>45595</v>
      </c>
      <c r="B325">
        <v>483.3</v>
      </c>
      <c r="C325" s="2">
        <f t="shared" si="5"/>
        <v>-3.9235982188566623E-3</v>
      </c>
    </row>
    <row r="326" spans="1:3" x14ac:dyDescent="0.2">
      <c r="A326" s="1">
        <v>45594</v>
      </c>
      <c r="B326">
        <v>485.2</v>
      </c>
      <c r="C326" s="2">
        <f t="shared" si="5"/>
        <v>-1.6759027025361192E-2</v>
      </c>
    </row>
    <row r="327" spans="1:3" x14ac:dyDescent="0.2">
      <c r="A327" s="1">
        <v>45593</v>
      </c>
      <c r="B327">
        <v>493.4</v>
      </c>
      <c r="C327" s="2">
        <f t="shared" si="5"/>
        <v>2.3791113914485282E-2</v>
      </c>
    </row>
    <row r="328" spans="1:3" x14ac:dyDescent="0.2">
      <c r="A328" s="1">
        <v>45590</v>
      </c>
      <c r="B328">
        <v>481.8</v>
      </c>
      <c r="C328" s="2">
        <f t="shared" si="5"/>
        <v>8.7555281023787238E-3</v>
      </c>
    </row>
    <row r="329" spans="1:3" x14ac:dyDescent="0.2">
      <c r="A329" s="1">
        <v>45589</v>
      </c>
      <c r="B329">
        <v>477.6</v>
      </c>
      <c r="C329" s="2">
        <f t="shared" si="5"/>
        <v>8.1993521486863272E-3</v>
      </c>
    </row>
    <row r="330" spans="1:3" x14ac:dyDescent="0.2">
      <c r="A330" s="1">
        <v>45588</v>
      </c>
      <c r="B330">
        <v>473.7</v>
      </c>
      <c r="C330" s="2">
        <f t="shared" si="5"/>
        <v>3.5952243441506764E-3</v>
      </c>
    </row>
    <row r="331" spans="1:3" x14ac:dyDescent="0.2">
      <c r="A331" s="1">
        <v>45587</v>
      </c>
      <c r="B331">
        <v>472</v>
      </c>
      <c r="C331" s="2">
        <f t="shared" si="5"/>
        <v>-4.2283361095210642E-3</v>
      </c>
    </row>
    <row r="332" spans="1:3" x14ac:dyDescent="0.2">
      <c r="A332" s="1">
        <v>45586</v>
      </c>
      <c r="B332">
        <v>474</v>
      </c>
      <c r="C332" s="2">
        <f t="shared" si="5"/>
        <v>-2.3179864977992248E-3</v>
      </c>
    </row>
    <row r="333" spans="1:3" x14ac:dyDescent="0.2">
      <c r="A333" s="1">
        <v>45583</v>
      </c>
      <c r="B333">
        <v>475.1</v>
      </c>
      <c r="C333" s="2">
        <f t="shared" si="5"/>
        <v>-1.3796205443299386E-2</v>
      </c>
    </row>
    <row r="334" spans="1:3" x14ac:dyDescent="0.2">
      <c r="A334" s="1">
        <v>45582</v>
      </c>
      <c r="B334">
        <v>481.7</v>
      </c>
      <c r="C334" s="2">
        <f t="shared" si="5"/>
        <v>4.7861916358911197E-3</v>
      </c>
    </row>
    <row r="335" spans="1:3" x14ac:dyDescent="0.2">
      <c r="A335" s="1">
        <v>45581</v>
      </c>
      <c r="B335">
        <v>479.4</v>
      </c>
      <c r="C335" s="2">
        <f t="shared" si="5"/>
        <v>-2.5000013020846715E-3</v>
      </c>
    </row>
    <row r="336" spans="1:3" x14ac:dyDescent="0.2">
      <c r="A336" s="1">
        <v>45580</v>
      </c>
      <c r="B336">
        <v>480.6</v>
      </c>
      <c r="C336" s="2">
        <f t="shared" si="5"/>
        <v>-1.896182121569881E-2</v>
      </c>
    </row>
    <row r="337" spans="1:3" x14ac:dyDescent="0.2">
      <c r="A337" s="1">
        <v>45579</v>
      </c>
      <c r="B337">
        <v>489.8</v>
      </c>
      <c r="C337" s="2">
        <f t="shared" si="5"/>
        <v>8.6119047727788774E-3</v>
      </c>
    </row>
    <row r="338" spans="1:3" x14ac:dyDescent="0.2">
      <c r="A338" s="1">
        <v>45576</v>
      </c>
      <c r="B338">
        <v>485.6</v>
      </c>
      <c r="C338" s="2">
        <f t="shared" si="5"/>
        <v>1.3267192944049079E-2</v>
      </c>
    </row>
    <row r="339" spans="1:3" x14ac:dyDescent="0.2">
      <c r="A339" s="1">
        <v>45575</v>
      </c>
      <c r="B339">
        <v>479.2</v>
      </c>
      <c r="C339" s="2">
        <f t="shared" si="5"/>
        <v>-7.8986068513331384E-3</v>
      </c>
    </row>
    <row r="340" spans="1:3" x14ac:dyDescent="0.2">
      <c r="A340" s="1">
        <v>45574</v>
      </c>
      <c r="B340">
        <v>483</v>
      </c>
      <c r="C340" s="2">
        <f t="shared" si="5"/>
        <v>-2.0682530640590683E-3</v>
      </c>
    </row>
    <row r="341" spans="1:3" x14ac:dyDescent="0.2">
      <c r="A341" s="1">
        <v>45573</v>
      </c>
      <c r="B341">
        <v>484</v>
      </c>
      <c r="C341" s="2">
        <f t="shared" si="5"/>
        <v>8.2678797599399563E-4</v>
      </c>
    </row>
    <row r="342" spans="1:3" x14ac:dyDescent="0.2">
      <c r="A342" s="1">
        <v>45572</v>
      </c>
      <c r="B342">
        <v>483.6</v>
      </c>
      <c r="C342" s="2">
        <f t="shared" si="5"/>
        <v>-6.1843116087846569E-3</v>
      </c>
    </row>
    <row r="343" spans="1:3" x14ac:dyDescent="0.2">
      <c r="A343" s="1">
        <v>45569</v>
      </c>
      <c r="B343">
        <v>486.6</v>
      </c>
      <c r="C343" s="2">
        <f t="shared" si="5"/>
        <v>-1.4375195000382085E-3</v>
      </c>
    </row>
    <row r="344" spans="1:3" x14ac:dyDescent="0.2">
      <c r="A344" s="1">
        <v>45568</v>
      </c>
      <c r="B344">
        <v>487.3</v>
      </c>
      <c r="C344" s="2">
        <f t="shared" si="5"/>
        <v>-1.203482144072871E-2</v>
      </c>
    </row>
    <row r="345" spans="1:3" x14ac:dyDescent="0.2">
      <c r="A345" s="1">
        <v>45567</v>
      </c>
      <c r="B345">
        <v>493.2</v>
      </c>
      <c r="C345" s="2">
        <f t="shared" si="5"/>
        <v>9.3706124665491209E-3</v>
      </c>
    </row>
    <row r="346" spans="1:3" x14ac:dyDescent="0.2">
      <c r="A346" s="1">
        <v>45566</v>
      </c>
      <c r="B346">
        <v>488.6</v>
      </c>
      <c r="C346" s="2">
        <f t="shared" si="5"/>
        <v>2.0487612165237057E-3</v>
      </c>
    </row>
    <row r="347" spans="1:3" x14ac:dyDescent="0.2">
      <c r="A347" s="1">
        <v>45565</v>
      </c>
      <c r="B347">
        <v>487.6</v>
      </c>
      <c r="C347" s="2">
        <f t="shared" si="5"/>
        <v>0</v>
      </c>
    </row>
    <row r="348" spans="1:3" x14ac:dyDescent="0.2">
      <c r="A348" s="1">
        <v>45562</v>
      </c>
      <c r="B348">
        <v>487.6</v>
      </c>
      <c r="C348" s="2">
        <f t="shared" si="5"/>
        <v>-3.0715699381950157E-3</v>
      </c>
    </row>
    <row r="349" spans="1:3" x14ac:dyDescent="0.2">
      <c r="A349" s="1">
        <v>45561</v>
      </c>
      <c r="B349">
        <v>489.1</v>
      </c>
      <c r="C349" s="2">
        <f t="shared" si="5"/>
        <v>8.4180766078283224E-3</v>
      </c>
    </row>
    <row r="350" spans="1:3" x14ac:dyDescent="0.2">
      <c r="A350" s="1">
        <v>45560</v>
      </c>
      <c r="B350">
        <v>485</v>
      </c>
      <c r="C350" s="2">
        <f t="shared" si="5"/>
        <v>6.4122672911961394E-3</v>
      </c>
    </row>
    <row r="351" spans="1:3" x14ac:dyDescent="0.2">
      <c r="A351" s="1">
        <v>45559</v>
      </c>
      <c r="B351">
        <v>481.9</v>
      </c>
      <c r="C351" s="2">
        <f t="shared" si="5"/>
        <v>1.0429798342108353E-2</v>
      </c>
    </row>
    <row r="352" spans="1:3" x14ac:dyDescent="0.2">
      <c r="A352" s="1">
        <v>45558</v>
      </c>
      <c r="B352">
        <v>476.9</v>
      </c>
      <c r="C352" s="2">
        <f t="shared" si="5"/>
        <v>1.0963635013962556E-2</v>
      </c>
    </row>
    <row r="353" spans="1:3" x14ac:dyDescent="0.2">
      <c r="A353" s="1">
        <v>45555</v>
      </c>
      <c r="B353">
        <v>471.7</v>
      </c>
      <c r="C353" s="2">
        <f t="shared" si="5"/>
        <v>-6.3398352670563903E-3</v>
      </c>
    </row>
    <row r="354" spans="1:3" x14ac:dyDescent="0.2">
      <c r="A354" s="1">
        <v>45554</v>
      </c>
      <c r="B354">
        <v>474.7</v>
      </c>
      <c r="C354" s="2">
        <f t="shared" si="5"/>
        <v>2.2798473331017005E-2</v>
      </c>
    </row>
    <row r="355" spans="1:3" x14ac:dyDescent="0.2">
      <c r="A355" s="1">
        <v>45553</v>
      </c>
      <c r="B355">
        <v>464</v>
      </c>
      <c r="C355" s="2">
        <f t="shared" si="5"/>
        <v>-4.944651588019983E-3</v>
      </c>
    </row>
    <row r="356" spans="1:3" x14ac:dyDescent="0.2">
      <c r="A356" s="1">
        <v>45552</v>
      </c>
      <c r="B356">
        <v>466.3</v>
      </c>
      <c r="C356" s="2">
        <f t="shared" si="5"/>
        <v>8.8315059739949471E-3</v>
      </c>
    </row>
    <row r="357" spans="1:3" x14ac:dyDescent="0.2">
      <c r="A357" s="1">
        <v>45551</v>
      </c>
      <c r="B357">
        <v>462.2</v>
      </c>
      <c r="C357" s="2">
        <f t="shared" si="5"/>
        <v>-2.16122841850518E-3</v>
      </c>
    </row>
    <row r="358" spans="1:3" x14ac:dyDescent="0.2">
      <c r="A358" s="1">
        <v>45548</v>
      </c>
      <c r="B358">
        <v>463.2</v>
      </c>
      <c r="C358" s="2">
        <f t="shared" si="5"/>
        <v>1.8521065427820636E-2</v>
      </c>
    </row>
    <row r="359" spans="1:3" x14ac:dyDescent="0.2">
      <c r="A359" s="1">
        <v>45547</v>
      </c>
      <c r="B359">
        <v>454.7</v>
      </c>
      <c r="C359" s="2">
        <f t="shared" si="5"/>
        <v>3.1727415454730706E-2</v>
      </c>
    </row>
    <row r="360" spans="1:3" x14ac:dyDescent="0.2">
      <c r="A360" s="1">
        <v>45546</v>
      </c>
      <c r="B360">
        <v>440.5</v>
      </c>
      <c r="C360" s="2">
        <f t="shared" si="5"/>
        <v>2.9555551809132617E-3</v>
      </c>
    </row>
    <row r="361" spans="1:3" x14ac:dyDescent="0.2">
      <c r="A361" s="1">
        <v>45545</v>
      </c>
      <c r="B361">
        <v>439.2</v>
      </c>
      <c r="C361" s="2">
        <f t="shared" si="5"/>
        <v>-3.1825441729219834E-3</v>
      </c>
    </row>
    <row r="362" spans="1:3" x14ac:dyDescent="0.2">
      <c r="A362" s="1">
        <v>45544</v>
      </c>
      <c r="B362">
        <v>440.6</v>
      </c>
      <c r="C362" s="2">
        <f t="shared" si="5"/>
        <v>1.6937919241407369E-2</v>
      </c>
    </row>
    <row r="363" spans="1:3" x14ac:dyDescent="0.2">
      <c r="A363" s="1">
        <v>45541</v>
      </c>
      <c r="B363">
        <v>433.2</v>
      </c>
      <c r="C363" s="2">
        <f t="shared" si="5"/>
        <v>-2.7662534928900736E-3</v>
      </c>
    </row>
    <row r="364" spans="1:3" x14ac:dyDescent="0.2">
      <c r="A364" s="1">
        <v>45540</v>
      </c>
      <c r="B364">
        <v>434.4</v>
      </c>
      <c r="C364" s="2">
        <f t="shared" si="5"/>
        <v>-2.2083993678330961E-2</v>
      </c>
    </row>
    <row r="365" spans="1:3" x14ac:dyDescent="0.2">
      <c r="A365" s="1">
        <v>45539</v>
      </c>
      <c r="B365">
        <v>444.1</v>
      </c>
      <c r="C365" s="2">
        <f t="shared" si="5"/>
        <v>-2.0945507257134642E-2</v>
      </c>
    </row>
    <row r="366" spans="1:3" x14ac:dyDescent="0.2">
      <c r="A366" s="1">
        <v>45538</v>
      </c>
      <c r="B366">
        <v>453.5</v>
      </c>
      <c r="C366" s="2">
        <f t="shared" si="5"/>
        <v>-1.9651287397288615E-2</v>
      </c>
    </row>
    <row r="367" spans="1:3" x14ac:dyDescent="0.2">
      <c r="A367" s="1">
        <v>45537</v>
      </c>
      <c r="B367">
        <v>462.5</v>
      </c>
      <c r="C367" s="2">
        <f t="shared" si="5"/>
        <v>5.6374824066018616E-3</v>
      </c>
    </row>
    <row r="368" spans="1:3" x14ac:dyDescent="0.2">
      <c r="A368" s="1">
        <v>45534</v>
      </c>
      <c r="B368">
        <v>459.9</v>
      </c>
      <c r="C368" s="2">
        <f t="shared" si="5"/>
        <v>4.3497173369584223E-4</v>
      </c>
    </row>
    <row r="369" spans="1:3" x14ac:dyDescent="0.2">
      <c r="A369" s="1">
        <v>45533</v>
      </c>
      <c r="B369">
        <v>459.7</v>
      </c>
      <c r="C369" s="2">
        <f t="shared" si="5"/>
        <v>2.421958983024455E-2</v>
      </c>
    </row>
    <row r="370" spans="1:3" x14ac:dyDescent="0.2">
      <c r="A370" s="1">
        <v>45532</v>
      </c>
      <c r="B370">
        <v>448.7</v>
      </c>
      <c r="C370" s="2">
        <f t="shared" si="5"/>
        <v>5.587230983505484E-3</v>
      </c>
    </row>
    <row r="371" spans="1:3" x14ac:dyDescent="0.2">
      <c r="A371" s="1">
        <v>45531</v>
      </c>
      <c r="B371">
        <v>446.2</v>
      </c>
      <c r="C371" s="2">
        <f t="shared" si="5"/>
        <v>-4.2491397936652272E-3</v>
      </c>
    </row>
    <row r="372" spans="1:3" x14ac:dyDescent="0.2">
      <c r="A372" s="1">
        <v>45530</v>
      </c>
      <c r="B372">
        <v>448.1</v>
      </c>
      <c r="C372" s="2">
        <f t="shared" si="5"/>
        <v>-8.9225970675345866E-4</v>
      </c>
    </row>
    <row r="373" spans="1:3" x14ac:dyDescent="0.2">
      <c r="A373" s="1">
        <v>45527</v>
      </c>
      <c r="B373">
        <v>448.5</v>
      </c>
      <c r="C373" s="2">
        <f t="shared" si="5"/>
        <v>-2.5752496102414625E-2</v>
      </c>
    </row>
    <row r="374" spans="1:3" x14ac:dyDescent="0.2">
      <c r="A374" s="1">
        <v>45526</v>
      </c>
      <c r="B374">
        <v>460.2</v>
      </c>
      <c r="C374" s="2">
        <f t="shared" si="5"/>
        <v>8.2915596133449447E-3</v>
      </c>
    </row>
    <row r="375" spans="1:3" x14ac:dyDescent="0.2">
      <c r="A375" s="1">
        <v>45525</v>
      </c>
      <c r="B375">
        <v>456.4</v>
      </c>
      <c r="C375" s="2">
        <f t="shared" si="5"/>
        <v>8.7680847353438615E-4</v>
      </c>
    </row>
    <row r="376" spans="1:3" x14ac:dyDescent="0.2">
      <c r="A376" s="1">
        <v>45524</v>
      </c>
      <c r="B376">
        <v>456</v>
      </c>
      <c r="C376" s="2">
        <f t="shared" si="5"/>
        <v>-6.1215757408296127E-3</v>
      </c>
    </row>
    <row r="377" spans="1:3" x14ac:dyDescent="0.2">
      <c r="A377" s="1">
        <v>45523</v>
      </c>
      <c r="B377">
        <v>458.8</v>
      </c>
      <c r="C377" s="2">
        <f t="shared" si="5"/>
        <v>6.7796869853787691E-3</v>
      </c>
    </row>
    <row r="378" spans="1:3" x14ac:dyDescent="0.2">
      <c r="A378" s="1">
        <v>45520</v>
      </c>
      <c r="B378">
        <v>455.7</v>
      </c>
      <c r="C378" s="2">
        <f t="shared" si="5"/>
        <v>6.5854464019754271E-4</v>
      </c>
    </row>
    <row r="379" spans="1:3" x14ac:dyDescent="0.2">
      <c r="A379" s="1">
        <v>45519</v>
      </c>
      <c r="B379">
        <v>455.4</v>
      </c>
      <c r="C379" s="2">
        <f t="shared" si="5"/>
        <v>9.4871092152887925E-3</v>
      </c>
    </row>
    <row r="380" spans="1:3" x14ac:dyDescent="0.2">
      <c r="A380" s="1">
        <v>45518</v>
      </c>
      <c r="B380">
        <v>451.1</v>
      </c>
      <c r="C380" s="2">
        <f t="shared" si="5"/>
        <v>5.1116902058636867E-3</v>
      </c>
    </row>
    <row r="381" spans="1:3" x14ac:dyDescent="0.2">
      <c r="A381" s="1">
        <v>45517</v>
      </c>
      <c r="B381">
        <v>448.8</v>
      </c>
      <c r="C381" s="2">
        <f t="shared" si="5"/>
        <v>2.900816493576595E-3</v>
      </c>
    </row>
    <row r="382" spans="1:3" x14ac:dyDescent="0.2">
      <c r="A382" s="1">
        <v>45516</v>
      </c>
      <c r="B382">
        <v>447.5</v>
      </c>
      <c r="C382" s="2">
        <f t="shared" si="5"/>
        <v>6.0517947785373762E-3</v>
      </c>
    </row>
    <row r="383" spans="1:3" x14ac:dyDescent="0.2">
      <c r="A383" s="1">
        <v>45513</v>
      </c>
      <c r="B383">
        <v>444.8</v>
      </c>
      <c r="C383" s="2">
        <f t="shared" si="5"/>
        <v>8.1264555570253489E-3</v>
      </c>
    </row>
    <row r="384" spans="1:3" x14ac:dyDescent="0.2">
      <c r="A384" s="1">
        <v>45512</v>
      </c>
      <c r="B384">
        <v>441.2</v>
      </c>
      <c r="C384" s="2">
        <f t="shared" si="5"/>
        <v>3.4056111925830643E-3</v>
      </c>
    </row>
    <row r="385" spans="1:3" x14ac:dyDescent="0.2">
      <c r="A385" s="1">
        <v>45511</v>
      </c>
      <c r="B385">
        <v>439.7</v>
      </c>
      <c r="C385" s="2">
        <f t="shared" si="5"/>
        <v>9.8275273863173522E-3</v>
      </c>
    </row>
    <row r="386" spans="1:3" x14ac:dyDescent="0.2">
      <c r="A386" s="1">
        <v>45510</v>
      </c>
      <c r="B386">
        <v>435.4</v>
      </c>
      <c r="C386" s="2">
        <f t="shared" si="5"/>
        <v>-5.4970362883156052E-3</v>
      </c>
    </row>
    <row r="387" spans="1:3" x14ac:dyDescent="0.2">
      <c r="A387" s="1">
        <v>45509</v>
      </c>
      <c r="B387">
        <v>437.8</v>
      </c>
      <c r="C387" s="2">
        <f t="shared" ref="C387:C412" si="6">+LN(B387/B388)</f>
        <v>-6.6021867591786517E-3</v>
      </c>
    </row>
    <row r="388" spans="1:3" x14ac:dyDescent="0.2">
      <c r="A388" s="1">
        <v>45506</v>
      </c>
      <c r="B388">
        <v>440.7</v>
      </c>
      <c r="C388" s="2">
        <f t="shared" si="6"/>
        <v>-4.3296805753324188E-2</v>
      </c>
    </row>
    <row r="389" spans="1:3" x14ac:dyDescent="0.2">
      <c r="A389" s="1">
        <v>45505</v>
      </c>
      <c r="B389">
        <v>460.2</v>
      </c>
      <c r="C389" s="2">
        <f t="shared" si="6"/>
        <v>-2.7434210890667506E-2</v>
      </c>
    </row>
    <row r="390" spans="1:3" x14ac:dyDescent="0.2">
      <c r="A390" s="1">
        <v>45504</v>
      </c>
      <c r="B390">
        <v>473</v>
      </c>
      <c r="C390" s="2">
        <f t="shared" si="6"/>
        <v>5.9372523859637892E-3</v>
      </c>
    </row>
    <row r="391" spans="1:3" x14ac:dyDescent="0.2">
      <c r="A391" s="1">
        <v>45503</v>
      </c>
      <c r="B391">
        <v>470.2</v>
      </c>
      <c r="C391" s="2">
        <f t="shared" si="6"/>
        <v>6.1866863995886151E-3</v>
      </c>
    </row>
    <row r="392" spans="1:3" x14ac:dyDescent="0.2">
      <c r="A392" s="1">
        <v>45502</v>
      </c>
      <c r="B392">
        <v>467.3</v>
      </c>
      <c r="C392" s="2">
        <f t="shared" si="6"/>
        <v>-7.8866443100372597E-3</v>
      </c>
    </row>
    <row r="393" spans="1:3" x14ac:dyDescent="0.2">
      <c r="A393" s="1">
        <v>45499</v>
      </c>
      <c r="B393">
        <v>471</v>
      </c>
      <c r="C393" s="2">
        <f t="shared" si="6"/>
        <v>5.108567942722359E-3</v>
      </c>
    </row>
    <row r="394" spans="1:3" x14ac:dyDescent="0.2">
      <c r="A394" s="1">
        <v>45498</v>
      </c>
      <c r="B394">
        <v>468.6</v>
      </c>
      <c r="C394" s="2">
        <f t="shared" si="6"/>
        <v>2.350177344953673E-3</v>
      </c>
    </row>
    <row r="395" spans="1:3" x14ac:dyDescent="0.2">
      <c r="A395" s="1">
        <v>45497</v>
      </c>
      <c r="B395">
        <v>467.5</v>
      </c>
      <c r="C395" s="2">
        <f t="shared" si="6"/>
        <v>-1.5283676828530657E-2</v>
      </c>
    </row>
    <row r="396" spans="1:3" x14ac:dyDescent="0.2">
      <c r="A396" s="1">
        <v>45496</v>
      </c>
      <c r="B396">
        <v>474.7</v>
      </c>
      <c r="C396" s="2">
        <f t="shared" si="6"/>
        <v>1.613965804921004E-2</v>
      </c>
    </row>
    <row r="397" spans="1:3" x14ac:dyDescent="0.2">
      <c r="A397" s="1">
        <v>45495</v>
      </c>
      <c r="B397">
        <v>467.1</v>
      </c>
      <c r="C397" s="2">
        <f t="shared" si="6"/>
        <v>1.0978476426323628E-2</v>
      </c>
    </row>
    <row r="398" spans="1:3" x14ac:dyDescent="0.2">
      <c r="A398" s="1">
        <v>45492</v>
      </c>
      <c r="B398">
        <v>462</v>
      </c>
      <c r="C398" s="2">
        <f t="shared" si="6"/>
        <v>4.9907882695565233E-3</v>
      </c>
    </row>
    <row r="399" spans="1:3" x14ac:dyDescent="0.2">
      <c r="A399" s="1">
        <v>45491</v>
      </c>
      <c r="B399">
        <v>459.7</v>
      </c>
      <c r="C399" s="2">
        <f t="shared" si="6"/>
        <v>1.9597175569666097E-3</v>
      </c>
    </row>
    <row r="400" spans="1:3" x14ac:dyDescent="0.2">
      <c r="A400" s="1">
        <v>45490</v>
      </c>
      <c r="B400">
        <v>458.8</v>
      </c>
      <c r="C400" s="2">
        <f t="shared" si="6"/>
        <v>-3.9156021313691784E-3</v>
      </c>
    </row>
    <row r="401" spans="1:3" x14ac:dyDescent="0.2">
      <c r="A401" s="1">
        <v>45489</v>
      </c>
      <c r="B401">
        <v>460.6</v>
      </c>
      <c r="C401" s="2">
        <f t="shared" si="6"/>
        <v>0</v>
      </c>
    </row>
    <row r="402" spans="1:3" x14ac:dyDescent="0.2">
      <c r="A402" s="1">
        <v>45488</v>
      </c>
      <c r="B402">
        <v>460.6</v>
      </c>
      <c r="C402" s="2">
        <f t="shared" si="6"/>
        <v>-4.981060650639961E-3</v>
      </c>
    </row>
    <row r="403" spans="1:3" x14ac:dyDescent="0.2">
      <c r="A403" s="1">
        <v>45485</v>
      </c>
      <c r="B403">
        <v>462.9</v>
      </c>
      <c r="C403" s="2">
        <f t="shared" si="6"/>
        <v>2.1177518883373537E-2</v>
      </c>
    </row>
    <row r="404" spans="1:3" x14ac:dyDescent="0.2">
      <c r="A404" s="1">
        <v>45484</v>
      </c>
      <c r="B404">
        <v>453.2</v>
      </c>
      <c r="C404" s="2">
        <f t="shared" si="6"/>
        <v>4.8661896511729063E-3</v>
      </c>
    </row>
    <row r="405" spans="1:3" x14ac:dyDescent="0.2">
      <c r="A405" s="1">
        <v>45483</v>
      </c>
      <c r="B405">
        <v>451</v>
      </c>
      <c r="C405" s="2">
        <f t="shared" si="6"/>
        <v>-9.0498355199179273E-3</v>
      </c>
    </row>
    <row r="406" spans="1:3" x14ac:dyDescent="0.2">
      <c r="A406" s="1">
        <v>45482</v>
      </c>
      <c r="B406">
        <v>455.1</v>
      </c>
      <c r="C406" s="2">
        <f t="shared" si="6"/>
        <v>-2.109003051510519E-2</v>
      </c>
    </row>
    <row r="407" spans="1:3" x14ac:dyDescent="0.2">
      <c r="A407" s="1">
        <v>45481</v>
      </c>
      <c r="B407">
        <v>464.8</v>
      </c>
      <c r="C407" s="2">
        <f t="shared" si="6"/>
        <v>8.6095571396521437E-4</v>
      </c>
    </row>
    <row r="408" spans="1:3" x14ac:dyDescent="0.2">
      <c r="A408" s="1">
        <v>45478</v>
      </c>
      <c r="B408">
        <v>464.4</v>
      </c>
      <c r="C408" s="2">
        <f t="shared" si="6"/>
        <v>-5.3688521531549439E-3</v>
      </c>
    </row>
    <row r="409" spans="1:3" x14ac:dyDescent="0.2">
      <c r="A409" s="1">
        <v>45477</v>
      </c>
      <c r="B409">
        <v>466.9</v>
      </c>
      <c r="C409" s="2">
        <f t="shared" si="6"/>
        <v>-9.1675303604856553E-3</v>
      </c>
    </row>
    <row r="410" spans="1:3" x14ac:dyDescent="0.2">
      <c r="A410" s="1">
        <v>45476</v>
      </c>
      <c r="B410">
        <v>471.2</v>
      </c>
      <c r="C410" s="2">
        <f t="shared" si="6"/>
        <v>6.3870772805665931E-3</v>
      </c>
    </row>
    <row r="411" spans="1:3" x14ac:dyDescent="0.2">
      <c r="A411" s="1">
        <v>45475</v>
      </c>
      <c r="B411">
        <v>468.2</v>
      </c>
      <c r="C411" s="2">
        <f t="shared" si="6"/>
        <v>-3.6243510519595877E-3</v>
      </c>
    </row>
    <row r="412" spans="1:3" x14ac:dyDescent="0.2">
      <c r="A412" s="1">
        <v>45474</v>
      </c>
      <c r="B412">
        <v>469.9</v>
      </c>
      <c r="C412" s="2">
        <f t="shared" si="6"/>
        <v>1.241985986163986E-2</v>
      </c>
    </row>
    <row r="413" spans="1:3" x14ac:dyDescent="0.2">
      <c r="A413" s="1">
        <v>45471</v>
      </c>
      <c r="B413">
        <v>464.1</v>
      </c>
    </row>
    <row r="414" spans="1:3" x14ac:dyDescent="0.2">
      <c r="A414" s="1">
        <v>45470</v>
      </c>
      <c r="B414">
        <v>463.4</v>
      </c>
      <c r="C414" s="2">
        <f t="shared" ref="C414:C450" si="7">+LN(B414/B415)</f>
        <v>-1.3290656515611012E-2</v>
      </c>
    </row>
    <row r="415" spans="1:3" x14ac:dyDescent="0.2">
      <c r="A415" s="1">
        <v>45469</v>
      </c>
      <c r="B415">
        <v>469.6</v>
      </c>
      <c r="C415" s="2">
        <f t="shared" si="7"/>
        <v>9.4138478693774896E-3</v>
      </c>
    </row>
    <row r="416" spans="1:3" x14ac:dyDescent="0.2">
      <c r="A416" s="1">
        <v>45468</v>
      </c>
      <c r="B416">
        <v>465.2</v>
      </c>
      <c r="C416" s="2">
        <f t="shared" si="7"/>
        <v>-1.3451681429002858E-2</v>
      </c>
    </row>
    <row r="417" spans="1:3" x14ac:dyDescent="0.2">
      <c r="A417" s="1">
        <v>45467</v>
      </c>
      <c r="B417">
        <v>471.5</v>
      </c>
      <c r="C417" s="2">
        <f t="shared" si="7"/>
        <v>1.3021851205320824E-2</v>
      </c>
    </row>
    <row r="418" spans="1:3" x14ac:dyDescent="0.2">
      <c r="A418" s="1">
        <v>45463</v>
      </c>
      <c r="B418">
        <v>465.4</v>
      </c>
      <c r="C418" s="2">
        <f t="shared" si="7"/>
        <v>5.1701967819573142E-3</v>
      </c>
    </row>
    <row r="419" spans="1:3" x14ac:dyDescent="0.2">
      <c r="A419" s="1">
        <v>45462</v>
      </c>
      <c r="B419">
        <v>463</v>
      </c>
      <c r="C419" s="2">
        <f t="shared" si="7"/>
        <v>-7.1021497280411763E-3</v>
      </c>
    </row>
    <row r="420" spans="1:3" x14ac:dyDescent="0.2">
      <c r="A420" s="1">
        <v>45461</v>
      </c>
      <c r="B420">
        <v>466.3</v>
      </c>
      <c r="C420" s="2">
        <f t="shared" si="7"/>
        <v>-2.5701449144665111E-3</v>
      </c>
    </row>
    <row r="421" spans="1:3" x14ac:dyDescent="0.2">
      <c r="A421" s="1">
        <v>45460</v>
      </c>
      <c r="B421">
        <v>467.5</v>
      </c>
      <c r="C421" s="2">
        <f t="shared" si="7"/>
        <v>6.2225283924328316E-3</v>
      </c>
    </row>
    <row r="422" spans="1:3" x14ac:dyDescent="0.2">
      <c r="A422" s="1">
        <v>45457</v>
      </c>
      <c r="B422">
        <v>464.6</v>
      </c>
      <c r="C422" s="2">
        <f t="shared" si="7"/>
        <v>-3.5313955972754933E-2</v>
      </c>
    </row>
    <row r="423" spans="1:3" x14ac:dyDescent="0.2">
      <c r="A423" s="1">
        <v>45456</v>
      </c>
      <c r="B423">
        <v>481.3</v>
      </c>
      <c r="C423" s="2">
        <f t="shared" si="7"/>
        <v>-6.0072681948943694E-3</v>
      </c>
    </row>
    <row r="424" spans="1:3" x14ac:dyDescent="0.2">
      <c r="A424" s="1">
        <v>45455</v>
      </c>
      <c r="B424">
        <v>484.2</v>
      </c>
      <c r="C424" s="2">
        <f t="shared" si="7"/>
        <v>1.8341489577864561E-2</v>
      </c>
    </row>
    <row r="425" spans="1:3" x14ac:dyDescent="0.2">
      <c r="A425" s="1">
        <v>45454</v>
      </c>
      <c r="B425">
        <v>475.4</v>
      </c>
      <c r="C425" s="2">
        <f t="shared" si="7"/>
        <v>-9.8378606108011704E-3</v>
      </c>
    </row>
    <row r="426" spans="1:3" x14ac:dyDescent="0.2">
      <c r="A426" s="1">
        <v>45453</v>
      </c>
      <c r="B426">
        <v>480.1</v>
      </c>
      <c r="C426" s="2">
        <f t="shared" si="7"/>
        <v>-1.4569676841031537E-3</v>
      </c>
    </row>
    <row r="427" spans="1:3" x14ac:dyDescent="0.2">
      <c r="A427" s="1">
        <v>45450</v>
      </c>
      <c r="B427">
        <v>480.8</v>
      </c>
      <c r="C427" s="2">
        <f t="shared" si="7"/>
        <v>1.6652793190612488E-3</v>
      </c>
    </row>
    <row r="428" spans="1:3" x14ac:dyDescent="0.2">
      <c r="A428" s="1">
        <v>45448</v>
      </c>
      <c r="B428">
        <v>480</v>
      </c>
      <c r="C428" s="2">
        <f t="shared" si="7"/>
        <v>7.3183808076797011E-3</v>
      </c>
    </row>
    <row r="429" spans="1:3" x14ac:dyDescent="0.2">
      <c r="A429" s="1">
        <v>45447</v>
      </c>
      <c r="B429">
        <v>476.5</v>
      </c>
      <c r="C429" s="2">
        <f t="shared" si="7"/>
        <v>-1.0853790541918328E-2</v>
      </c>
    </row>
    <row r="430" spans="1:3" x14ac:dyDescent="0.2">
      <c r="A430" s="1">
        <v>45446</v>
      </c>
      <c r="B430">
        <v>481.7</v>
      </c>
      <c r="C430" s="2">
        <f t="shared" si="7"/>
        <v>-7.2396634337199986E-3</v>
      </c>
    </row>
    <row r="431" spans="1:3" x14ac:dyDescent="0.2">
      <c r="A431" s="1">
        <v>45443</v>
      </c>
      <c r="B431">
        <v>485.2</v>
      </c>
      <c r="C431" s="2">
        <f t="shared" si="7"/>
        <v>5.9948499949687324E-3</v>
      </c>
    </row>
    <row r="432" spans="1:3" x14ac:dyDescent="0.2">
      <c r="A432" s="1">
        <v>45442</v>
      </c>
      <c r="B432">
        <v>482.3</v>
      </c>
      <c r="C432" s="2">
        <f t="shared" si="7"/>
        <v>-5.5825638625569629E-3</v>
      </c>
    </row>
    <row r="433" spans="1:3" x14ac:dyDescent="0.2">
      <c r="A433" s="1">
        <v>45441</v>
      </c>
      <c r="B433">
        <v>485</v>
      </c>
      <c r="C433" s="2">
        <f t="shared" si="7"/>
        <v>2.8907721968454499E-3</v>
      </c>
    </row>
    <row r="434" spans="1:3" x14ac:dyDescent="0.2">
      <c r="A434" s="1">
        <v>45440</v>
      </c>
      <c r="B434">
        <v>483.6</v>
      </c>
      <c r="C434" s="2">
        <f t="shared" si="7"/>
        <v>-5.9787828854221204E-3</v>
      </c>
    </row>
    <row r="435" spans="1:3" x14ac:dyDescent="0.2">
      <c r="A435" s="1">
        <v>45439</v>
      </c>
      <c r="B435">
        <v>486.5</v>
      </c>
      <c r="C435" s="2">
        <f t="shared" si="7"/>
        <v>-7.3725502894421615E-3</v>
      </c>
    </row>
    <row r="436" spans="1:3" x14ac:dyDescent="0.2">
      <c r="A436" s="1">
        <v>45436</v>
      </c>
      <c r="B436">
        <v>490.1</v>
      </c>
      <c r="C436" s="2">
        <f t="shared" si="7"/>
        <v>-5.6968617958302317E-3</v>
      </c>
    </row>
    <row r="437" spans="1:3" x14ac:dyDescent="0.2">
      <c r="A437" s="1">
        <v>45435</v>
      </c>
      <c r="B437">
        <v>492.9</v>
      </c>
      <c r="C437" s="2">
        <f t="shared" si="7"/>
        <v>7.9438242364600169E-3</v>
      </c>
    </row>
    <row r="438" spans="1:3" x14ac:dyDescent="0.2">
      <c r="A438" s="1">
        <v>45434</v>
      </c>
      <c r="B438">
        <v>489</v>
      </c>
      <c r="C438" s="2">
        <f t="shared" si="7"/>
        <v>-8.1466845678181375E-3</v>
      </c>
    </row>
    <row r="439" spans="1:3" x14ac:dyDescent="0.2">
      <c r="A439" s="1">
        <v>45433</v>
      </c>
      <c r="B439">
        <v>493</v>
      </c>
      <c r="C439" s="2">
        <f t="shared" si="7"/>
        <v>6.5120295246227835E-3</v>
      </c>
    </row>
    <row r="440" spans="1:3" x14ac:dyDescent="0.2">
      <c r="A440" s="1">
        <v>45432</v>
      </c>
      <c r="B440">
        <v>489.8</v>
      </c>
      <c r="C440" s="2">
        <f t="shared" si="7"/>
        <v>7.1714271083273152E-3</v>
      </c>
    </row>
    <row r="441" spans="1:3" x14ac:dyDescent="0.2">
      <c r="A441" s="1">
        <v>45429</v>
      </c>
      <c r="B441">
        <v>486.3</v>
      </c>
      <c r="C441" s="2">
        <f t="shared" si="7"/>
        <v>-1.6437234027568783E-3</v>
      </c>
    </row>
    <row r="442" spans="1:3" x14ac:dyDescent="0.2">
      <c r="A442" s="1">
        <v>45428</v>
      </c>
      <c r="B442">
        <v>487.1</v>
      </c>
      <c r="C442" s="2">
        <f t="shared" si="7"/>
        <v>-6.7519438095045847E-3</v>
      </c>
    </row>
    <row r="443" spans="1:3" x14ac:dyDescent="0.2">
      <c r="A443" s="1">
        <v>45427</v>
      </c>
      <c r="B443">
        <v>490.4</v>
      </c>
      <c r="C443" s="2">
        <f t="shared" si="7"/>
        <v>1.1072493684518363E-2</v>
      </c>
    </row>
    <row r="444" spans="1:3" x14ac:dyDescent="0.2">
      <c r="A444" s="1">
        <v>45426</v>
      </c>
      <c r="B444">
        <v>485</v>
      </c>
      <c r="C444" s="2">
        <f t="shared" si="7"/>
        <v>-8.2440235501780455E-4</v>
      </c>
    </row>
    <row r="445" spans="1:3" x14ac:dyDescent="0.2">
      <c r="A445" s="1">
        <v>45425</v>
      </c>
      <c r="B445">
        <v>485.4</v>
      </c>
      <c r="C445" s="2">
        <f t="shared" si="7"/>
        <v>-2.8800678208711667E-3</v>
      </c>
    </row>
    <row r="446" spans="1:3" x14ac:dyDescent="0.2">
      <c r="A446" s="1">
        <v>45422</v>
      </c>
      <c r="B446">
        <v>486.8</v>
      </c>
      <c r="C446" s="2">
        <f t="shared" si="7"/>
        <v>1.8661126221662855E-2</v>
      </c>
    </row>
    <row r="447" spans="1:3" x14ac:dyDescent="0.2">
      <c r="A447" s="1">
        <v>45420</v>
      </c>
      <c r="B447">
        <v>477.8</v>
      </c>
      <c r="C447" s="2">
        <f t="shared" si="7"/>
        <v>-1.6729405825638562E-3</v>
      </c>
    </row>
    <row r="448" spans="1:3" x14ac:dyDescent="0.2">
      <c r="A448" s="1">
        <v>45419</v>
      </c>
      <c r="B448">
        <v>478.6</v>
      </c>
      <c r="C448" s="2">
        <f t="shared" si="7"/>
        <v>1.2827428540475576E-2</v>
      </c>
    </row>
    <row r="449" spans="1:3" x14ac:dyDescent="0.2">
      <c r="A449" s="1">
        <v>45418</v>
      </c>
      <c r="B449">
        <v>472.5</v>
      </c>
      <c r="C449" s="2">
        <f t="shared" si="7"/>
        <v>5.3050522296930981E-3</v>
      </c>
    </row>
    <row r="450" spans="1:3" x14ac:dyDescent="0.2">
      <c r="A450" s="1">
        <v>45415</v>
      </c>
      <c r="B450">
        <v>470</v>
      </c>
      <c r="C450" s="2">
        <f t="shared" si="7"/>
        <v>2.129926257824849E-3</v>
      </c>
    </row>
    <row r="451" spans="1:3" x14ac:dyDescent="0.2">
      <c r="A451" s="1">
        <v>45414</v>
      </c>
      <c r="B451">
        <v>469</v>
      </c>
      <c r="C451" s="2">
        <f t="shared" ref="C451:C514" si="8">+LN(B451/B452)</f>
        <v>-9.7603151235166642E-3</v>
      </c>
    </row>
    <row r="452" spans="1:3" x14ac:dyDescent="0.2">
      <c r="A452" s="1">
        <v>45412</v>
      </c>
      <c r="B452">
        <v>473.6</v>
      </c>
      <c r="C452" s="2">
        <f t="shared" si="8"/>
        <v>-5.4748504829664211E-3</v>
      </c>
    </row>
    <row r="453" spans="1:3" x14ac:dyDescent="0.2">
      <c r="A453" s="1">
        <v>45411</v>
      </c>
      <c r="B453">
        <v>476.2</v>
      </c>
      <c r="C453" s="2">
        <f t="shared" si="8"/>
        <v>6.3198019485307738E-3</v>
      </c>
    </row>
    <row r="454" spans="1:3" x14ac:dyDescent="0.2">
      <c r="A454" s="1">
        <v>45408</v>
      </c>
      <c r="B454">
        <v>473.2</v>
      </c>
      <c r="C454" s="2">
        <f t="shared" si="8"/>
        <v>1.0836183798206734E-2</v>
      </c>
    </row>
    <row r="455" spans="1:3" x14ac:dyDescent="0.2">
      <c r="A455" s="1">
        <v>45407</v>
      </c>
      <c r="B455">
        <v>468.1</v>
      </c>
      <c r="C455" s="2">
        <f t="shared" si="8"/>
        <v>7.5176690861833553E-2</v>
      </c>
    </row>
    <row r="456" spans="1:3" x14ac:dyDescent="0.2">
      <c r="A456" s="1">
        <v>45406</v>
      </c>
      <c r="B456">
        <v>434.2</v>
      </c>
      <c r="C456" s="2">
        <f t="shared" si="8"/>
        <v>1.9770384610084905E-2</v>
      </c>
    </row>
    <row r="457" spans="1:3" x14ac:dyDescent="0.2">
      <c r="A457" s="1">
        <v>45405</v>
      </c>
      <c r="B457">
        <v>425.7</v>
      </c>
      <c r="C457" s="2">
        <f t="shared" si="8"/>
        <v>9.9150953921964442E-3</v>
      </c>
    </row>
    <row r="458" spans="1:3" x14ac:dyDescent="0.2">
      <c r="A458" s="1">
        <v>45404</v>
      </c>
      <c r="B458">
        <v>421.5</v>
      </c>
      <c r="C458" s="2">
        <f t="shared" si="8"/>
        <v>2.3752980289074833E-3</v>
      </c>
    </row>
    <row r="459" spans="1:3" x14ac:dyDescent="0.2">
      <c r="A459" s="1">
        <v>45401</v>
      </c>
      <c r="B459">
        <v>420.5</v>
      </c>
      <c r="C459" s="2">
        <f t="shared" si="8"/>
        <v>-1.6633008468176732E-3</v>
      </c>
    </row>
    <row r="460" spans="1:3" x14ac:dyDescent="0.2">
      <c r="A460" s="1">
        <v>45400</v>
      </c>
      <c r="B460">
        <v>421.2</v>
      </c>
      <c r="C460" s="2">
        <f t="shared" si="8"/>
        <v>-4.0279642186224034E-3</v>
      </c>
    </row>
    <row r="461" spans="1:3" x14ac:dyDescent="0.2">
      <c r="A461" s="1">
        <v>45399</v>
      </c>
      <c r="B461">
        <v>422.9</v>
      </c>
      <c r="C461" s="2">
        <f t="shared" si="8"/>
        <v>-1.4177696136662081E-3</v>
      </c>
    </row>
    <row r="462" spans="1:3" x14ac:dyDescent="0.2">
      <c r="A462" s="1">
        <v>45398</v>
      </c>
      <c r="B462">
        <v>423.5</v>
      </c>
      <c r="C462" s="2">
        <f t="shared" si="8"/>
        <v>-1.5231694595499006E-2</v>
      </c>
    </row>
    <row r="463" spans="1:3" x14ac:dyDescent="0.2">
      <c r="A463" s="1">
        <v>45397</v>
      </c>
      <c r="B463">
        <v>430</v>
      </c>
      <c r="C463" s="2">
        <f t="shared" si="8"/>
        <v>2.6152980734619007E-2</v>
      </c>
    </row>
    <row r="464" spans="1:3" x14ac:dyDescent="0.2">
      <c r="A464" s="1">
        <v>45394</v>
      </c>
      <c r="B464">
        <v>418.9</v>
      </c>
      <c r="C464" s="2">
        <f t="shared" si="8"/>
        <v>-1.1157385774262356E-2</v>
      </c>
    </row>
    <row r="465" spans="1:3" x14ac:dyDescent="0.2">
      <c r="A465" s="1">
        <v>45393</v>
      </c>
      <c r="B465">
        <v>423.6</v>
      </c>
      <c r="C465" s="2">
        <f t="shared" si="8"/>
        <v>-1.2667305200765573E-2</v>
      </c>
    </row>
    <row r="466" spans="1:3" x14ac:dyDescent="0.2">
      <c r="A466" s="1">
        <v>45392</v>
      </c>
      <c r="B466">
        <v>429</v>
      </c>
      <c r="C466" s="2">
        <f t="shared" si="8"/>
        <v>1.5030813746060674E-2</v>
      </c>
    </row>
    <row r="467" spans="1:3" x14ac:dyDescent="0.2">
      <c r="A467" s="1">
        <v>45391</v>
      </c>
      <c r="B467">
        <v>422.6</v>
      </c>
      <c r="C467" s="2">
        <f t="shared" si="8"/>
        <v>1.1662633678826776E-2</v>
      </c>
    </row>
    <row r="468" spans="1:3" x14ac:dyDescent="0.2">
      <c r="A468" s="1">
        <v>45390</v>
      </c>
      <c r="B468">
        <v>417.7</v>
      </c>
      <c r="C468" s="2">
        <f t="shared" si="8"/>
        <v>-7.8693621792518369E-3</v>
      </c>
    </row>
    <row r="469" spans="1:3" x14ac:dyDescent="0.2">
      <c r="A469" s="1">
        <v>45387</v>
      </c>
      <c r="B469">
        <v>421</v>
      </c>
      <c r="C469" s="2">
        <f t="shared" si="8"/>
        <v>6.1949209316682179E-3</v>
      </c>
    </row>
    <row r="470" spans="1:3" x14ac:dyDescent="0.2">
      <c r="A470" s="1">
        <v>45386</v>
      </c>
      <c r="B470">
        <v>418.4</v>
      </c>
      <c r="C470" s="2">
        <f t="shared" si="8"/>
        <v>-5.2443505178863675E-3</v>
      </c>
    </row>
    <row r="471" spans="1:3" x14ac:dyDescent="0.2">
      <c r="A471" s="1">
        <v>45385</v>
      </c>
      <c r="B471">
        <v>420.6</v>
      </c>
      <c r="C471" s="2">
        <f t="shared" si="8"/>
        <v>5.4833848204467548E-3</v>
      </c>
    </row>
    <row r="472" spans="1:3" x14ac:dyDescent="0.2">
      <c r="A472" s="1">
        <v>45384</v>
      </c>
      <c r="B472">
        <v>418.3</v>
      </c>
      <c r="C472" s="2">
        <f t="shared" si="8"/>
        <v>-5.9587829753473941E-3</v>
      </c>
    </row>
    <row r="473" spans="1:3" x14ac:dyDescent="0.2">
      <c r="A473" s="1">
        <v>45379</v>
      </c>
      <c r="B473">
        <v>420.8</v>
      </c>
      <c r="C473" s="2">
        <f t="shared" si="8"/>
        <v>-8.283090784779094E-3</v>
      </c>
    </row>
    <row r="474" spans="1:3" x14ac:dyDescent="0.2">
      <c r="A474" s="1">
        <v>45378</v>
      </c>
      <c r="B474">
        <v>424.3</v>
      </c>
    </row>
    <row r="475" spans="1:3" x14ac:dyDescent="0.2">
      <c r="A475" s="1">
        <v>45377</v>
      </c>
      <c r="B475">
        <v>426.5</v>
      </c>
      <c r="C475" s="2">
        <f t="shared" si="8"/>
        <v>-9.3349569360517172E-3</v>
      </c>
    </row>
    <row r="476" spans="1:3" x14ac:dyDescent="0.2">
      <c r="A476" s="1">
        <v>45376</v>
      </c>
      <c r="B476">
        <v>430.5</v>
      </c>
      <c r="C476" s="2">
        <f t="shared" si="8"/>
        <v>-1.7728103293580606E-2</v>
      </c>
    </row>
    <row r="477" spans="1:3" x14ac:dyDescent="0.2">
      <c r="A477" s="1">
        <v>45373</v>
      </c>
      <c r="B477">
        <v>438.2</v>
      </c>
      <c r="C477" s="2">
        <f t="shared" si="8"/>
        <v>1.3701760535947173E-3</v>
      </c>
    </row>
    <row r="478" spans="1:3" x14ac:dyDescent="0.2">
      <c r="A478" s="1">
        <v>45372</v>
      </c>
      <c r="B478">
        <v>437.6</v>
      </c>
      <c r="C478" s="2">
        <f t="shared" si="8"/>
        <v>2.2182055525974704E-2</v>
      </c>
    </row>
    <row r="479" spans="1:3" x14ac:dyDescent="0.2">
      <c r="A479" s="1">
        <v>45371</v>
      </c>
      <c r="B479">
        <v>428</v>
      </c>
      <c r="C479" s="2">
        <f t="shared" si="8"/>
        <v>1.2933748784568277E-2</v>
      </c>
    </row>
    <row r="480" spans="1:3" x14ac:dyDescent="0.2">
      <c r="A480" s="1">
        <v>45370</v>
      </c>
      <c r="B480">
        <v>422.5</v>
      </c>
      <c r="C480" s="2">
        <f t="shared" si="8"/>
        <v>7.1259208899676638E-3</v>
      </c>
    </row>
    <row r="481" spans="1:3" x14ac:dyDescent="0.2">
      <c r="A481" s="1">
        <v>45369</v>
      </c>
      <c r="B481">
        <v>419.5</v>
      </c>
      <c r="C481" s="2">
        <f t="shared" si="8"/>
        <v>-4.281643077710044E-3</v>
      </c>
    </row>
    <row r="482" spans="1:3" x14ac:dyDescent="0.2">
      <c r="A482" s="1">
        <v>45366</v>
      </c>
      <c r="B482">
        <v>421.3</v>
      </c>
      <c r="C482" s="2">
        <f t="shared" si="8"/>
        <v>1.4825713925977736E-2</v>
      </c>
    </row>
    <row r="483" spans="1:3" x14ac:dyDescent="0.2">
      <c r="A483" s="1">
        <v>45365</v>
      </c>
      <c r="B483">
        <v>415.1</v>
      </c>
      <c r="C483" s="2">
        <f t="shared" si="8"/>
        <v>5.3140221669486206E-3</v>
      </c>
    </row>
    <row r="484" spans="1:3" x14ac:dyDescent="0.2">
      <c r="A484" s="1">
        <v>45364</v>
      </c>
      <c r="B484">
        <v>412.9</v>
      </c>
      <c r="C484" s="2">
        <f t="shared" si="8"/>
        <v>-2.1773324193981682E-3</v>
      </c>
    </row>
    <row r="485" spans="1:3" x14ac:dyDescent="0.2">
      <c r="A485" s="1">
        <v>45363</v>
      </c>
      <c r="B485">
        <v>413.8</v>
      </c>
      <c r="C485" s="2">
        <f t="shared" si="8"/>
        <v>1.3870522899682568E-2</v>
      </c>
    </row>
    <row r="486" spans="1:3" x14ac:dyDescent="0.2">
      <c r="A486" s="1">
        <v>45362</v>
      </c>
      <c r="B486">
        <v>408.1</v>
      </c>
      <c r="C486" s="2">
        <f t="shared" si="8"/>
        <v>1.0592536533022841E-2</v>
      </c>
    </row>
    <row r="487" spans="1:3" x14ac:dyDescent="0.2">
      <c r="A487" s="1">
        <v>45359</v>
      </c>
      <c r="B487">
        <v>403.8</v>
      </c>
      <c r="C487" s="2">
        <f t="shared" si="8"/>
        <v>1.5976375761020824E-2</v>
      </c>
    </row>
    <row r="488" spans="1:3" x14ac:dyDescent="0.2">
      <c r="A488" s="1">
        <v>45358</v>
      </c>
      <c r="B488">
        <v>397.4</v>
      </c>
      <c r="C488" s="2">
        <f t="shared" si="8"/>
        <v>4.2869817263378194E-3</v>
      </c>
    </row>
    <row r="489" spans="1:3" x14ac:dyDescent="0.2">
      <c r="A489" s="1">
        <v>45357</v>
      </c>
      <c r="B489">
        <v>395.7</v>
      </c>
      <c r="C489" s="2">
        <f t="shared" si="8"/>
        <v>9.139439093092493E-3</v>
      </c>
    </row>
    <row r="490" spans="1:3" x14ac:dyDescent="0.2">
      <c r="A490" s="1">
        <v>45356</v>
      </c>
      <c r="B490">
        <v>392.1</v>
      </c>
      <c r="C490" s="2">
        <f t="shared" si="8"/>
        <v>-1.3678024796100564E-2</v>
      </c>
    </row>
    <row r="491" spans="1:3" x14ac:dyDescent="0.2">
      <c r="A491" s="1">
        <v>45355</v>
      </c>
      <c r="B491">
        <v>397.5</v>
      </c>
      <c r="C491" s="2">
        <f t="shared" si="8"/>
        <v>9.8597689162881041E-3</v>
      </c>
    </row>
    <row r="492" spans="1:3" x14ac:dyDescent="0.2">
      <c r="A492" s="1">
        <v>45352</v>
      </c>
      <c r="B492">
        <v>393.6</v>
      </c>
      <c r="C492" s="2">
        <f t="shared" si="8"/>
        <v>9.9579528334348567E-3</v>
      </c>
    </row>
    <row r="493" spans="1:3" x14ac:dyDescent="0.2">
      <c r="A493" s="1">
        <v>45351</v>
      </c>
      <c r="B493">
        <v>389.7</v>
      </c>
      <c r="C493" s="2">
        <f t="shared" si="8"/>
        <v>1.4474276992804335E-2</v>
      </c>
    </row>
    <row r="494" spans="1:3" x14ac:dyDescent="0.2">
      <c r="A494" s="1">
        <v>45350</v>
      </c>
      <c r="B494">
        <v>384.1</v>
      </c>
      <c r="C494" s="2">
        <f t="shared" si="8"/>
        <v>9.9425204176451943E-3</v>
      </c>
    </row>
    <row r="495" spans="1:3" x14ac:dyDescent="0.2">
      <c r="A495" s="1">
        <v>45349</v>
      </c>
      <c r="B495">
        <v>380.3</v>
      </c>
      <c r="C495" s="2">
        <f t="shared" si="8"/>
        <v>-9.6821376535128918E-3</v>
      </c>
    </row>
    <row r="496" spans="1:3" x14ac:dyDescent="0.2">
      <c r="A496" s="1">
        <v>45348</v>
      </c>
      <c r="B496">
        <v>384</v>
      </c>
      <c r="C496" s="2">
        <f t="shared" si="8"/>
        <v>4.9601981348725661E-3</v>
      </c>
    </row>
    <row r="497" spans="1:3" x14ac:dyDescent="0.2">
      <c r="A497" s="1">
        <v>45345</v>
      </c>
      <c r="B497">
        <v>382.1</v>
      </c>
      <c r="C497" s="2">
        <f t="shared" si="8"/>
        <v>7.3549057580010509E-3</v>
      </c>
    </row>
    <row r="498" spans="1:3" x14ac:dyDescent="0.2">
      <c r="A498" s="1">
        <v>45344</v>
      </c>
      <c r="B498">
        <v>379.3</v>
      </c>
      <c r="C498" s="2">
        <f t="shared" si="8"/>
        <v>-4.734359184961315E-3</v>
      </c>
    </row>
    <row r="499" spans="1:3" x14ac:dyDescent="0.2">
      <c r="A499" s="1">
        <v>45343</v>
      </c>
      <c r="B499">
        <v>381.1</v>
      </c>
      <c r="C499" s="2">
        <f t="shared" si="8"/>
        <v>4.4707503789008455E-3</v>
      </c>
    </row>
    <row r="500" spans="1:3" x14ac:dyDescent="0.2">
      <c r="A500" s="1">
        <v>45342</v>
      </c>
      <c r="B500">
        <v>379.4</v>
      </c>
      <c r="C500" s="2">
        <f t="shared" si="8"/>
        <v>5.5504305306490415E-3</v>
      </c>
    </row>
    <row r="501" spans="1:3" x14ac:dyDescent="0.2">
      <c r="A501" s="1">
        <v>45341</v>
      </c>
      <c r="B501">
        <v>377.3</v>
      </c>
      <c r="C501" s="2">
        <f t="shared" si="8"/>
        <v>-3.4396118049577493E-3</v>
      </c>
    </row>
    <row r="502" spans="1:3" x14ac:dyDescent="0.2">
      <c r="A502" s="1">
        <v>45338</v>
      </c>
      <c r="B502">
        <v>378.6</v>
      </c>
      <c r="C502" s="2">
        <f t="shared" si="8"/>
        <v>-1.2337733611286853E-2</v>
      </c>
    </row>
    <row r="503" spans="1:3" x14ac:dyDescent="0.2">
      <c r="A503" s="1">
        <v>45337</v>
      </c>
      <c r="B503">
        <v>383.3</v>
      </c>
      <c r="C503" s="2">
        <f t="shared" si="8"/>
        <v>8.383596391306293E-3</v>
      </c>
    </row>
    <row r="504" spans="1:3" x14ac:dyDescent="0.2">
      <c r="A504" s="1">
        <v>45336</v>
      </c>
      <c r="B504">
        <v>380.1</v>
      </c>
      <c r="C504" s="2">
        <f t="shared" si="8"/>
        <v>4.2183031176996066E-3</v>
      </c>
    </row>
    <row r="505" spans="1:3" x14ac:dyDescent="0.2">
      <c r="A505" s="1">
        <v>45335</v>
      </c>
      <c r="B505">
        <v>378.5</v>
      </c>
      <c r="C505" s="2">
        <f t="shared" si="8"/>
        <v>3.1754459072385571E-3</v>
      </c>
    </row>
    <row r="506" spans="1:3" x14ac:dyDescent="0.2">
      <c r="A506" s="1">
        <v>45334</v>
      </c>
      <c r="B506">
        <v>377.3</v>
      </c>
      <c r="C506" s="2">
        <f t="shared" si="8"/>
        <v>2.1702124341567798E-2</v>
      </c>
    </row>
    <row r="507" spans="1:3" x14ac:dyDescent="0.2">
      <c r="A507" s="1">
        <v>45331</v>
      </c>
      <c r="B507">
        <v>369.2</v>
      </c>
      <c r="C507" s="2">
        <f t="shared" si="8"/>
        <v>-1.9845113594354993E-2</v>
      </c>
    </row>
    <row r="508" spans="1:3" x14ac:dyDescent="0.2">
      <c r="A508" s="1">
        <v>45330</v>
      </c>
      <c r="B508">
        <v>376.6</v>
      </c>
      <c r="C508" s="2">
        <f t="shared" si="8"/>
        <v>6.1260013126686963E-3</v>
      </c>
    </row>
    <row r="509" spans="1:3" x14ac:dyDescent="0.2">
      <c r="A509" s="1">
        <v>45329</v>
      </c>
      <c r="B509">
        <v>374.3</v>
      </c>
      <c r="C509" s="2">
        <f t="shared" si="8"/>
        <v>9.1251304148382336E-3</v>
      </c>
    </row>
    <row r="510" spans="1:3" x14ac:dyDescent="0.2">
      <c r="A510" s="1">
        <v>45328</v>
      </c>
      <c r="B510">
        <v>370.9</v>
      </c>
      <c r="C510" s="2">
        <f t="shared" si="8"/>
        <v>-3.8868078240845517E-2</v>
      </c>
    </row>
    <row r="511" spans="1:3" x14ac:dyDescent="0.2">
      <c r="A511" s="1">
        <v>45327</v>
      </c>
      <c r="B511">
        <v>385.6</v>
      </c>
      <c r="C511" s="2">
        <f t="shared" si="8"/>
        <v>-8.2645098498934245E-3</v>
      </c>
    </row>
    <row r="512" spans="1:3" x14ac:dyDescent="0.2">
      <c r="A512" s="1">
        <v>45324</v>
      </c>
      <c r="B512">
        <v>388.8</v>
      </c>
      <c r="C512" s="2">
        <f t="shared" si="8"/>
        <v>6.7097025918699833E-3</v>
      </c>
    </row>
    <row r="513" spans="1:3" x14ac:dyDescent="0.2">
      <c r="A513" s="1">
        <v>45323</v>
      </c>
      <c r="B513">
        <v>386.2</v>
      </c>
      <c r="C513" s="2">
        <f t="shared" si="8"/>
        <v>5.4524346425549718E-3</v>
      </c>
    </row>
    <row r="514" spans="1:3" x14ac:dyDescent="0.2">
      <c r="A514" s="1">
        <v>45322</v>
      </c>
      <c r="B514">
        <v>384.1</v>
      </c>
      <c r="C514" s="2">
        <f t="shared" si="8"/>
        <v>1.7332366662779774E-2</v>
      </c>
    </row>
    <row r="515" spans="1:3" x14ac:dyDescent="0.2">
      <c r="A515" s="1">
        <v>45321</v>
      </c>
      <c r="B515">
        <v>377.5</v>
      </c>
      <c r="C515" s="2">
        <f t="shared" ref="C515:C578" si="9">+LN(B515/B516)</f>
        <v>1.0384862334391861E-2</v>
      </c>
    </row>
    <row r="516" spans="1:3" x14ac:dyDescent="0.2">
      <c r="A516" s="1">
        <v>45320</v>
      </c>
      <c r="B516">
        <v>373.6</v>
      </c>
      <c r="C516" s="2">
        <f t="shared" si="9"/>
        <v>-4.8064177977207561E-3</v>
      </c>
    </row>
    <row r="517" spans="1:3" x14ac:dyDescent="0.2">
      <c r="A517" s="1">
        <v>45317</v>
      </c>
      <c r="B517">
        <v>375.4</v>
      </c>
      <c r="C517" s="2">
        <f t="shared" si="9"/>
        <v>6.6818369676334083E-3</v>
      </c>
    </row>
    <row r="518" spans="1:3" x14ac:dyDescent="0.2">
      <c r="A518" s="1">
        <v>45316</v>
      </c>
      <c r="B518">
        <v>372.9</v>
      </c>
      <c r="C518" s="2">
        <f t="shared" si="9"/>
        <v>-5.8823699030666364E-3</v>
      </c>
    </row>
    <row r="519" spans="1:3" x14ac:dyDescent="0.2">
      <c r="A519" s="1">
        <v>45315</v>
      </c>
      <c r="B519">
        <v>375.1</v>
      </c>
      <c r="C519" s="2">
        <f t="shared" si="9"/>
        <v>2.6663111743080545E-4</v>
      </c>
    </row>
    <row r="520" spans="1:3" x14ac:dyDescent="0.2">
      <c r="A520" s="1">
        <v>45314</v>
      </c>
      <c r="B520">
        <v>375</v>
      </c>
      <c r="C520" s="2">
        <f t="shared" si="9"/>
        <v>-3.1948908965191767E-3</v>
      </c>
    </row>
    <row r="521" spans="1:3" x14ac:dyDescent="0.2">
      <c r="A521" s="1">
        <v>45313</v>
      </c>
      <c r="B521">
        <v>376.2</v>
      </c>
      <c r="C521" s="2">
        <f t="shared" si="9"/>
        <v>1.3649348800378047E-2</v>
      </c>
    </row>
    <row r="522" spans="1:3" x14ac:dyDescent="0.2">
      <c r="A522" s="1">
        <v>45310</v>
      </c>
      <c r="B522">
        <v>371.1</v>
      </c>
      <c r="C522" s="2">
        <f t="shared" si="9"/>
        <v>2.1580801469849565E-3</v>
      </c>
    </row>
    <row r="523" spans="1:3" x14ac:dyDescent="0.2">
      <c r="A523" s="1">
        <v>45309</v>
      </c>
      <c r="B523">
        <v>370.3</v>
      </c>
      <c r="C523" s="2">
        <f t="shared" si="9"/>
        <v>9.4967475372572073E-3</v>
      </c>
    </row>
    <row r="524" spans="1:3" x14ac:dyDescent="0.2">
      <c r="A524" s="1">
        <v>45308</v>
      </c>
      <c r="B524">
        <v>366.8</v>
      </c>
      <c r="C524" s="2">
        <f t="shared" si="9"/>
        <v>-2.1575809981957315E-2</v>
      </c>
    </row>
    <row r="525" spans="1:3" x14ac:dyDescent="0.2">
      <c r="A525" s="1">
        <v>45307</v>
      </c>
      <c r="B525">
        <v>374.8</v>
      </c>
      <c r="C525" s="2">
        <f t="shared" si="9"/>
        <v>-1.3331557767080658E-3</v>
      </c>
    </row>
    <row r="526" spans="1:3" x14ac:dyDescent="0.2">
      <c r="A526" s="1">
        <v>45306</v>
      </c>
      <c r="B526">
        <v>375.3</v>
      </c>
      <c r="C526" s="2">
        <f t="shared" si="9"/>
        <v>-1.6122987025343503E-2</v>
      </c>
    </row>
    <row r="527" spans="1:3" x14ac:dyDescent="0.2">
      <c r="A527" s="1">
        <v>45303</v>
      </c>
      <c r="B527">
        <v>381.4</v>
      </c>
      <c r="C527" s="2">
        <f t="shared" si="9"/>
        <v>-2.8799601002718485E-3</v>
      </c>
    </row>
    <row r="528" spans="1:3" x14ac:dyDescent="0.2">
      <c r="A528" s="1">
        <v>45302</v>
      </c>
      <c r="B528">
        <v>382.5</v>
      </c>
      <c r="C528" s="2">
        <f t="shared" si="9"/>
        <v>-3.1323439863161057E-3</v>
      </c>
    </row>
    <row r="529" spans="1:3" x14ac:dyDescent="0.2">
      <c r="A529" s="1">
        <v>45301</v>
      </c>
      <c r="B529">
        <v>383.7</v>
      </c>
      <c r="C529" s="2">
        <f t="shared" si="9"/>
        <v>3.1323439863162024E-3</v>
      </c>
    </row>
    <row r="530" spans="1:3" x14ac:dyDescent="0.2">
      <c r="A530" s="1">
        <v>45300</v>
      </c>
      <c r="B530">
        <v>382.5</v>
      </c>
      <c r="C530" s="2">
        <f t="shared" si="9"/>
        <v>-9.1087161982403662E-3</v>
      </c>
    </row>
    <row r="531" spans="1:3" x14ac:dyDescent="0.2">
      <c r="A531" s="1">
        <v>45299</v>
      </c>
      <c r="B531">
        <v>386</v>
      </c>
      <c r="C531" s="2">
        <f t="shared" si="9"/>
        <v>8.0635109815821084E-3</v>
      </c>
    </row>
    <row r="532" spans="1:3" x14ac:dyDescent="0.2">
      <c r="A532" s="1">
        <v>45296</v>
      </c>
      <c r="B532">
        <v>382.9</v>
      </c>
      <c r="C532" s="2">
        <f t="shared" si="9"/>
        <v>-8.5815115111652317E-3</v>
      </c>
    </row>
    <row r="533" spans="1:3" x14ac:dyDescent="0.2">
      <c r="A533" s="1">
        <v>45295</v>
      </c>
      <c r="B533">
        <v>386.2</v>
      </c>
      <c r="C533" s="2">
        <f t="shared" si="9"/>
        <v>-3.1023809784813793E-3</v>
      </c>
    </row>
    <row r="534" spans="1:3" x14ac:dyDescent="0.2">
      <c r="A534" s="1">
        <v>45294</v>
      </c>
      <c r="B534">
        <v>387.4</v>
      </c>
      <c r="C534" s="2">
        <f t="shared" si="9"/>
        <v>-1.7400643745724326E-2</v>
      </c>
    </row>
    <row r="535" spans="1:3" x14ac:dyDescent="0.2">
      <c r="A535" s="1">
        <v>45293</v>
      </c>
      <c r="B535">
        <v>394.2</v>
      </c>
      <c r="C535" s="2">
        <f t="shared" si="9"/>
        <v>-2.3070230801491495E-2</v>
      </c>
    </row>
    <row r="536" spans="1:3" x14ac:dyDescent="0.2">
      <c r="A536" s="1">
        <v>45289</v>
      </c>
      <c r="B536">
        <v>403.4</v>
      </c>
      <c r="C536" s="2">
        <f t="shared" si="9"/>
        <v>-3.2174263617085431E-3</v>
      </c>
    </row>
    <row r="537" spans="1:3" x14ac:dyDescent="0.2">
      <c r="A537" s="1">
        <v>45288</v>
      </c>
      <c r="B537">
        <v>404.7</v>
      </c>
      <c r="C537" s="2">
        <f t="shared" si="9"/>
        <v>-1.7281821360797872E-3</v>
      </c>
    </row>
    <row r="538" spans="1:3" x14ac:dyDescent="0.2">
      <c r="A538" s="1">
        <v>45287</v>
      </c>
      <c r="B538">
        <v>405.4</v>
      </c>
    </row>
    <row r="539" spans="1:3" x14ac:dyDescent="0.2">
      <c r="A539" s="1">
        <v>45282</v>
      </c>
      <c r="B539">
        <v>400.8</v>
      </c>
      <c r="C539" s="2">
        <f t="shared" si="9"/>
        <v>-1.4958865915826911E-3</v>
      </c>
    </row>
    <row r="540" spans="1:3" x14ac:dyDescent="0.2">
      <c r="A540" s="1">
        <v>45281</v>
      </c>
      <c r="B540">
        <v>401.4</v>
      </c>
      <c r="C540" s="2">
        <f t="shared" si="9"/>
        <v>-3.4817244821695025E-3</v>
      </c>
    </row>
    <row r="541" spans="1:3" x14ac:dyDescent="0.2">
      <c r="A541" s="1">
        <v>45280</v>
      </c>
      <c r="B541">
        <v>402.8</v>
      </c>
      <c r="C541" s="2">
        <f t="shared" si="9"/>
        <v>4.2293880684000978E-3</v>
      </c>
    </row>
    <row r="542" spans="1:3" x14ac:dyDescent="0.2">
      <c r="A542" s="1">
        <v>45279</v>
      </c>
      <c r="B542">
        <v>401.1</v>
      </c>
      <c r="C542" s="2">
        <f t="shared" si="9"/>
        <v>1.938386682104859E-2</v>
      </c>
    </row>
    <row r="543" spans="1:3" x14ac:dyDescent="0.2">
      <c r="A543" s="1">
        <v>45278</v>
      </c>
      <c r="B543">
        <v>393.4</v>
      </c>
      <c r="C543" s="2">
        <f t="shared" si="9"/>
        <v>-6.8397986729124239E-3</v>
      </c>
    </row>
    <row r="544" spans="1:3" x14ac:dyDescent="0.2">
      <c r="A544" s="1">
        <v>45275</v>
      </c>
      <c r="B544">
        <v>396.1</v>
      </c>
      <c r="C544" s="2">
        <f t="shared" si="9"/>
        <v>1.091519911743051E-2</v>
      </c>
    </row>
    <row r="545" spans="1:3" x14ac:dyDescent="0.2">
      <c r="A545" s="1">
        <v>45274</v>
      </c>
      <c r="B545">
        <v>391.8</v>
      </c>
      <c r="C545" s="2">
        <f t="shared" si="9"/>
        <v>1.5691640296258431E-2</v>
      </c>
    </row>
    <row r="546" spans="1:3" x14ac:dyDescent="0.2">
      <c r="A546" s="1">
        <v>45273</v>
      </c>
      <c r="B546">
        <v>385.7</v>
      </c>
      <c r="C546" s="2">
        <f t="shared" si="9"/>
        <v>-8.7765147763258673E-3</v>
      </c>
    </row>
    <row r="547" spans="1:3" x14ac:dyDescent="0.2">
      <c r="A547" s="1">
        <v>45272</v>
      </c>
      <c r="B547">
        <v>389.1</v>
      </c>
      <c r="C547" s="2">
        <f t="shared" si="9"/>
        <v>1.8006435733381363E-3</v>
      </c>
    </row>
    <row r="548" spans="1:3" x14ac:dyDescent="0.2">
      <c r="A548" s="1">
        <v>45271</v>
      </c>
      <c r="B548">
        <v>388.4</v>
      </c>
      <c r="C548" s="2">
        <f t="shared" si="9"/>
        <v>8.2730564931992826E-3</v>
      </c>
    </row>
    <row r="549" spans="1:3" x14ac:dyDescent="0.2">
      <c r="A549" s="1">
        <v>45268</v>
      </c>
      <c r="B549">
        <v>385.2</v>
      </c>
      <c r="C549" s="2">
        <f t="shared" si="9"/>
        <v>8.3420713173952728E-3</v>
      </c>
    </row>
    <row r="550" spans="1:3" x14ac:dyDescent="0.2">
      <c r="A550" s="1">
        <v>45267</v>
      </c>
      <c r="B550">
        <v>382</v>
      </c>
      <c r="C550" s="2">
        <f t="shared" si="9"/>
        <v>-8.8611473736907899E-3</v>
      </c>
    </row>
    <row r="551" spans="1:3" x14ac:dyDescent="0.2">
      <c r="A551" s="1">
        <v>45266</v>
      </c>
      <c r="B551">
        <v>385.4</v>
      </c>
      <c r="C551" s="2">
        <f t="shared" si="9"/>
        <v>7.8145748030197127E-3</v>
      </c>
    </row>
    <row r="552" spans="1:3" x14ac:dyDescent="0.2">
      <c r="A552" s="1">
        <v>45265</v>
      </c>
      <c r="B552">
        <v>382.4</v>
      </c>
      <c r="C552" s="2">
        <f t="shared" si="9"/>
        <v>-1.3764663499637215E-2</v>
      </c>
    </row>
    <row r="553" spans="1:3" x14ac:dyDescent="0.2">
      <c r="A553" s="1">
        <v>45264</v>
      </c>
      <c r="B553">
        <v>387.7</v>
      </c>
      <c r="C553" s="2">
        <f t="shared" si="9"/>
        <v>-9.753670753974401E-3</v>
      </c>
    </row>
    <row r="554" spans="1:3" x14ac:dyDescent="0.2">
      <c r="A554" s="1">
        <v>45261</v>
      </c>
      <c r="B554">
        <v>391.5</v>
      </c>
      <c r="C554" s="2">
        <f t="shared" si="9"/>
        <v>2.5546046888194737E-4</v>
      </c>
    </row>
    <row r="555" spans="1:3" x14ac:dyDescent="0.2">
      <c r="A555" s="1">
        <v>45260</v>
      </c>
      <c r="B555">
        <v>391.4</v>
      </c>
      <c r="C555" s="2">
        <f t="shared" si="9"/>
        <v>4.0962678885153548E-3</v>
      </c>
    </row>
    <row r="556" spans="1:3" x14ac:dyDescent="0.2">
      <c r="A556" s="1">
        <v>45259</v>
      </c>
      <c r="B556">
        <v>389.8</v>
      </c>
      <c r="C556" s="2">
        <f t="shared" si="9"/>
        <v>4.3707486985998445E-3</v>
      </c>
    </row>
    <row r="557" spans="1:3" x14ac:dyDescent="0.2">
      <c r="A557" s="1">
        <v>45258</v>
      </c>
      <c r="B557">
        <v>388.1</v>
      </c>
      <c r="C557" s="2">
        <f t="shared" si="9"/>
        <v>-3.3440545632385833E-3</v>
      </c>
    </row>
    <row r="558" spans="1:3" x14ac:dyDescent="0.2">
      <c r="A558" s="1">
        <v>45257</v>
      </c>
      <c r="B558">
        <v>389.4</v>
      </c>
      <c r="C558" s="2">
        <f t="shared" si="9"/>
        <v>8.2517229436852423E-3</v>
      </c>
    </row>
    <row r="559" spans="1:3" x14ac:dyDescent="0.2">
      <c r="A559" s="1">
        <v>45254</v>
      </c>
      <c r="B559">
        <v>386.2</v>
      </c>
      <c r="C559" s="2">
        <f t="shared" si="9"/>
        <v>-2.8442165262925032E-3</v>
      </c>
    </row>
    <row r="560" spans="1:3" x14ac:dyDescent="0.2">
      <c r="A560" s="1">
        <v>45253</v>
      </c>
      <c r="B560">
        <v>387.3</v>
      </c>
      <c r="C560" s="2">
        <f t="shared" si="9"/>
        <v>-5.6642787900963642E-3</v>
      </c>
    </row>
    <row r="561" spans="1:3" x14ac:dyDescent="0.2">
      <c r="A561" s="1">
        <v>45252</v>
      </c>
      <c r="B561">
        <v>389.5</v>
      </c>
      <c r="C561" s="2">
        <f t="shared" si="9"/>
        <v>1.7090006827554186E-2</v>
      </c>
    </row>
    <row r="562" spans="1:3" x14ac:dyDescent="0.2">
      <c r="A562" s="1">
        <v>45251</v>
      </c>
      <c r="B562">
        <v>382.9</v>
      </c>
      <c r="C562" s="2">
        <f t="shared" si="9"/>
        <v>2.6150642517783112E-3</v>
      </c>
    </row>
    <row r="563" spans="1:3" x14ac:dyDescent="0.2">
      <c r="A563" s="1">
        <v>45250</v>
      </c>
      <c r="B563">
        <v>381.9</v>
      </c>
      <c r="C563" s="2">
        <f t="shared" si="9"/>
        <v>1.0479435069586727E-3</v>
      </c>
    </row>
    <row r="564" spans="1:3" x14ac:dyDescent="0.2">
      <c r="A564" s="1">
        <v>45247</v>
      </c>
      <c r="B564">
        <v>381.5</v>
      </c>
      <c r="C564" s="2">
        <f t="shared" si="9"/>
        <v>1.1600446460200141E-2</v>
      </c>
    </row>
    <row r="565" spans="1:3" x14ac:dyDescent="0.2">
      <c r="A565" s="1">
        <v>45246</v>
      </c>
      <c r="B565">
        <v>377.1</v>
      </c>
      <c r="C565" s="2">
        <f t="shared" si="9"/>
        <v>-4.2339306434376707E-3</v>
      </c>
    </row>
    <row r="566" spans="1:3" x14ac:dyDescent="0.2">
      <c r="A566" s="1">
        <v>45245</v>
      </c>
      <c r="B566">
        <v>378.7</v>
      </c>
      <c r="C566" s="2">
        <f t="shared" si="9"/>
        <v>1.0885544897760818E-2</v>
      </c>
    </row>
    <row r="567" spans="1:3" x14ac:dyDescent="0.2">
      <c r="A567" s="1">
        <v>45244</v>
      </c>
      <c r="B567">
        <v>374.6</v>
      </c>
      <c r="C567" s="2">
        <f t="shared" si="9"/>
        <v>1.1815389870590994E-2</v>
      </c>
    </row>
    <row r="568" spans="1:3" x14ac:dyDescent="0.2">
      <c r="A568" s="1">
        <v>45243</v>
      </c>
      <c r="B568">
        <v>370.2</v>
      </c>
      <c r="C568" s="2">
        <f t="shared" si="9"/>
        <v>7.3200814865056309E-3</v>
      </c>
    </row>
    <row r="569" spans="1:3" x14ac:dyDescent="0.2">
      <c r="A569" s="1">
        <v>45240</v>
      </c>
      <c r="B569">
        <v>367.5</v>
      </c>
      <c r="C569" s="2">
        <f t="shared" si="9"/>
        <v>-8.6697915037951823E-3</v>
      </c>
    </row>
    <row r="570" spans="1:3" x14ac:dyDescent="0.2">
      <c r="A570" s="1">
        <v>45239</v>
      </c>
      <c r="B570">
        <v>370.7</v>
      </c>
      <c r="C570" s="2">
        <f t="shared" si="9"/>
        <v>1.6866558707973787E-2</v>
      </c>
    </row>
    <row r="571" spans="1:3" x14ac:dyDescent="0.2">
      <c r="A571" s="1">
        <v>45238</v>
      </c>
      <c r="B571">
        <v>364.5</v>
      </c>
      <c r="C571" s="2">
        <f t="shared" si="9"/>
        <v>8.2338415520535684E-4</v>
      </c>
    </row>
    <row r="572" spans="1:3" x14ac:dyDescent="0.2">
      <c r="A572" s="1">
        <v>45237</v>
      </c>
      <c r="B572">
        <v>364.2</v>
      </c>
      <c r="C572" s="2">
        <f t="shared" si="9"/>
        <v>-4.9301661078587208E-3</v>
      </c>
    </row>
    <row r="573" spans="1:3" x14ac:dyDescent="0.2">
      <c r="A573" s="1">
        <v>45236</v>
      </c>
      <c r="B573">
        <v>366</v>
      </c>
      <c r="C573" s="2">
        <f t="shared" si="9"/>
        <v>2.4620447397749037E-3</v>
      </c>
    </row>
    <row r="574" spans="1:3" x14ac:dyDescent="0.2">
      <c r="A574" s="1">
        <v>45233</v>
      </c>
      <c r="B574">
        <v>365.1</v>
      </c>
      <c r="C574" s="2">
        <f t="shared" si="9"/>
        <v>8.5270768358202183E-3</v>
      </c>
    </row>
    <row r="575" spans="1:3" x14ac:dyDescent="0.2">
      <c r="A575" s="1">
        <v>45232</v>
      </c>
      <c r="B575">
        <v>362</v>
      </c>
      <c r="C575" s="2">
        <f t="shared" si="9"/>
        <v>1.9526422350355236E-2</v>
      </c>
    </row>
    <row r="576" spans="1:3" x14ac:dyDescent="0.2">
      <c r="A576" s="1">
        <v>45231</v>
      </c>
      <c r="B576">
        <v>355</v>
      </c>
      <c r="C576" s="2">
        <f t="shared" si="9"/>
        <v>-1.56515212938012E-2</v>
      </c>
    </row>
    <row r="577" spans="1:3" x14ac:dyDescent="0.2">
      <c r="A577" s="1">
        <v>45230</v>
      </c>
      <c r="B577">
        <v>360.6</v>
      </c>
      <c r="C577" s="2">
        <f t="shared" si="9"/>
        <v>1.6778917129109287E-2</v>
      </c>
    </row>
    <row r="578" spans="1:3" x14ac:dyDescent="0.2">
      <c r="A578" s="1">
        <v>45229</v>
      </c>
      <c r="B578">
        <v>354.6</v>
      </c>
      <c r="C578" s="2">
        <f t="shared" si="9"/>
        <v>-1.3445580709350985E-2</v>
      </c>
    </row>
    <row r="579" spans="1:3" x14ac:dyDescent="0.2">
      <c r="A579" s="1">
        <v>45226</v>
      </c>
      <c r="B579">
        <v>359.4</v>
      </c>
      <c r="C579" s="2">
        <f t="shared" ref="C579:C642" si="10">+LN(B579/B580)</f>
        <v>-3.8878138390100619E-3</v>
      </c>
    </row>
    <row r="580" spans="1:3" x14ac:dyDescent="0.2">
      <c r="A580" s="1">
        <v>45225</v>
      </c>
      <c r="B580">
        <v>360.8</v>
      </c>
      <c r="C580" s="2">
        <f t="shared" si="10"/>
        <v>2.6114076937749007E-2</v>
      </c>
    </row>
    <row r="581" spans="1:3" x14ac:dyDescent="0.2">
      <c r="A581" s="1">
        <v>45224</v>
      </c>
      <c r="B581">
        <v>351.5</v>
      </c>
      <c r="C581" s="2">
        <f t="shared" si="10"/>
        <v>3.1207386583798683E-2</v>
      </c>
    </row>
    <row r="582" spans="1:3" x14ac:dyDescent="0.2">
      <c r="A582" s="1">
        <v>45223</v>
      </c>
      <c r="B582">
        <v>340.7</v>
      </c>
      <c r="C582" s="2">
        <f t="shared" si="10"/>
        <v>-1.3700841045657311E-2</v>
      </c>
    </row>
    <row r="583" spans="1:3" x14ac:dyDescent="0.2">
      <c r="A583" s="1">
        <v>45222</v>
      </c>
      <c r="B583">
        <v>345.4</v>
      </c>
      <c r="C583" s="2">
        <f t="shared" si="10"/>
        <v>-1.4942806774556077E-2</v>
      </c>
    </row>
    <row r="584" spans="1:3" x14ac:dyDescent="0.2">
      <c r="A584" s="1">
        <v>45219</v>
      </c>
      <c r="B584">
        <v>350.6</v>
      </c>
      <c r="C584" s="2">
        <f t="shared" si="10"/>
        <v>-2.8400615422359096E-2</v>
      </c>
    </row>
    <row r="585" spans="1:3" x14ac:dyDescent="0.2">
      <c r="A585" s="1">
        <v>45218</v>
      </c>
      <c r="B585">
        <v>360.7</v>
      </c>
      <c r="C585" s="2">
        <f t="shared" si="10"/>
        <v>-1.7042743451742986E-2</v>
      </c>
    </row>
    <row r="586" spans="1:3" x14ac:dyDescent="0.2">
      <c r="A586" s="1">
        <v>45217</v>
      </c>
      <c r="B586">
        <v>366.9</v>
      </c>
      <c r="C586" s="2">
        <f t="shared" si="10"/>
        <v>-1.7293054559301937E-2</v>
      </c>
    </row>
    <row r="587" spans="1:3" x14ac:dyDescent="0.2">
      <c r="A587" s="1">
        <v>45216</v>
      </c>
      <c r="B587">
        <v>373.3</v>
      </c>
      <c r="C587" s="2">
        <f t="shared" si="10"/>
        <v>-5.3561865233375729E-4</v>
      </c>
    </row>
    <row r="588" spans="1:3" x14ac:dyDescent="0.2">
      <c r="A588" s="1">
        <v>45215</v>
      </c>
      <c r="B588">
        <v>373.5</v>
      </c>
      <c r="C588" s="2">
        <f t="shared" si="10"/>
        <v>-3.7413191689943223E-3</v>
      </c>
    </row>
    <row r="589" spans="1:3" x14ac:dyDescent="0.2">
      <c r="A589" s="1">
        <v>45212</v>
      </c>
      <c r="B589">
        <v>374.9</v>
      </c>
      <c r="C589" s="2">
        <f t="shared" si="10"/>
        <v>-1.9023030710988077E-2</v>
      </c>
    </row>
    <row r="590" spans="1:3" x14ac:dyDescent="0.2">
      <c r="A590" s="1">
        <v>45211</v>
      </c>
      <c r="B590">
        <v>382.1</v>
      </c>
      <c r="C590" s="2">
        <f t="shared" si="10"/>
        <v>2.0891940612865065E-2</v>
      </c>
    </row>
    <row r="591" spans="1:3" x14ac:dyDescent="0.2">
      <c r="A591" s="1">
        <v>45210</v>
      </c>
      <c r="B591">
        <v>374.2</v>
      </c>
      <c r="C591" s="2">
        <f t="shared" si="10"/>
        <v>4.0166073547764584E-3</v>
      </c>
    </row>
    <row r="592" spans="1:3" x14ac:dyDescent="0.2">
      <c r="A592" s="1">
        <v>45209</v>
      </c>
      <c r="B592">
        <v>372.7</v>
      </c>
      <c r="C592" s="2">
        <f t="shared" si="10"/>
        <v>2.8025232316388472E-2</v>
      </c>
    </row>
    <row r="593" spans="1:3" x14ac:dyDescent="0.2">
      <c r="A593" s="1">
        <v>45208</v>
      </c>
      <c r="B593">
        <v>362.4</v>
      </c>
      <c r="C593" s="2">
        <f t="shared" si="10"/>
        <v>-2.6414061183752623E-2</v>
      </c>
    </row>
    <row r="594" spans="1:3" x14ac:dyDescent="0.2">
      <c r="A594" s="1">
        <v>45205</v>
      </c>
      <c r="B594">
        <v>372.1</v>
      </c>
      <c r="C594" s="2">
        <f t="shared" si="10"/>
        <v>2.2283530734462761E-2</v>
      </c>
    </row>
    <row r="595" spans="1:3" x14ac:dyDescent="0.2">
      <c r="A595" s="1">
        <v>45204</v>
      </c>
      <c r="B595">
        <v>363.9</v>
      </c>
      <c r="C595" s="2">
        <f t="shared" si="10"/>
        <v>7.7241763347019859E-3</v>
      </c>
    </row>
    <row r="596" spans="1:3" x14ac:dyDescent="0.2">
      <c r="A596" s="1">
        <v>45203</v>
      </c>
      <c r="B596">
        <v>361.1</v>
      </c>
      <c r="C596" s="2">
        <f t="shared" si="10"/>
        <v>-1.3478405117954166E-2</v>
      </c>
    </row>
    <row r="597" spans="1:3" x14ac:dyDescent="0.2">
      <c r="A597" s="1">
        <v>45202</v>
      </c>
      <c r="B597">
        <v>366</v>
      </c>
      <c r="C597" s="2">
        <f t="shared" si="10"/>
        <v>-7.349971838732549E-3</v>
      </c>
    </row>
    <row r="598" spans="1:3" x14ac:dyDescent="0.2">
      <c r="A598" s="1">
        <v>45201</v>
      </c>
      <c r="B598">
        <v>368.7</v>
      </c>
      <c r="C598" s="2">
        <f t="shared" si="10"/>
        <v>-1.9073781739266153E-2</v>
      </c>
    </row>
    <row r="599" spans="1:3" x14ac:dyDescent="0.2">
      <c r="A599" s="1">
        <v>45198</v>
      </c>
      <c r="B599">
        <v>375.8</v>
      </c>
      <c r="C599" s="2">
        <f t="shared" si="10"/>
        <v>2.260591419833986E-2</v>
      </c>
    </row>
    <row r="600" spans="1:3" x14ac:dyDescent="0.2">
      <c r="A600" s="1">
        <v>45197</v>
      </c>
      <c r="B600">
        <v>367.4</v>
      </c>
      <c r="C600" s="2">
        <f t="shared" si="10"/>
        <v>9.8469066970033343E-3</v>
      </c>
    </row>
    <row r="601" spans="1:3" x14ac:dyDescent="0.2">
      <c r="A601" s="1">
        <v>45196</v>
      </c>
      <c r="B601">
        <v>363.8</v>
      </c>
      <c r="C601" s="2">
        <f t="shared" si="10"/>
        <v>-4.6620131058113011E-3</v>
      </c>
    </row>
    <row r="602" spans="1:3" x14ac:dyDescent="0.2">
      <c r="A602" s="1">
        <v>45195</v>
      </c>
      <c r="B602">
        <v>365.5</v>
      </c>
    </row>
    <row r="603" spans="1:3" x14ac:dyDescent="0.2">
      <c r="A603" s="1">
        <v>45194</v>
      </c>
      <c r="B603">
        <v>365.3</v>
      </c>
      <c r="C603" s="2">
        <f t="shared" si="10"/>
        <v>-1.9143996001294457E-3</v>
      </c>
    </row>
    <row r="604" spans="1:3" x14ac:dyDescent="0.2">
      <c r="A604" s="1">
        <v>45191</v>
      </c>
      <c r="B604">
        <v>366</v>
      </c>
      <c r="C604" s="2">
        <f t="shared" si="10"/>
        <v>-4.0899852515251661E-3</v>
      </c>
    </row>
    <row r="605" spans="1:3" x14ac:dyDescent="0.2">
      <c r="A605" s="1">
        <v>45190</v>
      </c>
      <c r="B605">
        <v>367.5</v>
      </c>
      <c r="C605" s="2">
        <f t="shared" si="10"/>
        <v>-2.1535152551298103E-2</v>
      </c>
    </row>
    <row r="606" spans="1:3" x14ac:dyDescent="0.2">
      <c r="A606" s="1">
        <v>45189</v>
      </c>
      <c r="B606">
        <v>375.5</v>
      </c>
      <c r="C606" s="2">
        <f t="shared" si="10"/>
        <v>1.3405026468047764E-2</v>
      </c>
    </row>
    <row r="607" spans="1:3" x14ac:dyDescent="0.2">
      <c r="A607" s="1">
        <v>45188</v>
      </c>
      <c r="B607">
        <v>370.5</v>
      </c>
      <c r="C607" s="2">
        <f t="shared" si="10"/>
        <v>-3.7715561948827732E-3</v>
      </c>
    </row>
    <row r="608" spans="1:3" x14ac:dyDescent="0.2">
      <c r="A608" s="1">
        <v>45187</v>
      </c>
      <c r="B608">
        <v>371.9</v>
      </c>
      <c r="C608" s="2">
        <f t="shared" si="10"/>
        <v>-4.0252301765978599E-3</v>
      </c>
    </row>
    <row r="609" spans="1:3" x14ac:dyDescent="0.2">
      <c r="A609" s="1">
        <v>45184</v>
      </c>
      <c r="B609">
        <v>373.4</v>
      </c>
      <c r="C609" s="2">
        <f t="shared" si="10"/>
        <v>5.3705821890168851E-3</v>
      </c>
    </row>
    <row r="610" spans="1:3" x14ac:dyDescent="0.2">
      <c r="A610" s="1">
        <v>45183</v>
      </c>
      <c r="B610">
        <v>371.4</v>
      </c>
      <c r="C610" s="2">
        <f t="shared" si="10"/>
        <v>1.8865387619187888E-3</v>
      </c>
    </row>
    <row r="611" spans="1:3" x14ac:dyDescent="0.2">
      <c r="A611" s="1">
        <v>45182</v>
      </c>
      <c r="B611">
        <v>370.7</v>
      </c>
      <c r="C611" s="2">
        <f t="shared" si="10"/>
        <v>-2.693967146519898E-3</v>
      </c>
    </row>
    <row r="612" spans="1:3" x14ac:dyDescent="0.2">
      <c r="A612" s="1">
        <v>45181</v>
      </c>
      <c r="B612">
        <v>371.7</v>
      </c>
      <c r="C612" s="2">
        <f t="shared" si="10"/>
        <v>-1.3362037394788948E-2</v>
      </c>
    </row>
    <row r="613" spans="1:3" x14ac:dyDescent="0.2">
      <c r="A613" s="1">
        <v>45180</v>
      </c>
      <c r="B613">
        <v>376.7</v>
      </c>
      <c r="C613" s="2">
        <f t="shared" si="10"/>
        <v>-2.1534445591705073E-2</v>
      </c>
    </row>
    <row r="614" spans="1:3" x14ac:dyDescent="0.2">
      <c r="A614" s="1">
        <v>45177</v>
      </c>
      <c r="B614">
        <v>384.9</v>
      </c>
      <c r="C614" s="2">
        <f t="shared" si="10"/>
        <v>-5.4411327400814479E-3</v>
      </c>
    </row>
    <row r="615" spans="1:3" x14ac:dyDescent="0.2">
      <c r="A615" s="1">
        <v>45176</v>
      </c>
      <c r="B615">
        <v>387</v>
      </c>
      <c r="C615" s="2">
        <f t="shared" si="10"/>
        <v>-8.4909811567875568E-3</v>
      </c>
    </row>
    <row r="616" spans="1:3" x14ac:dyDescent="0.2">
      <c r="A616" s="1">
        <v>45175</v>
      </c>
      <c r="B616">
        <v>390.3</v>
      </c>
      <c r="C616" s="2">
        <f t="shared" si="10"/>
        <v>5.1255767395850475E-4</v>
      </c>
    </row>
    <row r="617" spans="1:3" x14ac:dyDescent="0.2">
      <c r="A617" s="1">
        <v>45174</v>
      </c>
      <c r="B617">
        <v>390.1</v>
      </c>
      <c r="C617" s="2">
        <f t="shared" si="10"/>
        <v>1.7960235745117048E-3</v>
      </c>
    </row>
    <row r="618" spans="1:3" x14ac:dyDescent="0.2">
      <c r="A618" s="1">
        <v>45173</v>
      </c>
      <c r="B618">
        <v>389.4</v>
      </c>
      <c r="C618" s="2">
        <f t="shared" si="10"/>
        <v>3.8595184921779032E-3</v>
      </c>
    </row>
    <row r="619" spans="1:3" x14ac:dyDescent="0.2">
      <c r="A619" s="1">
        <v>45170</v>
      </c>
      <c r="B619">
        <v>387.9</v>
      </c>
      <c r="C619" s="2">
        <f t="shared" si="10"/>
        <v>6.9848945219509687E-3</v>
      </c>
    </row>
    <row r="620" spans="1:3" x14ac:dyDescent="0.2">
      <c r="A620" s="1">
        <v>45169</v>
      </c>
      <c r="B620">
        <v>385.2</v>
      </c>
      <c r="C620" s="2">
        <f t="shared" si="10"/>
        <v>7.5570392216033492E-3</v>
      </c>
    </row>
    <row r="621" spans="1:3" x14ac:dyDescent="0.2">
      <c r="A621" s="1">
        <v>45168</v>
      </c>
      <c r="B621">
        <v>382.3</v>
      </c>
      <c r="C621" s="2">
        <f t="shared" si="10"/>
        <v>1.2370206431021548E-2</v>
      </c>
    </row>
    <row r="622" spans="1:3" x14ac:dyDescent="0.2">
      <c r="A622" s="1">
        <v>45167</v>
      </c>
      <c r="B622">
        <v>377.6</v>
      </c>
      <c r="C622" s="2">
        <f t="shared" si="10"/>
        <v>9.5796368568138151E-3</v>
      </c>
    </row>
    <row r="623" spans="1:3" x14ac:dyDescent="0.2">
      <c r="A623" s="1">
        <v>45166</v>
      </c>
      <c r="B623">
        <v>374</v>
      </c>
      <c r="C623" s="2">
        <f t="shared" si="10"/>
        <v>1.1563931471945808E-2</v>
      </c>
    </row>
    <row r="624" spans="1:3" x14ac:dyDescent="0.2">
      <c r="A624" s="1">
        <v>45163</v>
      </c>
      <c r="B624">
        <v>369.7</v>
      </c>
      <c r="C624" s="2">
        <f t="shared" si="10"/>
        <v>1.0605129985820951E-2</v>
      </c>
    </row>
    <row r="625" spans="1:3" x14ac:dyDescent="0.2">
      <c r="A625" s="1">
        <v>45162</v>
      </c>
      <c r="B625">
        <v>365.8</v>
      </c>
      <c r="C625" s="2">
        <f t="shared" si="10"/>
        <v>-1.9117853699407788E-3</v>
      </c>
    </row>
    <row r="626" spans="1:3" x14ac:dyDescent="0.2">
      <c r="A626" s="1">
        <v>45161</v>
      </c>
      <c r="B626">
        <v>366.5</v>
      </c>
      <c r="C626" s="2">
        <f t="shared" si="10"/>
        <v>5.458515419374632E-4</v>
      </c>
    </row>
    <row r="627" spans="1:3" x14ac:dyDescent="0.2">
      <c r="A627" s="1">
        <v>45160</v>
      </c>
      <c r="B627">
        <v>366.3</v>
      </c>
      <c r="C627" s="2">
        <f t="shared" si="10"/>
        <v>5.7495024912611204E-3</v>
      </c>
    </row>
    <row r="628" spans="1:3" x14ac:dyDescent="0.2">
      <c r="A628" s="1">
        <v>45159</v>
      </c>
      <c r="B628">
        <v>364.2</v>
      </c>
      <c r="C628" s="2">
        <f t="shared" si="10"/>
        <v>-9.5642210137187929E-3</v>
      </c>
    </row>
    <row r="629" spans="1:3" x14ac:dyDescent="0.2">
      <c r="A629" s="1">
        <v>45156</v>
      </c>
      <c r="B629">
        <v>367.7</v>
      </c>
      <c r="C629" s="2">
        <f t="shared" si="10"/>
        <v>-7.855925544033129E-3</v>
      </c>
    </row>
    <row r="630" spans="1:3" x14ac:dyDescent="0.2">
      <c r="A630" s="1">
        <v>45155</v>
      </c>
      <c r="B630">
        <v>370.6</v>
      </c>
      <c r="C630" s="2">
        <f t="shared" si="10"/>
        <v>-3.0297294755315687E-2</v>
      </c>
    </row>
    <row r="631" spans="1:3" x14ac:dyDescent="0.2">
      <c r="A631" s="1">
        <v>45154</v>
      </c>
      <c r="B631">
        <v>382</v>
      </c>
      <c r="C631" s="2">
        <f t="shared" si="10"/>
        <v>4.460193672361076E-3</v>
      </c>
    </row>
    <row r="632" spans="1:3" x14ac:dyDescent="0.2">
      <c r="A632" s="1">
        <v>45153</v>
      </c>
      <c r="B632">
        <v>380.3</v>
      </c>
      <c r="C632" s="2">
        <f t="shared" si="10"/>
        <v>-7.074574246432019E-3</v>
      </c>
    </row>
    <row r="633" spans="1:3" x14ac:dyDescent="0.2">
      <c r="A633" s="1">
        <v>45152</v>
      </c>
      <c r="B633">
        <v>383</v>
      </c>
      <c r="C633" s="2">
        <f t="shared" si="10"/>
        <v>-2.0865943929535891E-3</v>
      </c>
    </row>
    <row r="634" spans="1:3" x14ac:dyDescent="0.2">
      <c r="A634" s="1">
        <v>45149</v>
      </c>
      <c r="B634">
        <v>383.8</v>
      </c>
      <c r="C634" s="2">
        <f t="shared" si="10"/>
        <v>-1.0883756049673865E-2</v>
      </c>
    </row>
    <row r="635" spans="1:3" x14ac:dyDescent="0.2">
      <c r="A635" s="1">
        <v>45148</v>
      </c>
      <c r="B635">
        <v>388</v>
      </c>
      <c r="C635" s="2">
        <f t="shared" si="10"/>
        <v>3.8734715957968401E-3</v>
      </c>
    </row>
    <row r="636" spans="1:3" x14ac:dyDescent="0.2">
      <c r="A636" s="1">
        <v>45147</v>
      </c>
      <c r="B636">
        <v>386.5</v>
      </c>
      <c r="C636" s="2">
        <f t="shared" si="10"/>
        <v>1.4070060147662121E-2</v>
      </c>
    </row>
    <row r="637" spans="1:3" x14ac:dyDescent="0.2">
      <c r="A637" s="1">
        <v>45146</v>
      </c>
      <c r="B637">
        <v>381.1</v>
      </c>
      <c r="C637" s="2">
        <f t="shared" si="10"/>
        <v>-4.7120506034342207E-3</v>
      </c>
    </row>
    <row r="638" spans="1:3" x14ac:dyDescent="0.2">
      <c r="A638" s="1">
        <v>45145</v>
      </c>
      <c r="B638">
        <v>382.9</v>
      </c>
      <c r="C638" s="2">
        <f t="shared" si="10"/>
        <v>4.187391619730728E-3</v>
      </c>
    </row>
    <row r="639" spans="1:3" x14ac:dyDescent="0.2">
      <c r="A639" s="1">
        <v>45142</v>
      </c>
      <c r="B639">
        <v>381.3</v>
      </c>
      <c r="C639" s="2">
        <f t="shared" si="10"/>
        <v>3.152090868314895E-3</v>
      </c>
    </row>
    <row r="640" spans="1:3" x14ac:dyDescent="0.2">
      <c r="A640" s="1">
        <v>45141</v>
      </c>
      <c r="B640">
        <v>380.1</v>
      </c>
      <c r="C640" s="2">
        <f t="shared" si="10"/>
        <v>-2.1343860742418504E-2</v>
      </c>
    </row>
    <row r="641" spans="1:3" x14ac:dyDescent="0.2">
      <c r="A641" s="1">
        <v>45140</v>
      </c>
      <c r="B641">
        <v>388.3</v>
      </c>
      <c r="C641" s="2">
        <f t="shared" si="10"/>
        <v>-5.9057817049570117E-3</v>
      </c>
    </row>
    <row r="642" spans="1:3" x14ac:dyDescent="0.2">
      <c r="A642" s="1">
        <v>45139</v>
      </c>
      <c r="B642">
        <v>390.6</v>
      </c>
      <c r="C642" s="2">
        <f t="shared" si="10"/>
        <v>-8.4130515342814884E-3</v>
      </c>
    </row>
    <row r="643" spans="1:3" x14ac:dyDescent="0.2">
      <c r="A643" s="1">
        <v>45138</v>
      </c>
      <c r="B643">
        <v>393.9</v>
      </c>
      <c r="C643" s="2">
        <f t="shared" ref="C643:C706" si="11">+LN(B643/B644)</f>
        <v>1.2260689986352165E-2</v>
      </c>
    </row>
    <row r="644" spans="1:3" x14ac:dyDescent="0.2">
      <c r="A644" s="1">
        <v>45135</v>
      </c>
      <c r="B644">
        <v>389.1</v>
      </c>
      <c r="C644" s="2">
        <f t="shared" si="11"/>
        <v>-1.2841917778721576E-3</v>
      </c>
    </row>
    <row r="645" spans="1:3" x14ac:dyDescent="0.2">
      <c r="A645" s="1">
        <v>45134</v>
      </c>
      <c r="B645">
        <v>389.6</v>
      </c>
      <c r="C645" s="2">
        <f t="shared" si="11"/>
        <v>6.954310061912908E-3</v>
      </c>
    </row>
    <row r="646" spans="1:3" x14ac:dyDescent="0.2">
      <c r="A646" s="1">
        <v>45133</v>
      </c>
      <c r="B646">
        <v>386.9</v>
      </c>
      <c r="C646" s="2">
        <f t="shared" si="11"/>
        <v>3.1063964922851553E-3</v>
      </c>
    </row>
    <row r="647" spans="1:3" x14ac:dyDescent="0.2">
      <c r="A647" s="1">
        <v>45132</v>
      </c>
      <c r="B647">
        <v>385.7</v>
      </c>
      <c r="C647" s="2">
        <f t="shared" si="11"/>
        <v>3.6363676433837124E-3</v>
      </c>
    </row>
    <row r="648" spans="1:3" x14ac:dyDescent="0.2">
      <c r="A648" s="1">
        <v>45131</v>
      </c>
      <c r="B648">
        <v>384.3</v>
      </c>
      <c r="C648" s="2">
        <f t="shared" si="11"/>
        <v>1.3019139971987292E-3</v>
      </c>
    </row>
    <row r="649" spans="1:3" x14ac:dyDescent="0.2">
      <c r="A649" s="1">
        <v>45128</v>
      </c>
      <c r="B649">
        <v>383.8</v>
      </c>
      <c r="C649" s="2">
        <f t="shared" si="11"/>
        <v>-9.8522964430117071E-3</v>
      </c>
    </row>
    <row r="650" spans="1:3" x14ac:dyDescent="0.2">
      <c r="A650" s="1">
        <v>45127</v>
      </c>
      <c r="B650">
        <v>387.6</v>
      </c>
      <c r="C650" s="2">
        <f t="shared" si="11"/>
        <v>4.9448275413981328E-2</v>
      </c>
    </row>
    <row r="651" spans="1:3" x14ac:dyDescent="0.2">
      <c r="A651" s="1">
        <v>45126</v>
      </c>
      <c r="B651">
        <v>368.9</v>
      </c>
      <c r="C651" s="2">
        <f t="shared" si="11"/>
        <v>-2.5161927036353754E-2</v>
      </c>
    </row>
    <row r="652" spans="1:3" x14ac:dyDescent="0.2">
      <c r="A652" s="1">
        <v>45125</v>
      </c>
      <c r="B652">
        <v>378.3</v>
      </c>
      <c r="C652" s="2">
        <f t="shared" si="11"/>
        <v>1.4377244454208469E-2</v>
      </c>
    </row>
    <row r="653" spans="1:3" x14ac:dyDescent="0.2">
      <c r="A653" s="1">
        <v>45124</v>
      </c>
      <c r="B653">
        <v>372.9</v>
      </c>
      <c r="C653" s="2">
        <f t="shared" si="11"/>
        <v>3.7614230269612391E-3</v>
      </c>
    </row>
    <row r="654" spans="1:3" x14ac:dyDescent="0.2">
      <c r="A654" s="1">
        <v>45121</v>
      </c>
      <c r="B654">
        <v>371.5</v>
      </c>
      <c r="C654" s="2">
        <f t="shared" si="11"/>
        <v>-6.172030863648652E-3</v>
      </c>
    </row>
    <row r="655" spans="1:3" x14ac:dyDescent="0.2">
      <c r="A655" s="1">
        <v>45120</v>
      </c>
      <c r="B655">
        <v>373.8</v>
      </c>
      <c r="C655" s="2">
        <f t="shared" si="11"/>
        <v>-6.9315126897619775E-3</v>
      </c>
    </row>
    <row r="656" spans="1:3" x14ac:dyDescent="0.2">
      <c r="A656" s="1">
        <v>45119</v>
      </c>
      <c r="B656">
        <v>376.4</v>
      </c>
      <c r="C656" s="2">
        <f t="shared" si="11"/>
        <v>1.1758553438077916E-2</v>
      </c>
    </row>
    <row r="657" spans="1:3" x14ac:dyDescent="0.2">
      <c r="A657" s="1">
        <v>45118</v>
      </c>
      <c r="B657">
        <v>372</v>
      </c>
      <c r="C657" s="2">
        <f t="shared" si="11"/>
        <v>-1.0746911297654092E-3</v>
      </c>
    </row>
    <row r="658" spans="1:3" x14ac:dyDescent="0.2">
      <c r="A658" s="1">
        <v>45117</v>
      </c>
      <c r="B658">
        <v>372.4</v>
      </c>
      <c r="C658" s="2">
        <f t="shared" si="11"/>
        <v>-1.6098742409035819E-3</v>
      </c>
    </row>
    <row r="659" spans="1:3" x14ac:dyDescent="0.2">
      <c r="A659" s="1">
        <v>45114</v>
      </c>
      <c r="B659">
        <v>373</v>
      </c>
      <c r="C659" s="2">
        <f t="shared" si="11"/>
        <v>1.8671899517625011E-2</v>
      </c>
    </row>
    <row r="660" spans="1:3" x14ac:dyDescent="0.2">
      <c r="A660" s="1">
        <v>45113</v>
      </c>
      <c r="B660">
        <v>366.1</v>
      </c>
      <c r="C660" s="2">
        <f t="shared" si="11"/>
        <v>-1.2756313565509573E-2</v>
      </c>
    </row>
    <row r="661" spans="1:3" x14ac:dyDescent="0.2">
      <c r="A661" s="1">
        <v>45112</v>
      </c>
      <c r="B661">
        <v>370.8</v>
      </c>
      <c r="C661" s="2">
        <f t="shared" si="11"/>
        <v>-2.1081501216049001E-2</v>
      </c>
    </row>
    <row r="662" spans="1:3" x14ac:dyDescent="0.2">
      <c r="A662" s="1">
        <v>45111</v>
      </c>
      <c r="B662">
        <v>378.7</v>
      </c>
      <c r="C662" s="2">
        <f t="shared" si="11"/>
        <v>-2.0128767430613766E-2</v>
      </c>
    </row>
    <row r="663" spans="1:3" x14ac:dyDescent="0.2">
      <c r="A663" s="1">
        <v>45110</v>
      </c>
      <c r="B663">
        <v>386.4</v>
      </c>
      <c r="C663" s="2">
        <f t="shared" si="11"/>
        <v>-1.6936509530898401E-2</v>
      </c>
    </row>
    <row r="664" spans="1:3" x14ac:dyDescent="0.2">
      <c r="A664" s="1">
        <v>45107</v>
      </c>
      <c r="B664">
        <v>393</v>
      </c>
      <c r="C664" s="2">
        <f t="shared" si="11"/>
        <v>3.0485440089214326E-2</v>
      </c>
    </row>
    <row r="665" spans="1:3" x14ac:dyDescent="0.2">
      <c r="A665" s="1">
        <v>45106</v>
      </c>
      <c r="B665">
        <v>381.2</v>
      </c>
      <c r="C665" s="2">
        <f t="shared" si="11"/>
        <v>1.5752169179977435E-3</v>
      </c>
    </row>
    <row r="666" spans="1:3" x14ac:dyDescent="0.2">
      <c r="A666" s="1">
        <v>45105</v>
      </c>
      <c r="B666">
        <v>380.6</v>
      </c>
      <c r="C666" s="2">
        <f t="shared" si="11"/>
        <v>6.3257986376921097E-3</v>
      </c>
    </row>
    <row r="667" spans="1:3" x14ac:dyDescent="0.2">
      <c r="A667" s="1">
        <v>45104</v>
      </c>
      <c r="B667">
        <v>378.2</v>
      </c>
      <c r="C667" s="2">
        <f t="shared" si="11"/>
        <v>1.3229265059460354E-3</v>
      </c>
    </row>
    <row r="668" spans="1:3" x14ac:dyDescent="0.2">
      <c r="A668" s="1">
        <v>45103</v>
      </c>
      <c r="B668">
        <v>377.7</v>
      </c>
      <c r="C668" s="2">
        <f t="shared" si="11"/>
        <v>-4.4908277825025803E-3</v>
      </c>
    </row>
    <row r="669" spans="1:3" x14ac:dyDescent="0.2">
      <c r="A669" s="1">
        <v>45099</v>
      </c>
      <c r="B669">
        <v>379.4</v>
      </c>
      <c r="C669" s="2">
        <f t="shared" si="11"/>
        <v>-9.9659885957916802E-3</v>
      </c>
    </row>
    <row r="670" spans="1:3" x14ac:dyDescent="0.2">
      <c r="A670" s="1">
        <v>45098</v>
      </c>
      <c r="B670">
        <v>383.2</v>
      </c>
      <c r="C670" s="2">
        <f t="shared" si="11"/>
        <v>-1.1158802696696194E-2</v>
      </c>
    </row>
    <row r="671" spans="1:3" x14ac:dyDescent="0.2">
      <c r="A671" s="1">
        <v>45097</v>
      </c>
      <c r="B671">
        <v>387.5</v>
      </c>
      <c r="C671" s="2">
        <f t="shared" si="11"/>
        <v>1.0115505784118382E-2</v>
      </c>
    </row>
    <row r="672" spans="1:3" x14ac:dyDescent="0.2">
      <c r="A672" s="1">
        <v>45096</v>
      </c>
      <c r="B672">
        <v>383.6</v>
      </c>
      <c r="C672" s="2">
        <f t="shared" si="11"/>
        <v>-1.5006749928815986E-2</v>
      </c>
    </row>
    <row r="673" spans="1:3" x14ac:dyDescent="0.2">
      <c r="A673" s="1">
        <v>45093</v>
      </c>
      <c r="B673">
        <v>389.4</v>
      </c>
      <c r="C673" s="2">
        <f t="shared" si="11"/>
        <v>-2.5677237270372503E-4</v>
      </c>
    </row>
    <row r="674" spans="1:3" x14ac:dyDescent="0.2">
      <c r="A674" s="1">
        <v>45092</v>
      </c>
      <c r="B674">
        <v>389.5</v>
      </c>
      <c r="C674" s="2">
        <f t="shared" si="11"/>
        <v>-4.3550728498593086E-3</v>
      </c>
    </row>
    <row r="675" spans="1:3" x14ac:dyDescent="0.2">
      <c r="A675" s="1">
        <v>45091</v>
      </c>
      <c r="B675">
        <v>391.2</v>
      </c>
      <c r="C675" s="2">
        <f t="shared" si="11"/>
        <v>5.1137817529657396E-4</v>
      </c>
    </row>
    <row r="676" spans="1:3" x14ac:dyDescent="0.2">
      <c r="A676" s="1">
        <v>45090</v>
      </c>
      <c r="B676">
        <v>391</v>
      </c>
      <c r="C676" s="2">
        <f t="shared" si="11"/>
        <v>-1.7241806434506103E-2</v>
      </c>
    </row>
    <row r="677" spans="1:3" x14ac:dyDescent="0.2">
      <c r="A677" s="1">
        <v>45089</v>
      </c>
      <c r="B677">
        <v>397.8</v>
      </c>
      <c r="C677" s="2">
        <f t="shared" si="11"/>
        <v>6.3043961172320273E-3</v>
      </c>
    </row>
    <row r="678" spans="1:3" x14ac:dyDescent="0.2">
      <c r="A678" s="1">
        <v>45086</v>
      </c>
      <c r="B678">
        <v>395.3</v>
      </c>
      <c r="C678" s="2">
        <f t="shared" si="11"/>
        <v>-1.3817579468015219E-2</v>
      </c>
    </row>
    <row r="679" spans="1:3" x14ac:dyDescent="0.2">
      <c r="A679" s="1">
        <v>45085</v>
      </c>
      <c r="B679">
        <v>400.8</v>
      </c>
      <c r="C679" s="2">
        <f t="shared" si="11"/>
        <v>9.9850232958960004E-4</v>
      </c>
    </row>
    <row r="680" spans="1:3" x14ac:dyDescent="0.2">
      <c r="A680" s="1">
        <v>45084</v>
      </c>
      <c r="B680">
        <v>400.4</v>
      </c>
      <c r="C680" s="2">
        <f t="shared" si="11"/>
        <v>7.2691133466789718E-3</v>
      </c>
    </row>
    <row r="681" spans="1:3" x14ac:dyDescent="0.2">
      <c r="A681" s="1">
        <v>45082</v>
      </c>
      <c r="B681">
        <v>397.5</v>
      </c>
      <c r="C681" s="2">
        <f t="shared" si="11"/>
        <v>1.2586534071961062E-3</v>
      </c>
    </row>
    <row r="682" spans="1:3" x14ac:dyDescent="0.2">
      <c r="A682" s="1">
        <v>45079</v>
      </c>
      <c r="B682">
        <v>397</v>
      </c>
      <c r="C682" s="2">
        <f t="shared" si="11"/>
        <v>1.5740360518562618E-2</v>
      </c>
    </row>
    <row r="683" spans="1:3" x14ac:dyDescent="0.2">
      <c r="A683" s="1">
        <v>45078</v>
      </c>
      <c r="B683">
        <v>390.8</v>
      </c>
      <c r="C683" s="2">
        <f t="shared" si="11"/>
        <v>2.5621330951673365E-3</v>
      </c>
    </row>
    <row r="684" spans="1:3" x14ac:dyDescent="0.2">
      <c r="A684" s="1">
        <v>45077</v>
      </c>
      <c r="B684">
        <v>389.8</v>
      </c>
      <c r="C684" s="2">
        <f t="shared" si="11"/>
        <v>-7.6667894068504251E-3</v>
      </c>
    </row>
    <row r="685" spans="1:3" x14ac:dyDescent="0.2">
      <c r="A685" s="1">
        <v>45076</v>
      </c>
      <c r="B685">
        <v>392.8</v>
      </c>
      <c r="C685" s="2">
        <f t="shared" si="11"/>
        <v>1.5286627180650205E-3</v>
      </c>
    </row>
    <row r="686" spans="1:3" x14ac:dyDescent="0.2">
      <c r="A686" s="1">
        <v>45075</v>
      </c>
      <c r="B686">
        <v>392.2</v>
      </c>
      <c r="C686" s="2">
        <f t="shared" si="11"/>
        <v>-5.5937089662344164E-3</v>
      </c>
    </row>
    <row r="687" spans="1:3" x14ac:dyDescent="0.2">
      <c r="A687" s="1">
        <v>45072</v>
      </c>
      <c r="B687">
        <v>394.4</v>
      </c>
      <c r="C687" s="2">
        <f t="shared" si="11"/>
        <v>1.610258435361963E-2</v>
      </c>
    </row>
    <row r="688" spans="1:3" x14ac:dyDescent="0.2">
      <c r="A688" s="1">
        <v>45071</v>
      </c>
      <c r="B688">
        <v>388.1</v>
      </c>
      <c r="C688" s="2">
        <f t="shared" si="11"/>
        <v>1.0099788040404395E-2</v>
      </c>
    </row>
    <row r="689" spans="1:3" x14ac:dyDescent="0.2">
      <c r="A689" s="1">
        <v>45070</v>
      </c>
      <c r="B689">
        <v>384.2</v>
      </c>
      <c r="C689" s="2">
        <f t="shared" si="11"/>
        <v>-1.7800031427012281E-2</v>
      </c>
    </row>
    <row r="690" spans="1:3" x14ac:dyDescent="0.2">
      <c r="A690" s="1">
        <v>45069</v>
      </c>
      <c r="B690">
        <v>391.1</v>
      </c>
      <c r="C690" s="2">
        <f t="shared" si="11"/>
        <v>-9.9224831396533975E-3</v>
      </c>
    </row>
    <row r="691" spans="1:3" x14ac:dyDescent="0.2">
      <c r="A691" s="1">
        <v>45068</v>
      </c>
      <c r="B691">
        <v>395</v>
      </c>
      <c r="C691" s="2">
        <f t="shared" si="11"/>
        <v>-8.0686267289740675E-3</v>
      </c>
    </row>
    <row r="692" spans="1:3" x14ac:dyDescent="0.2">
      <c r="A692" s="1">
        <v>45065</v>
      </c>
      <c r="B692">
        <v>398.2</v>
      </c>
      <c r="C692" s="2">
        <f t="shared" si="11"/>
        <v>2.1577179285432419E-2</v>
      </c>
    </row>
    <row r="693" spans="1:3" x14ac:dyDescent="0.2">
      <c r="A693" s="1">
        <v>45063</v>
      </c>
      <c r="B693">
        <v>389.7</v>
      </c>
      <c r="C693" s="2">
        <f t="shared" si="11"/>
        <v>1.6298381733119548E-2</v>
      </c>
    </row>
    <row r="694" spans="1:3" x14ac:dyDescent="0.2">
      <c r="A694" s="1">
        <v>45062</v>
      </c>
      <c r="B694">
        <v>383.4</v>
      </c>
      <c r="C694" s="2">
        <f t="shared" si="11"/>
        <v>-7.7942717268187972E-3</v>
      </c>
    </row>
    <row r="695" spans="1:3" x14ac:dyDescent="0.2">
      <c r="A695" s="1">
        <v>45061</v>
      </c>
      <c r="B695">
        <v>386.4</v>
      </c>
      <c r="C695" s="2">
        <f t="shared" si="11"/>
        <v>6.7515187647632854E-3</v>
      </c>
    </row>
    <row r="696" spans="1:3" x14ac:dyDescent="0.2">
      <c r="A696" s="1">
        <v>45058</v>
      </c>
      <c r="B696">
        <v>383.8</v>
      </c>
      <c r="C696" s="2">
        <f t="shared" si="11"/>
        <v>5.4866238224155995E-3</v>
      </c>
    </row>
    <row r="697" spans="1:3" x14ac:dyDescent="0.2">
      <c r="A697" s="1">
        <v>45057</v>
      </c>
      <c r="B697">
        <v>381.7</v>
      </c>
      <c r="C697" s="2">
        <f t="shared" si="11"/>
        <v>6.834937228894878E-3</v>
      </c>
    </row>
    <row r="698" spans="1:3" x14ac:dyDescent="0.2">
      <c r="A698" s="1">
        <v>45056</v>
      </c>
      <c r="B698">
        <v>379.1</v>
      </c>
      <c r="C698" s="2">
        <f t="shared" si="11"/>
        <v>-1.5814447154673451E-3</v>
      </c>
    </row>
    <row r="699" spans="1:3" x14ac:dyDescent="0.2">
      <c r="A699" s="1">
        <v>45055</v>
      </c>
      <c r="B699">
        <v>379.7</v>
      </c>
      <c r="C699" s="2">
        <f t="shared" si="11"/>
        <v>-5.5154440538906285E-3</v>
      </c>
    </row>
    <row r="700" spans="1:3" x14ac:dyDescent="0.2">
      <c r="A700" s="1">
        <v>45054</v>
      </c>
      <c r="B700">
        <v>381.8</v>
      </c>
      <c r="C700" s="2">
        <f t="shared" si="11"/>
        <v>-5.7456412960796253E-3</v>
      </c>
    </row>
    <row r="701" spans="1:3" x14ac:dyDescent="0.2">
      <c r="A701" s="1">
        <v>45051</v>
      </c>
      <c r="B701">
        <v>384</v>
      </c>
      <c r="C701" s="2">
        <f t="shared" si="11"/>
        <v>1.020817659252363E-2</v>
      </c>
    </row>
    <row r="702" spans="1:3" x14ac:dyDescent="0.2">
      <c r="A702" s="1">
        <v>45050</v>
      </c>
      <c r="B702">
        <v>380.1</v>
      </c>
      <c r="C702" s="2">
        <f t="shared" si="11"/>
        <v>8.4544757221134397E-3</v>
      </c>
    </row>
    <row r="703" spans="1:3" x14ac:dyDescent="0.2">
      <c r="A703" s="1">
        <v>45049</v>
      </c>
      <c r="B703">
        <v>376.9</v>
      </c>
      <c r="C703" s="2">
        <f t="shared" si="11"/>
        <v>3.1889476931665482E-3</v>
      </c>
    </row>
    <row r="704" spans="1:3" x14ac:dyDescent="0.2">
      <c r="A704" s="1">
        <v>45048</v>
      </c>
      <c r="B704">
        <v>375.7</v>
      </c>
      <c r="C704" s="2">
        <f t="shared" si="11"/>
        <v>5.3248137573377017E-4</v>
      </c>
    </row>
    <row r="705" spans="1:3" x14ac:dyDescent="0.2">
      <c r="A705" s="1">
        <v>45044</v>
      </c>
      <c r="B705">
        <v>375.5</v>
      </c>
      <c r="C705" s="2">
        <f t="shared" si="11"/>
        <v>1.6378403439049827E-2</v>
      </c>
    </row>
    <row r="706" spans="1:3" x14ac:dyDescent="0.2">
      <c r="A706" s="1">
        <v>45043</v>
      </c>
      <c r="B706">
        <v>369.4</v>
      </c>
      <c r="C706" s="2">
        <f t="shared" si="11"/>
        <v>-1.9303548457912562E-2</v>
      </c>
    </row>
    <row r="707" spans="1:3" x14ac:dyDescent="0.2">
      <c r="A707" s="1">
        <v>45042</v>
      </c>
      <c r="B707">
        <v>376.6</v>
      </c>
      <c r="C707" s="2">
        <f t="shared" ref="C707:C770" si="12">+LN(B707/B708)</f>
        <v>-1.5022024479315024E-2</v>
      </c>
    </row>
    <row r="708" spans="1:3" x14ac:dyDescent="0.2">
      <c r="A708" s="1">
        <v>45041</v>
      </c>
      <c r="B708">
        <v>382.3</v>
      </c>
      <c r="C708" s="2">
        <f t="shared" si="12"/>
        <v>3.2702635064096972E-2</v>
      </c>
    </row>
    <row r="709" spans="1:3" x14ac:dyDescent="0.2">
      <c r="A709" s="1">
        <v>45040</v>
      </c>
      <c r="B709">
        <v>370</v>
      </c>
      <c r="C709" s="2">
        <f t="shared" si="12"/>
        <v>4.3337012571183506E-3</v>
      </c>
    </row>
    <row r="710" spans="1:3" x14ac:dyDescent="0.2">
      <c r="A710" s="1">
        <v>45037</v>
      </c>
      <c r="B710">
        <v>368.4</v>
      </c>
      <c r="C710" s="2">
        <f t="shared" si="12"/>
        <v>-5.4141983908725143E-3</v>
      </c>
    </row>
    <row r="711" spans="1:3" x14ac:dyDescent="0.2">
      <c r="A711" s="1">
        <v>45036</v>
      </c>
      <c r="B711">
        <v>370.4</v>
      </c>
      <c r="C711" s="2">
        <f t="shared" si="12"/>
        <v>3.7868587314970857E-3</v>
      </c>
    </row>
    <row r="712" spans="1:3" x14ac:dyDescent="0.2">
      <c r="A712" s="1">
        <v>45035</v>
      </c>
      <c r="B712">
        <v>369</v>
      </c>
      <c r="C712" s="2">
        <f t="shared" si="12"/>
        <v>-2.4362066856360019E-2</v>
      </c>
    </row>
    <row r="713" spans="1:3" x14ac:dyDescent="0.2">
      <c r="A713" s="1">
        <v>45034</v>
      </c>
      <c r="B713">
        <v>378.1</v>
      </c>
      <c r="C713" s="2">
        <f t="shared" si="12"/>
        <v>9.0330050972456701E-3</v>
      </c>
    </row>
    <row r="714" spans="1:3" x14ac:dyDescent="0.2">
      <c r="A714" s="1">
        <v>45033</v>
      </c>
      <c r="B714">
        <v>374.7</v>
      </c>
      <c r="C714" s="2">
        <f t="shared" si="12"/>
        <v>3.4754746920195221E-3</v>
      </c>
    </row>
    <row r="715" spans="1:3" x14ac:dyDescent="0.2">
      <c r="A715" s="1">
        <v>45030</v>
      </c>
      <c r="B715">
        <v>373.4</v>
      </c>
      <c r="C715" s="2">
        <f t="shared" si="12"/>
        <v>1.8764246224094406E-3</v>
      </c>
    </row>
    <row r="716" spans="1:3" x14ac:dyDescent="0.2">
      <c r="A716" s="1">
        <v>45029</v>
      </c>
      <c r="B716">
        <v>372.7</v>
      </c>
      <c r="C716" s="2">
        <f t="shared" si="12"/>
        <v>7.5411076468044642E-3</v>
      </c>
    </row>
    <row r="717" spans="1:3" x14ac:dyDescent="0.2">
      <c r="A717" s="1">
        <v>45028</v>
      </c>
      <c r="B717">
        <v>369.9</v>
      </c>
      <c r="C717" s="2">
        <f t="shared" si="12"/>
        <v>3.7919872090169497E-3</v>
      </c>
    </row>
    <row r="718" spans="1:3" x14ac:dyDescent="0.2">
      <c r="A718" s="1">
        <v>45027</v>
      </c>
      <c r="B718">
        <v>368.5</v>
      </c>
      <c r="C718" s="2">
        <f t="shared" si="12"/>
        <v>2.4170360927812971E-2</v>
      </c>
    </row>
    <row r="719" spans="1:3" x14ac:dyDescent="0.2">
      <c r="A719" s="1">
        <v>45022</v>
      </c>
      <c r="B719">
        <v>359.7</v>
      </c>
      <c r="C719" s="2">
        <f t="shared" si="12"/>
        <v>-6.0975798681184449E-3</v>
      </c>
    </row>
    <row r="720" spans="1:3" x14ac:dyDescent="0.2">
      <c r="A720" s="1">
        <v>45021</v>
      </c>
      <c r="B720">
        <v>361.9</v>
      </c>
      <c r="C720" s="2">
        <f t="shared" si="12"/>
        <v>-1.2084739215071999E-2</v>
      </c>
    </row>
    <row r="721" spans="1:3" x14ac:dyDescent="0.2">
      <c r="A721" s="1">
        <v>45020</v>
      </c>
      <c r="B721">
        <v>366.3</v>
      </c>
      <c r="C721" s="2">
        <f t="shared" si="12"/>
        <v>-4.0866423854520164E-3</v>
      </c>
    </row>
    <row r="722" spans="1:3" x14ac:dyDescent="0.2">
      <c r="A722" s="1">
        <v>45019</v>
      </c>
      <c r="B722">
        <v>367.8</v>
      </c>
      <c r="C722" s="2">
        <f t="shared" si="12"/>
        <v>-5.1525537723654232E-3</v>
      </c>
    </row>
    <row r="723" spans="1:3" x14ac:dyDescent="0.2">
      <c r="A723" s="1">
        <v>45016</v>
      </c>
      <c r="B723">
        <v>369.7</v>
      </c>
      <c r="C723" s="2">
        <f t="shared" si="12"/>
        <v>2.9369477454307263E-2</v>
      </c>
    </row>
    <row r="724" spans="1:3" x14ac:dyDescent="0.2">
      <c r="A724" s="1">
        <v>45015</v>
      </c>
      <c r="B724">
        <v>359</v>
      </c>
      <c r="C724" s="2">
        <f t="shared" si="12"/>
        <v>6.7076830592386685E-3</v>
      </c>
    </row>
    <row r="725" spans="1:3" x14ac:dyDescent="0.2">
      <c r="A725" s="1">
        <v>45014</v>
      </c>
      <c r="B725">
        <v>356.6</v>
      </c>
      <c r="C725" s="2">
        <f t="shared" si="12"/>
        <v>1.4404994178320465E-2</v>
      </c>
    </row>
    <row r="726" spans="1:3" x14ac:dyDescent="0.2">
      <c r="A726" s="1">
        <v>45013</v>
      </c>
      <c r="B726">
        <v>351.5</v>
      </c>
      <c r="C726" s="2">
        <f t="shared" si="12"/>
        <v>1.2596788382978875E-2</v>
      </c>
    </row>
    <row r="727" spans="1:3" x14ac:dyDescent="0.2">
      <c r="A727" s="1">
        <v>45012</v>
      </c>
      <c r="B727">
        <v>347.1</v>
      </c>
      <c r="C727" s="2">
        <f t="shared" si="12"/>
        <v>1.9785341360880511E-2</v>
      </c>
    </row>
    <row r="728" spans="1:3" x14ac:dyDescent="0.2">
      <c r="A728" s="1">
        <v>45009</v>
      </c>
      <c r="B728">
        <v>340.3</v>
      </c>
      <c r="C728" s="2">
        <f t="shared" si="12"/>
        <v>-3.5223040745463306E-2</v>
      </c>
    </row>
    <row r="729" spans="1:3" x14ac:dyDescent="0.2">
      <c r="A729" s="1">
        <v>45008</v>
      </c>
      <c r="B729">
        <v>352.5</v>
      </c>
      <c r="C729" s="2">
        <f t="shared" si="12"/>
        <v>7.1174677688639549E-3</v>
      </c>
    </row>
    <row r="730" spans="1:3" x14ac:dyDescent="0.2">
      <c r="A730" s="1">
        <v>45007</v>
      </c>
      <c r="B730">
        <v>350</v>
      </c>
      <c r="C730" s="2">
        <f t="shared" si="12"/>
        <v>4.5819095051117652E-3</v>
      </c>
    </row>
    <row r="731" spans="1:3" x14ac:dyDescent="0.2">
      <c r="A731" s="1">
        <v>45006</v>
      </c>
      <c r="B731">
        <v>348.4</v>
      </c>
      <c r="C731" s="2">
        <f t="shared" si="12"/>
        <v>6.3346022362387256E-3</v>
      </c>
    </row>
    <row r="732" spans="1:3" x14ac:dyDescent="0.2">
      <c r="A732" s="1">
        <v>45005</v>
      </c>
      <c r="B732">
        <v>346.2</v>
      </c>
      <c r="C732" s="2">
        <f t="shared" si="12"/>
        <v>3.3483304126788453E-2</v>
      </c>
    </row>
    <row r="733" spans="1:3" x14ac:dyDescent="0.2">
      <c r="A733" s="1">
        <v>45002</v>
      </c>
      <c r="B733">
        <v>334.8</v>
      </c>
      <c r="C733" s="2">
        <f t="shared" si="12"/>
        <v>-3.6367644170874833E-2</v>
      </c>
    </row>
    <row r="734" spans="1:3" x14ac:dyDescent="0.2">
      <c r="A734" s="1">
        <v>45001</v>
      </c>
      <c r="B734">
        <v>347.2</v>
      </c>
      <c r="C734" s="2">
        <f t="shared" si="12"/>
        <v>2.1838107619656891E-2</v>
      </c>
    </row>
    <row r="735" spans="1:3" x14ac:dyDescent="0.2">
      <c r="A735" s="1">
        <v>45000</v>
      </c>
      <c r="B735">
        <v>339.7</v>
      </c>
      <c r="C735" s="2">
        <f t="shared" si="12"/>
        <v>-4.7429495689023098E-2</v>
      </c>
    </row>
    <row r="736" spans="1:3" x14ac:dyDescent="0.2">
      <c r="A736" s="1">
        <v>44999</v>
      </c>
      <c r="B736">
        <v>356.2</v>
      </c>
      <c r="C736" s="2">
        <f t="shared" si="12"/>
        <v>3.863694197499816E-2</v>
      </c>
    </row>
    <row r="737" spans="1:3" x14ac:dyDescent="0.2">
      <c r="A737" s="1">
        <v>44998</v>
      </c>
      <c r="B737">
        <v>342.7</v>
      </c>
      <c r="C737" s="2">
        <f t="shared" si="12"/>
        <v>-9.8723217607354675E-3</v>
      </c>
    </row>
    <row r="738" spans="1:3" x14ac:dyDescent="0.2">
      <c r="A738" s="1">
        <v>44995</v>
      </c>
      <c r="B738">
        <v>346.1</v>
      </c>
      <c r="C738" s="2">
        <f t="shared" si="12"/>
        <v>-2.087280924429737E-2</v>
      </c>
    </row>
    <row r="739" spans="1:3" x14ac:dyDescent="0.2">
      <c r="A739" s="1">
        <v>44994</v>
      </c>
      <c r="B739">
        <v>353.4</v>
      </c>
      <c r="C739" s="2">
        <f t="shared" si="12"/>
        <v>-6.7682153461388513E-3</v>
      </c>
    </row>
    <row r="740" spans="1:3" x14ac:dyDescent="0.2">
      <c r="A740" s="1">
        <v>44993</v>
      </c>
      <c r="B740">
        <v>355.8</v>
      </c>
      <c r="C740" s="2">
        <f t="shared" si="12"/>
        <v>3.6604292595526625E-3</v>
      </c>
    </row>
    <row r="741" spans="1:3" x14ac:dyDescent="0.2">
      <c r="A741" s="1">
        <v>44992</v>
      </c>
      <c r="B741">
        <v>354.5</v>
      </c>
      <c r="C741" s="2">
        <f t="shared" si="12"/>
        <v>-6.4670547336721828E-3</v>
      </c>
    </row>
    <row r="742" spans="1:3" x14ac:dyDescent="0.2">
      <c r="A742" s="1">
        <v>44991</v>
      </c>
      <c r="B742">
        <v>356.8</v>
      </c>
      <c r="C742" s="2">
        <f t="shared" si="12"/>
        <v>7.3136753571212305E-3</v>
      </c>
    </row>
    <row r="743" spans="1:3" x14ac:dyDescent="0.2">
      <c r="A743" s="1">
        <v>44988</v>
      </c>
      <c r="B743">
        <v>354.2</v>
      </c>
      <c r="C743" s="2">
        <f t="shared" si="12"/>
        <v>1.8521686334917537E-2</v>
      </c>
    </row>
    <row r="744" spans="1:3" x14ac:dyDescent="0.2">
      <c r="A744" s="1">
        <v>44987</v>
      </c>
      <c r="B744">
        <v>347.7</v>
      </c>
      <c r="C744" s="2">
        <f t="shared" si="12"/>
        <v>-2.2981911867628801E-3</v>
      </c>
    </row>
    <row r="745" spans="1:3" x14ac:dyDescent="0.2">
      <c r="A745" s="1">
        <v>44986</v>
      </c>
      <c r="B745">
        <v>348.5</v>
      </c>
      <c r="C745" s="2">
        <f t="shared" si="12"/>
        <v>1.0093813169218906E-2</v>
      </c>
    </row>
    <row r="746" spans="1:3" x14ac:dyDescent="0.2">
      <c r="A746" s="1">
        <v>44985</v>
      </c>
      <c r="B746">
        <v>345</v>
      </c>
      <c r="C746" s="2">
        <f t="shared" si="12"/>
        <v>8.4413250478007594E-3</v>
      </c>
    </row>
    <row r="747" spans="1:3" x14ac:dyDescent="0.2">
      <c r="A747" s="1">
        <v>44984</v>
      </c>
      <c r="B747">
        <v>342.1</v>
      </c>
      <c r="C747" s="2">
        <f t="shared" si="12"/>
        <v>8.513188065811016E-3</v>
      </c>
    </row>
    <row r="748" spans="1:3" x14ac:dyDescent="0.2">
      <c r="A748" s="1">
        <v>44981</v>
      </c>
      <c r="B748">
        <v>339.2</v>
      </c>
      <c r="C748" s="2">
        <f t="shared" si="12"/>
        <v>-4.9992752261093284E-3</v>
      </c>
    </row>
    <row r="749" spans="1:3" x14ac:dyDescent="0.2">
      <c r="A749" s="1">
        <v>44980</v>
      </c>
      <c r="B749">
        <v>340.9</v>
      </c>
      <c r="C749" s="2">
        <f t="shared" si="12"/>
        <v>3.5263039773192431E-3</v>
      </c>
    </row>
    <row r="750" spans="1:3" x14ac:dyDescent="0.2">
      <c r="A750" s="1">
        <v>44979</v>
      </c>
      <c r="B750">
        <v>339.7</v>
      </c>
      <c r="C750" s="2">
        <f t="shared" si="12"/>
        <v>-3.8196021169786421E-3</v>
      </c>
    </row>
    <row r="751" spans="1:3" x14ac:dyDescent="0.2">
      <c r="A751" s="1">
        <v>44978</v>
      </c>
      <c r="B751">
        <v>341</v>
      </c>
      <c r="C751" s="2">
        <f t="shared" si="12"/>
        <v>-2.1755752917061749E-2</v>
      </c>
    </row>
    <row r="752" spans="1:3" x14ac:dyDescent="0.2">
      <c r="A752" s="1">
        <v>44977</v>
      </c>
      <c r="B752">
        <v>348.5</v>
      </c>
      <c r="C752" s="2">
        <f t="shared" si="12"/>
        <v>-8.5714810501410568E-3</v>
      </c>
    </row>
    <row r="753" spans="1:3" x14ac:dyDescent="0.2">
      <c r="A753" s="1">
        <v>44974</v>
      </c>
      <c r="B753">
        <v>351.5</v>
      </c>
      <c r="C753" s="2">
        <f t="shared" si="12"/>
        <v>-9.9080782246961877E-3</v>
      </c>
    </row>
    <row r="754" spans="1:3" x14ac:dyDescent="0.2">
      <c r="A754" s="1">
        <v>44973</v>
      </c>
      <c r="B754">
        <v>355</v>
      </c>
      <c r="C754" s="2">
        <f t="shared" si="12"/>
        <v>2.8208763416412634E-3</v>
      </c>
    </row>
    <row r="755" spans="1:3" x14ac:dyDescent="0.2">
      <c r="A755" s="1">
        <v>44972</v>
      </c>
      <c r="B755">
        <v>354</v>
      </c>
      <c r="C755" s="2">
        <f t="shared" si="12"/>
        <v>2.459374742119624E-2</v>
      </c>
    </row>
    <row r="756" spans="1:3" x14ac:dyDescent="0.2">
      <c r="A756" s="1">
        <v>44971</v>
      </c>
      <c r="B756">
        <v>345.4</v>
      </c>
      <c r="C756" s="2">
        <f t="shared" si="12"/>
        <v>-3.1796529173797957E-3</v>
      </c>
    </row>
    <row r="757" spans="1:3" x14ac:dyDescent="0.2">
      <c r="A757" s="1">
        <v>44970</v>
      </c>
      <c r="B757">
        <v>346.5</v>
      </c>
      <c r="C757" s="2">
        <f t="shared" si="12"/>
        <v>3.3155450022030075E-2</v>
      </c>
    </row>
    <row r="758" spans="1:3" x14ac:dyDescent="0.2">
      <c r="A758" s="1">
        <v>44967</v>
      </c>
      <c r="B758">
        <v>335.2</v>
      </c>
      <c r="C758" s="2">
        <f t="shared" si="12"/>
        <v>-1.9790928037327581E-2</v>
      </c>
    </row>
    <row r="759" spans="1:3" x14ac:dyDescent="0.2">
      <c r="A759" s="1">
        <v>44966</v>
      </c>
      <c r="B759">
        <v>341.9</v>
      </c>
      <c r="C759" s="2">
        <f t="shared" si="12"/>
        <v>-1.1692488908841743E-3</v>
      </c>
    </row>
    <row r="760" spans="1:3" x14ac:dyDescent="0.2">
      <c r="A760" s="1">
        <v>44965</v>
      </c>
      <c r="B760">
        <v>342.3</v>
      </c>
      <c r="C760" s="2">
        <f t="shared" si="12"/>
        <v>2.047083621724823E-3</v>
      </c>
    </row>
    <row r="761" spans="1:3" x14ac:dyDescent="0.2">
      <c r="A761" s="1">
        <v>44964</v>
      </c>
      <c r="B761">
        <v>341.6</v>
      </c>
      <c r="C761" s="2">
        <f t="shared" si="12"/>
        <v>-4.9642385492314998E-3</v>
      </c>
    </row>
    <row r="762" spans="1:3" x14ac:dyDescent="0.2">
      <c r="A762" s="1">
        <v>44963</v>
      </c>
      <c r="B762">
        <v>343.3</v>
      </c>
      <c r="C762" s="2">
        <f t="shared" si="12"/>
        <v>-3.1539311407779921E-2</v>
      </c>
    </row>
    <row r="763" spans="1:3" x14ac:dyDescent="0.2">
      <c r="A763" s="1">
        <v>44960</v>
      </c>
      <c r="B763">
        <v>354.3</v>
      </c>
      <c r="C763" s="2">
        <f t="shared" si="12"/>
        <v>-1.3735324556618205E-2</v>
      </c>
    </row>
    <row r="764" spans="1:3" x14ac:dyDescent="0.2">
      <c r="A764" s="1">
        <v>44959</v>
      </c>
      <c r="B764">
        <v>359.2</v>
      </c>
      <c r="C764" s="2">
        <f t="shared" si="12"/>
        <v>8.3878004031300496E-2</v>
      </c>
    </row>
    <row r="765" spans="1:3" x14ac:dyDescent="0.2">
      <c r="A765" s="1">
        <v>44958</v>
      </c>
      <c r="B765">
        <v>330.3</v>
      </c>
      <c r="C765" s="2">
        <f t="shared" si="12"/>
        <v>1.0041161499490716E-2</v>
      </c>
    </row>
    <row r="766" spans="1:3" x14ac:dyDescent="0.2">
      <c r="A766" s="1">
        <v>44957</v>
      </c>
      <c r="B766">
        <v>327</v>
      </c>
      <c r="C766" s="2">
        <f t="shared" si="12"/>
        <v>6.442728222198932E-3</v>
      </c>
    </row>
    <row r="767" spans="1:3" x14ac:dyDescent="0.2">
      <c r="A767" s="1">
        <v>44956</v>
      </c>
      <c r="B767">
        <v>324.89999999999998</v>
      </c>
      <c r="C767" s="2">
        <f t="shared" si="12"/>
        <v>3.0826164977710859E-3</v>
      </c>
    </row>
    <row r="768" spans="1:3" x14ac:dyDescent="0.2">
      <c r="A768" s="1">
        <v>44953</v>
      </c>
      <c r="B768">
        <v>323.89999999999998</v>
      </c>
      <c r="C768" s="2">
        <f t="shared" si="12"/>
        <v>2.7825029546270173E-3</v>
      </c>
    </row>
    <row r="769" spans="1:3" x14ac:dyDescent="0.2">
      <c r="A769" s="1">
        <v>44952</v>
      </c>
      <c r="B769">
        <v>323</v>
      </c>
      <c r="C769" s="2">
        <f t="shared" si="12"/>
        <v>-1.8558619616801562E-3</v>
      </c>
    </row>
    <row r="770" spans="1:3" x14ac:dyDescent="0.2">
      <c r="A770" s="1">
        <v>44951</v>
      </c>
      <c r="B770">
        <v>323.60000000000002</v>
      </c>
      <c r="C770" s="2">
        <f t="shared" si="12"/>
        <v>-8.0025050025767305E-3</v>
      </c>
    </row>
    <row r="771" spans="1:3" x14ac:dyDescent="0.2">
      <c r="A771" s="1">
        <v>44950</v>
      </c>
      <c r="B771">
        <v>326.2</v>
      </c>
      <c r="C771" s="2">
        <f t="shared" ref="C771:C834" si="13">+LN(B771/B772)</f>
        <v>-1.9129169908995419E-2</v>
      </c>
    </row>
    <row r="772" spans="1:3" x14ac:dyDescent="0.2">
      <c r="A772" s="1">
        <v>44949</v>
      </c>
      <c r="B772">
        <v>332.5</v>
      </c>
      <c r="C772" s="2">
        <f t="shared" si="13"/>
        <v>1.3016681439918373E-2</v>
      </c>
    </row>
    <row r="773" spans="1:3" x14ac:dyDescent="0.2">
      <c r="A773" s="1">
        <v>44946</v>
      </c>
      <c r="B773">
        <v>328.2</v>
      </c>
      <c r="C773" s="2">
        <f t="shared" si="13"/>
        <v>2.9686781180042247E-2</v>
      </c>
    </row>
    <row r="774" spans="1:3" x14ac:dyDescent="0.2">
      <c r="A774" s="1">
        <v>44945</v>
      </c>
      <c r="B774">
        <v>318.60000000000002</v>
      </c>
      <c r="C774" s="2">
        <f t="shared" si="13"/>
        <v>-2.571791625421662E-2</v>
      </c>
    </row>
    <row r="775" spans="1:3" x14ac:dyDescent="0.2">
      <c r="A775" s="1">
        <v>44944</v>
      </c>
      <c r="B775">
        <v>326.89999999999998</v>
      </c>
      <c r="C775" s="2">
        <f t="shared" si="13"/>
        <v>1.5306906402129277E-3</v>
      </c>
    </row>
    <row r="776" spans="1:3" x14ac:dyDescent="0.2">
      <c r="A776" s="1">
        <v>44943</v>
      </c>
      <c r="B776">
        <v>326.39999999999998</v>
      </c>
      <c r="C776" s="2">
        <f t="shared" si="13"/>
        <v>-2.75355841718303E-3</v>
      </c>
    </row>
    <row r="777" spans="1:3" x14ac:dyDescent="0.2">
      <c r="A777" s="1">
        <v>44942</v>
      </c>
      <c r="B777">
        <v>327.3</v>
      </c>
      <c r="C777" s="2">
        <f t="shared" si="13"/>
        <v>1.6325635962726567E-2</v>
      </c>
    </row>
    <row r="778" spans="1:3" x14ac:dyDescent="0.2">
      <c r="A778" s="1">
        <v>44939</v>
      </c>
      <c r="B778">
        <v>322</v>
      </c>
      <c r="C778" s="2">
        <f t="shared" si="13"/>
        <v>-1.0810916104215617E-2</v>
      </c>
    </row>
    <row r="779" spans="1:3" x14ac:dyDescent="0.2">
      <c r="A779" s="1">
        <v>44938</v>
      </c>
      <c r="B779">
        <v>325.5</v>
      </c>
      <c r="C779" s="2">
        <f t="shared" si="13"/>
        <v>-9.4787439545438827E-3</v>
      </c>
    </row>
    <row r="780" spans="1:3" x14ac:dyDescent="0.2">
      <c r="A780" s="1">
        <v>44937</v>
      </c>
      <c r="B780">
        <v>328.6</v>
      </c>
      <c r="C780" s="2">
        <f t="shared" si="13"/>
        <v>1.4406379425884162E-2</v>
      </c>
    </row>
    <row r="781" spans="1:3" x14ac:dyDescent="0.2">
      <c r="A781" s="1">
        <v>44936</v>
      </c>
      <c r="B781">
        <v>323.89999999999998</v>
      </c>
      <c r="C781" s="2">
        <f t="shared" si="13"/>
        <v>3.7117271193674718E-3</v>
      </c>
    </row>
    <row r="782" spans="1:3" x14ac:dyDescent="0.2">
      <c r="A782" s="1">
        <v>44935</v>
      </c>
      <c r="B782">
        <v>322.7</v>
      </c>
      <c r="C782" s="2">
        <f t="shared" si="13"/>
        <v>3.7251781993207951E-2</v>
      </c>
    </row>
    <row r="783" spans="1:3" x14ac:dyDescent="0.2">
      <c r="A783" s="1">
        <v>44931</v>
      </c>
      <c r="B783">
        <v>310.89999999999998</v>
      </c>
      <c r="C783" s="2">
        <f t="shared" si="13"/>
        <v>1.3275247571606903E-2</v>
      </c>
    </row>
    <row r="784" spans="1:3" x14ac:dyDescent="0.2">
      <c r="A784" s="1">
        <v>44930</v>
      </c>
      <c r="B784">
        <v>306.8</v>
      </c>
      <c r="C784" s="2">
        <f t="shared" si="13"/>
        <v>9.1683680868795067E-3</v>
      </c>
    </row>
    <row r="785" spans="1:3" x14ac:dyDescent="0.2">
      <c r="A785" s="1">
        <v>44929</v>
      </c>
      <c r="B785">
        <v>304</v>
      </c>
      <c r="C785" s="2">
        <f t="shared" si="13"/>
        <v>-6.5767841897071194E-4</v>
      </c>
    </row>
    <row r="786" spans="1:3" x14ac:dyDescent="0.2">
      <c r="A786" s="1">
        <v>44928</v>
      </c>
      <c r="B786">
        <v>304.2</v>
      </c>
      <c r="C786" s="2">
        <f t="shared" si="13"/>
        <v>1.024294433750423E-2</v>
      </c>
    </row>
    <row r="787" spans="1:3" x14ac:dyDescent="0.2">
      <c r="A787" s="1">
        <v>44925</v>
      </c>
      <c r="B787">
        <v>301.10000000000002</v>
      </c>
      <c r="C787" s="2">
        <f t="shared" si="13"/>
        <v>-2.1682846840307919E-2</v>
      </c>
    </row>
    <row r="788" spans="1:3" x14ac:dyDescent="0.2">
      <c r="A788" s="1">
        <v>44924</v>
      </c>
      <c r="B788">
        <v>307.7</v>
      </c>
      <c r="C788" s="2">
        <f t="shared" si="13"/>
        <v>8.4856906053721315E-3</v>
      </c>
    </row>
    <row r="789" spans="1:3" x14ac:dyDescent="0.2">
      <c r="A789" s="1">
        <v>44923</v>
      </c>
      <c r="B789">
        <v>305.10000000000002</v>
      </c>
      <c r="C789" s="2">
        <f t="shared" si="13"/>
        <v>-2.9455102297566917E-3</v>
      </c>
    </row>
    <row r="790" spans="1:3" x14ac:dyDescent="0.2">
      <c r="A790" s="1">
        <v>44922</v>
      </c>
      <c r="B790">
        <v>306</v>
      </c>
      <c r="C790" s="2">
        <f t="shared" si="13"/>
        <v>1.3820555618632316E-2</v>
      </c>
    </row>
    <row r="791" spans="1:3" x14ac:dyDescent="0.2">
      <c r="A791" s="1">
        <v>44918</v>
      </c>
      <c r="B791">
        <v>301.8</v>
      </c>
    </row>
    <row r="792" spans="1:3" x14ac:dyDescent="0.2">
      <c r="A792" s="1">
        <v>44917</v>
      </c>
      <c r="B792">
        <v>299.89999999999998</v>
      </c>
      <c r="C792" s="2">
        <f t="shared" si="13"/>
        <v>-2.3072875870727139E-2</v>
      </c>
    </row>
    <row r="793" spans="1:3" x14ac:dyDescent="0.2">
      <c r="A793" s="1">
        <v>44916</v>
      </c>
      <c r="B793">
        <v>306.89999999999998</v>
      </c>
      <c r="C793" s="2">
        <f t="shared" si="13"/>
        <v>2.2739486969489339E-2</v>
      </c>
    </row>
    <row r="794" spans="1:3" x14ac:dyDescent="0.2">
      <c r="A794" s="1">
        <v>44915</v>
      </c>
      <c r="B794">
        <v>300</v>
      </c>
      <c r="C794" s="2">
        <f t="shared" si="13"/>
        <v>0</v>
      </c>
    </row>
    <row r="795" spans="1:3" x14ac:dyDescent="0.2">
      <c r="A795" s="1">
        <v>44914</v>
      </c>
      <c r="B795">
        <v>300</v>
      </c>
      <c r="C795" s="2">
        <f t="shared" si="13"/>
        <v>1.6680571006970134E-3</v>
      </c>
    </row>
    <row r="796" spans="1:3" x14ac:dyDescent="0.2">
      <c r="A796" s="1">
        <v>44911</v>
      </c>
      <c r="B796">
        <v>299.5</v>
      </c>
      <c r="C796" s="2">
        <f t="shared" si="13"/>
        <v>-2.5059009891272743E-2</v>
      </c>
    </row>
    <row r="797" spans="1:3" x14ac:dyDescent="0.2">
      <c r="A797" s="1">
        <v>44910</v>
      </c>
      <c r="B797">
        <v>307.10000000000002</v>
      </c>
      <c r="C797" s="2">
        <f t="shared" si="13"/>
        <v>-2.951770286482645E-2</v>
      </c>
    </row>
    <row r="798" spans="1:3" x14ac:dyDescent="0.2">
      <c r="A798" s="1">
        <v>44909</v>
      </c>
      <c r="B798">
        <v>316.3</v>
      </c>
      <c r="C798" s="2">
        <f t="shared" si="13"/>
        <v>6.0250697565517649E-3</v>
      </c>
    </row>
    <row r="799" spans="1:3" x14ac:dyDescent="0.2">
      <c r="A799" s="1">
        <v>44908</v>
      </c>
      <c r="B799">
        <v>314.39999999999998</v>
      </c>
      <c r="C799" s="2">
        <f t="shared" si="13"/>
        <v>2.28415914186125E-2</v>
      </c>
    </row>
    <row r="800" spans="1:3" x14ac:dyDescent="0.2">
      <c r="A800" s="1">
        <v>44907</v>
      </c>
      <c r="B800">
        <v>307.3</v>
      </c>
      <c r="C800" s="2">
        <f t="shared" si="13"/>
        <v>-2.599936466183346E-3</v>
      </c>
    </row>
    <row r="801" spans="1:3" x14ac:dyDescent="0.2">
      <c r="A801" s="1">
        <v>44904</v>
      </c>
      <c r="B801">
        <v>308.10000000000002</v>
      </c>
      <c r="C801" s="2">
        <f t="shared" si="13"/>
        <v>2.9646439966719902E-2</v>
      </c>
    </row>
    <row r="802" spans="1:3" x14ac:dyDescent="0.2">
      <c r="A802" s="1">
        <v>44903</v>
      </c>
      <c r="B802">
        <v>299.10000000000002</v>
      </c>
      <c r="C802" s="2">
        <f t="shared" si="13"/>
        <v>-2.1171812975747644E-2</v>
      </c>
    </row>
    <row r="803" spans="1:3" x14ac:dyDescent="0.2">
      <c r="A803" s="1">
        <v>44902</v>
      </c>
      <c r="B803">
        <v>305.5</v>
      </c>
      <c r="C803" s="2">
        <f t="shared" si="13"/>
        <v>-4.8979689755471421E-3</v>
      </c>
    </row>
    <row r="804" spans="1:3" x14ac:dyDescent="0.2">
      <c r="A804" s="1">
        <v>44901</v>
      </c>
      <c r="B804">
        <v>307</v>
      </c>
      <c r="C804" s="2">
        <f t="shared" si="13"/>
        <v>-3.2567985957965132E-4</v>
      </c>
    </row>
    <row r="805" spans="1:3" x14ac:dyDescent="0.2">
      <c r="A805" s="1">
        <v>44900</v>
      </c>
      <c r="B805">
        <v>307.10000000000002</v>
      </c>
      <c r="C805" s="2">
        <f t="shared" si="13"/>
        <v>2.6084136080470753E-3</v>
      </c>
    </row>
    <row r="806" spans="1:3" x14ac:dyDescent="0.2">
      <c r="A806" s="1">
        <v>44897</v>
      </c>
      <c r="B806">
        <v>306.3</v>
      </c>
      <c r="C806" s="2">
        <f t="shared" si="13"/>
        <v>7.8663139159822863E-3</v>
      </c>
    </row>
    <row r="807" spans="1:3" x14ac:dyDescent="0.2">
      <c r="A807" s="1">
        <v>44896</v>
      </c>
      <c r="B807">
        <v>303.89999999999998</v>
      </c>
      <c r="C807" s="2">
        <f t="shared" si="13"/>
        <v>2.0612431901016751E-2</v>
      </c>
    </row>
    <row r="808" spans="1:3" x14ac:dyDescent="0.2">
      <c r="A808" s="1">
        <v>44895</v>
      </c>
      <c r="B808">
        <v>297.7</v>
      </c>
      <c r="C808" s="2">
        <f t="shared" si="13"/>
        <v>7.4174311755778044E-3</v>
      </c>
    </row>
    <row r="809" spans="1:3" x14ac:dyDescent="0.2">
      <c r="A809" s="1">
        <v>44894</v>
      </c>
      <c r="B809">
        <v>295.5</v>
      </c>
      <c r="C809" s="2">
        <f t="shared" si="13"/>
        <v>-6.0728931578991202E-3</v>
      </c>
    </row>
    <row r="810" spans="1:3" x14ac:dyDescent="0.2">
      <c r="A810" s="1">
        <v>44893</v>
      </c>
      <c r="B810">
        <v>297.3</v>
      </c>
      <c r="C810" s="2">
        <f t="shared" si="13"/>
        <v>-1.8330791559241767E-2</v>
      </c>
    </row>
    <row r="811" spans="1:3" x14ac:dyDescent="0.2">
      <c r="A811" s="1">
        <v>44890</v>
      </c>
      <c r="B811">
        <v>302.8</v>
      </c>
      <c r="C811" s="2">
        <f t="shared" si="13"/>
        <v>1.4302588730636872E-2</v>
      </c>
    </row>
    <row r="812" spans="1:3" x14ac:dyDescent="0.2">
      <c r="A812" s="1">
        <v>44889</v>
      </c>
      <c r="B812">
        <v>298.5</v>
      </c>
      <c r="C812" s="2">
        <f t="shared" si="13"/>
        <v>-1.0045204260054762E-3</v>
      </c>
    </row>
    <row r="813" spans="1:3" x14ac:dyDescent="0.2">
      <c r="A813" s="1">
        <v>44888</v>
      </c>
      <c r="B813">
        <v>298.8</v>
      </c>
      <c r="C813" s="2">
        <f t="shared" si="13"/>
        <v>6.6956815357222291E-4</v>
      </c>
    </row>
    <row r="814" spans="1:3" x14ac:dyDescent="0.2">
      <c r="A814" s="1">
        <v>44887</v>
      </c>
      <c r="B814">
        <v>298.60000000000002</v>
      </c>
      <c r="C814" s="2">
        <f t="shared" si="13"/>
        <v>7.394991683158313E-3</v>
      </c>
    </row>
    <row r="815" spans="1:3" x14ac:dyDescent="0.2">
      <c r="A815" s="1">
        <v>44886</v>
      </c>
      <c r="B815">
        <v>296.39999999999998</v>
      </c>
      <c r="C815" s="2">
        <f t="shared" si="13"/>
        <v>0</v>
      </c>
    </row>
    <row r="816" spans="1:3" x14ac:dyDescent="0.2">
      <c r="A816" s="1">
        <v>44883</v>
      </c>
      <c r="B816">
        <v>296.39999999999998</v>
      </c>
      <c r="C816" s="2">
        <f t="shared" si="13"/>
        <v>1.4956091153649959E-2</v>
      </c>
    </row>
    <row r="817" spans="1:3" x14ac:dyDescent="0.2">
      <c r="A817" s="1">
        <v>44882</v>
      </c>
      <c r="B817">
        <v>292</v>
      </c>
      <c r="C817" s="2">
        <f t="shared" si="13"/>
        <v>-1.7108644036294301E-3</v>
      </c>
    </row>
    <row r="818" spans="1:3" x14ac:dyDescent="0.2">
      <c r="A818" s="1">
        <v>44881</v>
      </c>
      <c r="B818">
        <v>292.5</v>
      </c>
      <c r="C818" s="2">
        <f t="shared" si="13"/>
        <v>-2.197890671877523E-2</v>
      </c>
    </row>
    <row r="819" spans="1:3" x14ac:dyDescent="0.2">
      <c r="A819" s="1">
        <v>44880</v>
      </c>
      <c r="B819">
        <v>299</v>
      </c>
      <c r="C819" s="2">
        <f t="shared" si="13"/>
        <v>-6.0020186849983588E-3</v>
      </c>
    </row>
    <row r="820" spans="1:3" x14ac:dyDescent="0.2">
      <c r="A820" s="1">
        <v>44879</v>
      </c>
      <c r="B820">
        <v>300.8</v>
      </c>
      <c r="C820" s="2">
        <f t="shared" si="13"/>
        <v>-2.3244240915553855E-3</v>
      </c>
    </row>
    <row r="821" spans="1:3" x14ac:dyDescent="0.2">
      <c r="A821" s="1">
        <v>44876</v>
      </c>
      <c r="B821">
        <v>301.5</v>
      </c>
      <c r="C821" s="2">
        <f t="shared" si="13"/>
        <v>4.9875415110389679E-3</v>
      </c>
    </row>
    <row r="822" spans="1:3" x14ac:dyDescent="0.2">
      <c r="A822" s="1">
        <v>44875</v>
      </c>
      <c r="B822">
        <v>300</v>
      </c>
      <c r="C822" s="2">
        <f t="shared" si="13"/>
        <v>3.8394387987311623E-2</v>
      </c>
    </row>
    <row r="823" spans="1:3" x14ac:dyDescent="0.2">
      <c r="A823" s="1">
        <v>44874</v>
      </c>
      <c r="B823">
        <v>288.7</v>
      </c>
      <c r="C823" s="2">
        <f t="shared" si="13"/>
        <v>-2.42172752849404E-3</v>
      </c>
    </row>
    <row r="824" spans="1:3" x14ac:dyDescent="0.2">
      <c r="A824" s="1">
        <v>44873</v>
      </c>
      <c r="B824">
        <v>289.39999999999998</v>
      </c>
      <c r="C824" s="2">
        <f t="shared" si="13"/>
        <v>3.3020211028133892E-2</v>
      </c>
    </row>
    <row r="825" spans="1:3" x14ac:dyDescent="0.2">
      <c r="A825" s="1">
        <v>44872</v>
      </c>
      <c r="B825">
        <v>280</v>
      </c>
      <c r="C825" s="2">
        <f t="shared" si="13"/>
        <v>-3.5707909681332786E-4</v>
      </c>
    </row>
    <row r="826" spans="1:3" x14ac:dyDescent="0.2">
      <c r="A826" s="1">
        <v>44869</v>
      </c>
      <c r="B826">
        <v>280.10000000000002</v>
      </c>
      <c r="C826" s="2">
        <f t="shared" si="13"/>
        <v>3.265892576144297E-2</v>
      </c>
    </row>
    <row r="827" spans="1:3" x14ac:dyDescent="0.2">
      <c r="A827" s="1">
        <v>44868</v>
      </c>
      <c r="B827">
        <v>271.10000000000002</v>
      </c>
      <c r="C827" s="2">
        <f t="shared" si="13"/>
        <v>-1.5010349554568585E-2</v>
      </c>
    </row>
    <row r="828" spans="1:3" x14ac:dyDescent="0.2">
      <c r="A828" s="1">
        <v>44867</v>
      </c>
      <c r="B828">
        <v>275.2</v>
      </c>
      <c r="C828" s="2">
        <f t="shared" si="13"/>
        <v>3.6343812865951268E-4</v>
      </c>
    </row>
    <row r="829" spans="1:3" x14ac:dyDescent="0.2">
      <c r="A829" s="1">
        <v>44866</v>
      </c>
      <c r="B829">
        <v>275.10000000000002</v>
      </c>
      <c r="C829" s="2">
        <f t="shared" si="13"/>
        <v>1.096502214132824E-2</v>
      </c>
    </row>
    <row r="830" spans="1:3" x14ac:dyDescent="0.2">
      <c r="A830" s="1">
        <v>44865</v>
      </c>
      <c r="B830">
        <v>272.10000000000002</v>
      </c>
      <c r="C830" s="2">
        <f t="shared" si="13"/>
        <v>-1.0965022141328216E-2</v>
      </c>
    </row>
    <row r="831" spans="1:3" x14ac:dyDescent="0.2">
      <c r="A831" s="1">
        <v>44862</v>
      </c>
      <c r="B831">
        <v>275.10000000000002</v>
      </c>
      <c r="C831" s="2">
        <f t="shared" si="13"/>
        <v>1.8342407131958928E-2</v>
      </c>
    </row>
    <row r="832" spans="1:3" x14ac:dyDescent="0.2">
      <c r="A832" s="1">
        <v>44861</v>
      </c>
      <c r="B832">
        <v>270.10000000000002</v>
      </c>
      <c r="C832" s="2">
        <f t="shared" si="13"/>
        <v>8.5518275414978376E-3</v>
      </c>
    </row>
    <row r="833" spans="1:3" x14ac:dyDescent="0.2">
      <c r="A833" s="1">
        <v>44860</v>
      </c>
      <c r="B833">
        <v>267.8</v>
      </c>
      <c r="C833" s="2">
        <f t="shared" si="13"/>
        <v>3.225474071245342E-2</v>
      </c>
    </row>
    <row r="834" spans="1:3" x14ac:dyDescent="0.2">
      <c r="A834" s="1">
        <v>44859</v>
      </c>
      <c r="B834">
        <v>259.3</v>
      </c>
      <c r="C834" s="2">
        <f t="shared" si="13"/>
        <v>-0.11189523043590097</v>
      </c>
    </row>
    <row r="835" spans="1:3" x14ac:dyDescent="0.2">
      <c r="A835" s="1">
        <v>44858</v>
      </c>
      <c r="B835">
        <v>290</v>
      </c>
      <c r="C835" s="2">
        <f t="shared" ref="C835:C898" si="14">+LN(B835/B836)</f>
        <v>4.2979492660276321E-2</v>
      </c>
    </row>
    <row r="836" spans="1:3" x14ac:dyDescent="0.2">
      <c r="A836" s="1">
        <v>44855</v>
      </c>
      <c r="B836">
        <v>277.8</v>
      </c>
      <c r="C836" s="2">
        <f t="shared" si="14"/>
        <v>-1.2520285175567733E-2</v>
      </c>
    </row>
    <row r="837" spans="1:3" x14ac:dyDescent="0.2">
      <c r="A837" s="1">
        <v>44854</v>
      </c>
      <c r="B837">
        <v>281.3</v>
      </c>
      <c r="C837" s="2">
        <f t="shared" si="14"/>
        <v>2.4915478274506369E-3</v>
      </c>
    </row>
    <row r="838" spans="1:3" x14ac:dyDescent="0.2">
      <c r="A838" s="1">
        <v>44853</v>
      </c>
      <c r="B838">
        <v>280.60000000000002</v>
      </c>
      <c r="C838" s="2">
        <f t="shared" si="14"/>
        <v>-2.6724515897061017E-2</v>
      </c>
    </row>
    <row r="839" spans="1:3" x14ac:dyDescent="0.2">
      <c r="A839" s="1">
        <v>44852</v>
      </c>
      <c r="B839">
        <v>288.2</v>
      </c>
      <c r="C839" s="2">
        <f t="shared" si="14"/>
        <v>2.3167059281534161E-2</v>
      </c>
    </row>
    <row r="840" spans="1:3" x14ac:dyDescent="0.2">
      <c r="A840" s="1">
        <v>44851</v>
      </c>
      <c r="B840">
        <v>281.60000000000002</v>
      </c>
      <c r="C840" s="2">
        <f t="shared" si="14"/>
        <v>2.5536363334302013E-2</v>
      </c>
    </row>
    <row r="841" spans="1:3" x14ac:dyDescent="0.2">
      <c r="A841" s="1">
        <v>44848</v>
      </c>
      <c r="B841">
        <v>274.5</v>
      </c>
      <c r="C841" s="2">
        <f t="shared" si="14"/>
        <v>-2.5468451096032504E-3</v>
      </c>
    </row>
    <row r="842" spans="1:3" x14ac:dyDescent="0.2">
      <c r="A842" s="1">
        <v>44847</v>
      </c>
      <c r="B842">
        <v>275.2</v>
      </c>
      <c r="C842" s="2">
        <f t="shared" si="14"/>
        <v>2.5765135211610543E-2</v>
      </c>
    </row>
    <row r="843" spans="1:3" x14ac:dyDescent="0.2">
      <c r="A843" s="1">
        <v>44846</v>
      </c>
      <c r="B843">
        <v>268.2</v>
      </c>
      <c r="C843" s="2">
        <f t="shared" si="14"/>
        <v>-9.2782257726773728E-3</v>
      </c>
    </row>
    <row r="844" spans="1:3" x14ac:dyDescent="0.2">
      <c r="A844" s="1">
        <v>44845</v>
      </c>
      <c r="B844">
        <v>270.7</v>
      </c>
      <c r="C844" s="2">
        <f t="shared" si="14"/>
        <v>-1.5032363727938914E-2</v>
      </c>
    </row>
    <row r="845" spans="1:3" x14ac:dyDescent="0.2">
      <c r="A845" s="1">
        <v>44844</v>
      </c>
      <c r="B845">
        <v>274.8</v>
      </c>
      <c r="C845" s="2">
        <f t="shared" si="14"/>
        <v>8.0380410857620287E-3</v>
      </c>
    </row>
    <row r="846" spans="1:3" x14ac:dyDescent="0.2">
      <c r="A846" s="1">
        <v>44841</v>
      </c>
      <c r="B846">
        <v>272.60000000000002</v>
      </c>
      <c r="C846" s="2">
        <f t="shared" si="14"/>
        <v>-3.106064067407753E-2</v>
      </c>
    </row>
    <row r="847" spans="1:3" x14ac:dyDescent="0.2">
      <c r="A847" s="1">
        <v>44840</v>
      </c>
      <c r="B847">
        <v>281.2</v>
      </c>
      <c r="C847" s="2">
        <f t="shared" si="14"/>
        <v>-7.7931673200701667E-3</v>
      </c>
    </row>
    <row r="848" spans="1:3" x14ac:dyDescent="0.2">
      <c r="A848" s="1">
        <v>44839</v>
      </c>
      <c r="B848">
        <v>283.39999999999998</v>
      </c>
      <c r="C848" s="2">
        <f t="shared" si="14"/>
        <v>-1.0879208898214268E-2</v>
      </c>
    </row>
    <row r="849" spans="1:3" x14ac:dyDescent="0.2">
      <c r="A849" s="1">
        <v>44838</v>
      </c>
      <c r="B849">
        <v>286.5</v>
      </c>
      <c r="C849" s="2">
        <f t="shared" si="14"/>
        <v>5.1568890365593534E-2</v>
      </c>
    </row>
    <row r="850" spans="1:3" x14ac:dyDescent="0.2">
      <c r="A850" s="1">
        <v>44837</v>
      </c>
      <c r="B850">
        <v>272.10000000000002</v>
      </c>
      <c r="C850" s="2">
        <f t="shared" si="14"/>
        <v>-2.2889282671063785E-2</v>
      </c>
    </row>
    <row r="851" spans="1:3" x14ac:dyDescent="0.2">
      <c r="A851" s="1">
        <v>44834</v>
      </c>
      <c r="B851">
        <v>278.39999999999998</v>
      </c>
      <c r="C851" s="2">
        <f t="shared" si="14"/>
        <v>2.8417212723576685E-2</v>
      </c>
    </row>
    <row r="852" spans="1:3" x14ac:dyDescent="0.2">
      <c r="A852" s="1">
        <v>44833</v>
      </c>
      <c r="B852">
        <v>270.60000000000002</v>
      </c>
      <c r="C852" s="2">
        <f t="shared" si="14"/>
        <v>5.558658003827462E-3</v>
      </c>
    </row>
    <row r="853" spans="1:3" x14ac:dyDescent="0.2">
      <c r="A853" s="1">
        <v>44832</v>
      </c>
      <c r="B853">
        <v>269.10000000000002</v>
      </c>
      <c r="C853" s="2">
        <f t="shared" si="14"/>
        <v>2.0650255104508002E-2</v>
      </c>
    </row>
    <row r="854" spans="1:3" x14ac:dyDescent="0.2">
      <c r="A854" s="1">
        <v>44831</v>
      </c>
      <c r="B854">
        <v>263.60000000000002</v>
      </c>
      <c r="C854" s="2">
        <f t="shared" si="14"/>
        <v>8.3810014382306574E-3</v>
      </c>
    </row>
    <row r="855" spans="1:3" x14ac:dyDescent="0.2">
      <c r="A855" s="1">
        <v>44830</v>
      </c>
      <c r="B855">
        <v>261.39999999999998</v>
      </c>
      <c r="C855" s="2">
        <f t="shared" si="14"/>
        <v>-1.0276018112965109E-2</v>
      </c>
    </row>
    <row r="856" spans="1:3" x14ac:dyDescent="0.2">
      <c r="A856" s="1">
        <v>44827</v>
      </c>
      <c r="B856">
        <v>264.10000000000002</v>
      </c>
      <c r="C856" s="2">
        <f t="shared" si="14"/>
        <v>1.1365790198724333E-3</v>
      </c>
    </row>
    <row r="857" spans="1:3" x14ac:dyDescent="0.2">
      <c r="A857" s="1">
        <v>44826</v>
      </c>
      <c r="B857">
        <v>263.8</v>
      </c>
      <c r="C857" s="2">
        <f t="shared" si="14"/>
        <v>-3.6110381578821682E-2</v>
      </c>
    </row>
    <row r="858" spans="1:3" x14ac:dyDescent="0.2">
      <c r="A858" s="1">
        <v>44825</v>
      </c>
      <c r="B858">
        <v>273.5</v>
      </c>
      <c r="C858" s="2">
        <f t="shared" si="14"/>
        <v>1.0290425241780378E-2</v>
      </c>
    </row>
    <row r="859" spans="1:3" x14ac:dyDescent="0.2">
      <c r="A859" s="1">
        <v>44824</v>
      </c>
      <c r="B859">
        <v>270.7</v>
      </c>
      <c r="C859" s="2">
        <f t="shared" si="14"/>
        <v>-1.8664768738946003E-2</v>
      </c>
    </row>
    <row r="860" spans="1:3" x14ac:dyDescent="0.2">
      <c r="A860" s="1">
        <v>44823</v>
      </c>
      <c r="B860">
        <v>275.8</v>
      </c>
      <c r="C860" s="2">
        <f t="shared" si="14"/>
        <v>6.1829620504613774E-3</v>
      </c>
    </row>
    <row r="861" spans="1:3" x14ac:dyDescent="0.2">
      <c r="A861" s="1">
        <v>44820</v>
      </c>
      <c r="B861">
        <v>274.10000000000002</v>
      </c>
      <c r="C861" s="2">
        <f t="shared" si="14"/>
        <v>-3.6888694620345497E-2</v>
      </c>
    </row>
    <row r="862" spans="1:3" x14ac:dyDescent="0.2">
      <c r="A862" s="1">
        <v>44819</v>
      </c>
      <c r="B862">
        <v>284.39999999999998</v>
      </c>
      <c r="C862" s="2">
        <f t="shared" si="14"/>
        <v>-1.6390951093214753E-2</v>
      </c>
    </row>
    <row r="863" spans="1:3" x14ac:dyDescent="0.2">
      <c r="A863" s="1">
        <v>44818</v>
      </c>
      <c r="B863">
        <v>289.10000000000002</v>
      </c>
      <c r="C863" s="2">
        <f t="shared" si="14"/>
        <v>-5.8630966370638634E-3</v>
      </c>
    </row>
    <row r="864" spans="1:3" x14ac:dyDescent="0.2">
      <c r="A864" s="1">
        <v>44817</v>
      </c>
      <c r="B864">
        <v>290.8</v>
      </c>
      <c r="C864" s="2">
        <f t="shared" si="14"/>
        <v>-2.7807827731322132E-2</v>
      </c>
    </row>
    <row r="865" spans="1:3" x14ac:dyDescent="0.2">
      <c r="A865" s="1">
        <v>44816</v>
      </c>
      <c r="B865">
        <v>299</v>
      </c>
      <c r="C865" s="2">
        <f t="shared" si="14"/>
        <v>2.4032295530617521E-2</v>
      </c>
    </row>
    <row r="866" spans="1:3" x14ac:dyDescent="0.2">
      <c r="A866" s="1">
        <v>44813</v>
      </c>
      <c r="B866">
        <v>291.89999999999998</v>
      </c>
      <c r="C866" s="2">
        <f t="shared" si="14"/>
        <v>1.8672741705274682E-2</v>
      </c>
    </row>
    <row r="867" spans="1:3" x14ac:dyDescent="0.2">
      <c r="A867" s="1">
        <v>44812</v>
      </c>
      <c r="B867">
        <v>286.5</v>
      </c>
      <c r="C867" s="2">
        <f t="shared" si="14"/>
        <v>1.017374149682175E-2</v>
      </c>
    </row>
    <row r="868" spans="1:3" x14ac:dyDescent="0.2">
      <c r="A868" s="1">
        <v>44811</v>
      </c>
      <c r="B868">
        <v>283.60000000000002</v>
      </c>
      <c r="C868" s="2">
        <f t="shared" si="14"/>
        <v>-3.1684589084131102E-3</v>
      </c>
    </row>
    <row r="869" spans="1:3" x14ac:dyDescent="0.2">
      <c r="A869" s="1">
        <v>44810</v>
      </c>
      <c r="B869">
        <v>284.5</v>
      </c>
      <c r="C869" s="2">
        <f t="shared" si="14"/>
        <v>9.1808554463188689E-3</v>
      </c>
    </row>
    <row r="870" spans="1:3" x14ac:dyDescent="0.2">
      <c r="A870" s="1">
        <v>44809</v>
      </c>
      <c r="B870">
        <v>281.89999999999998</v>
      </c>
      <c r="C870" s="2">
        <f t="shared" si="14"/>
        <v>-1.5837036966423714E-2</v>
      </c>
    </row>
    <row r="871" spans="1:3" x14ac:dyDescent="0.2">
      <c r="A871" s="1">
        <v>44806</v>
      </c>
      <c r="B871">
        <v>286.39999999999998</v>
      </c>
      <c r="C871" s="2">
        <f t="shared" si="14"/>
        <v>3.1568501900001246E-2</v>
      </c>
    </row>
    <row r="872" spans="1:3" x14ac:dyDescent="0.2">
      <c r="A872" s="1">
        <v>44805</v>
      </c>
      <c r="B872">
        <v>277.5</v>
      </c>
      <c r="C872" s="2">
        <f t="shared" si="14"/>
        <v>-2.8421095909575707E-2</v>
      </c>
    </row>
    <row r="873" spans="1:3" x14ac:dyDescent="0.2">
      <c r="A873" s="1">
        <v>44804</v>
      </c>
      <c r="B873">
        <v>285.5</v>
      </c>
      <c r="C873" s="2">
        <f t="shared" si="14"/>
        <v>-8.0237653572025718E-3</v>
      </c>
    </row>
    <row r="874" spans="1:3" x14ac:dyDescent="0.2">
      <c r="A874" s="1">
        <v>44803</v>
      </c>
      <c r="B874">
        <v>287.8</v>
      </c>
      <c r="C874" s="2">
        <f t="shared" si="14"/>
        <v>-2.0826109575264561E-3</v>
      </c>
    </row>
    <row r="875" spans="1:3" x14ac:dyDescent="0.2">
      <c r="A875" s="1">
        <v>44802</v>
      </c>
      <c r="B875">
        <v>288.39999999999998</v>
      </c>
      <c r="C875" s="2">
        <f t="shared" si="14"/>
        <v>-8.9748617606985829E-3</v>
      </c>
    </row>
    <row r="876" spans="1:3" x14ac:dyDescent="0.2">
      <c r="A876" s="1">
        <v>44799</v>
      </c>
      <c r="B876">
        <v>291</v>
      </c>
      <c r="C876" s="2">
        <f t="shared" si="14"/>
        <v>-1.3313048649737926E-2</v>
      </c>
    </row>
    <row r="877" spans="1:3" x14ac:dyDescent="0.2">
      <c r="A877" s="1">
        <v>44798</v>
      </c>
      <c r="B877">
        <v>294.89999999999998</v>
      </c>
      <c r="C877" s="2">
        <f t="shared" si="14"/>
        <v>5.4403398378251623E-3</v>
      </c>
    </row>
    <row r="878" spans="1:3" x14ac:dyDescent="0.2">
      <c r="A878" s="1">
        <v>44797</v>
      </c>
      <c r="B878">
        <v>293.3</v>
      </c>
      <c r="C878" s="2">
        <f t="shared" si="14"/>
        <v>-5.7793803564143821E-3</v>
      </c>
    </row>
    <row r="879" spans="1:3" x14ac:dyDescent="0.2">
      <c r="A879" s="1">
        <v>44796</v>
      </c>
      <c r="B879">
        <v>295</v>
      </c>
      <c r="C879" s="2">
        <f t="shared" si="14"/>
        <v>-1.4471058518833449E-2</v>
      </c>
    </row>
    <row r="880" spans="1:3" x14ac:dyDescent="0.2">
      <c r="A880" s="1">
        <v>44795</v>
      </c>
      <c r="B880">
        <v>299.3</v>
      </c>
      <c r="C880" s="2">
        <f t="shared" si="14"/>
        <v>-2.7028672387919259E-2</v>
      </c>
    </row>
    <row r="881" spans="1:3" x14ac:dyDescent="0.2">
      <c r="A881" s="1">
        <v>44792</v>
      </c>
      <c r="B881">
        <v>307.5</v>
      </c>
      <c r="C881" s="2">
        <f t="shared" si="14"/>
        <v>-1.0030823468014196E-2</v>
      </c>
    </row>
    <row r="882" spans="1:3" x14ac:dyDescent="0.2">
      <c r="A882" s="1">
        <v>44791</v>
      </c>
      <c r="B882">
        <v>310.60000000000002</v>
      </c>
      <c r="C882" s="2">
        <f t="shared" si="14"/>
        <v>1.8850086902095598E-2</v>
      </c>
    </row>
    <row r="883" spans="1:3" x14ac:dyDescent="0.2">
      <c r="A883" s="1">
        <v>44790</v>
      </c>
      <c r="B883">
        <v>304.8</v>
      </c>
      <c r="C883" s="2">
        <f t="shared" si="14"/>
        <v>-8.1686453239477059E-3</v>
      </c>
    </row>
    <row r="884" spans="1:3" x14ac:dyDescent="0.2">
      <c r="A884" s="1">
        <v>44789</v>
      </c>
      <c r="B884">
        <v>307.3</v>
      </c>
      <c r="C884" s="2">
        <f t="shared" si="14"/>
        <v>1.7728632423646033E-2</v>
      </c>
    </row>
    <row r="885" spans="1:3" x14ac:dyDescent="0.2">
      <c r="A885" s="1">
        <v>44788</v>
      </c>
      <c r="B885">
        <v>301.89999999999998</v>
      </c>
      <c r="C885" s="2">
        <f t="shared" si="14"/>
        <v>2.653401225104852E-3</v>
      </c>
    </row>
    <row r="886" spans="1:3" x14ac:dyDescent="0.2">
      <c r="A886" s="1">
        <v>44785</v>
      </c>
      <c r="B886">
        <v>301.10000000000002</v>
      </c>
      <c r="C886" s="2">
        <f t="shared" si="14"/>
        <v>3.3217073881251969E-4</v>
      </c>
    </row>
    <row r="887" spans="1:3" x14ac:dyDescent="0.2">
      <c r="A887" s="1">
        <v>44784</v>
      </c>
      <c r="B887">
        <v>301</v>
      </c>
      <c r="C887" s="2">
        <f t="shared" si="14"/>
        <v>1.1023996727144977E-2</v>
      </c>
    </row>
    <row r="888" spans="1:3" x14ac:dyDescent="0.2">
      <c r="A888" s="1">
        <v>44783</v>
      </c>
      <c r="B888">
        <v>297.7</v>
      </c>
      <c r="C888" s="2">
        <f t="shared" si="14"/>
        <v>3.4863407784325534E-2</v>
      </c>
    </row>
    <row r="889" spans="1:3" x14ac:dyDescent="0.2">
      <c r="A889" s="1">
        <v>44782</v>
      </c>
      <c r="B889">
        <v>287.5</v>
      </c>
      <c r="C889" s="2">
        <f t="shared" si="14"/>
        <v>-1.0724890898777506E-2</v>
      </c>
    </row>
    <row r="890" spans="1:3" x14ac:dyDescent="0.2">
      <c r="A890" s="1">
        <v>44781</v>
      </c>
      <c r="B890">
        <v>290.60000000000002</v>
      </c>
      <c r="C890" s="2">
        <f t="shared" si="14"/>
        <v>2.3677986410240364E-2</v>
      </c>
    </row>
    <row r="891" spans="1:3" x14ac:dyDescent="0.2">
      <c r="A891" s="1">
        <v>44778</v>
      </c>
      <c r="B891">
        <v>283.8</v>
      </c>
      <c r="C891" s="2">
        <f t="shared" si="14"/>
        <v>-3.9383328000375105E-2</v>
      </c>
    </row>
    <row r="892" spans="1:3" x14ac:dyDescent="0.2">
      <c r="A892" s="1">
        <v>44777</v>
      </c>
      <c r="B892">
        <v>295.2</v>
      </c>
      <c r="C892" s="2">
        <f t="shared" si="14"/>
        <v>2.0345886977874567E-3</v>
      </c>
    </row>
    <row r="893" spans="1:3" x14ac:dyDescent="0.2">
      <c r="A893" s="1">
        <v>44776</v>
      </c>
      <c r="B893">
        <v>294.60000000000002</v>
      </c>
      <c r="C893" s="2">
        <f t="shared" si="14"/>
        <v>-5.0787310790156867E-3</v>
      </c>
    </row>
    <row r="894" spans="1:3" x14ac:dyDescent="0.2">
      <c r="A894" s="1">
        <v>44775</v>
      </c>
      <c r="B894">
        <v>296.10000000000002</v>
      </c>
      <c r="C894" s="2">
        <f t="shared" si="14"/>
        <v>-7.402456413157235E-3</v>
      </c>
    </row>
    <row r="895" spans="1:3" x14ac:dyDescent="0.2">
      <c r="A895" s="1">
        <v>44774</v>
      </c>
      <c r="B895">
        <v>298.3</v>
      </c>
      <c r="C895" s="2">
        <f t="shared" si="14"/>
        <v>-1.2327325854166722E-2</v>
      </c>
    </row>
    <row r="896" spans="1:3" x14ac:dyDescent="0.2">
      <c r="A896" s="1">
        <v>44771</v>
      </c>
      <c r="B896">
        <v>302</v>
      </c>
      <c r="C896" s="2">
        <f t="shared" si="14"/>
        <v>1.4340749353138912E-2</v>
      </c>
    </row>
    <row r="897" spans="1:3" x14ac:dyDescent="0.2">
      <c r="A897" s="1">
        <v>44770</v>
      </c>
      <c r="B897">
        <v>297.7</v>
      </c>
      <c r="C897" s="2">
        <f t="shared" si="14"/>
        <v>2.1046262231183648E-2</v>
      </c>
    </row>
    <row r="898" spans="1:3" x14ac:dyDescent="0.2">
      <c r="A898" s="1">
        <v>44769</v>
      </c>
      <c r="B898">
        <v>291.5</v>
      </c>
      <c r="C898" s="2">
        <f t="shared" si="14"/>
        <v>-2.0562036031483428E-3</v>
      </c>
    </row>
    <row r="899" spans="1:3" x14ac:dyDescent="0.2">
      <c r="A899" s="1">
        <v>44768</v>
      </c>
      <c r="B899">
        <v>292.10000000000002</v>
      </c>
      <c r="C899" s="2">
        <f t="shared" ref="C899:C962" si="15">+LN(B899/B900)</f>
        <v>-6.143364031176185E-3</v>
      </c>
    </row>
    <row r="900" spans="1:3" x14ac:dyDescent="0.2">
      <c r="A900" s="1">
        <v>44767</v>
      </c>
      <c r="B900">
        <v>293.89999999999998</v>
      </c>
      <c r="C900" s="2">
        <f t="shared" si="15"/>
        <v>-1.6869495865020526E-2</v>
      </c>
    </row>
    <row r="901" spans="1:3" x14ac:dyDescent="0.2">
      <c r="A901" s="1">
        <v>44764</v>
      </c>
      <c r="B901">
        <v>298.89999999999998</v>
      </c>
      <c r="C901" s="2">
        <f t="shared" si="15"/>
        <v>3.3512095706556707E-3</v>
      </c>
    </row>
    <row r="902" spans="1:3" x14ac:dyDescent="0.2">
      <c r="A902" s="1">
        <v>44763</v>
      </c>
      <c r="B902">
        <v>297.89999999999998</v>
      </c>
      <c r="C902" s="2">
        <f t="shared" si="15"/>
        <v>2.860256270618668E-2</v>
      </c>
    </row>
    <row r="903" spans="1:3" x14ac:dyDescent="0.2">
      <c r="A903" s="1">
        <v>44762</v>
      </c>
      <c r="B903">
        <v>289.5</v>
      </c>
      <c r="C903" s="2">
        <f t="shared" si="15"/>
        <v>7.2700699242477157E-2</v>
      </c>
    </row>
    <row r="904" spans="1:3" x14ac:dyDescent="0.2">
      <c r="A904" s="1">
        <v>44761</v>
      </c>
      <c r="B904">
        <v>269.2</v>
      </c>
      <c r="C904" s="2">
        <f t="shared" si="15"/>
        <v>2.1780808461392014E-2</v>
      </c>
    </row>
    <row r="905" spans="1:3" x14ac:dyDescent="0.2">
      <c r="A905" s="1">
        <v>44760</v>
      </c>
      <c r="B905">
        <v>263.39999999999998</v>
      </c>
      <c r="C905" s="2">
        <f t="shared" si="15"/>
        <v>1.3376847661736026E-2</v>
      </c>
    </row>
    <row r="906" spans="1:3" x14ac:dyDescent="0.2">
      <c r="A906" s="1">
        <v>44757</v>
      </c>
      <c r="B906">
        <v>259.89999999999998</v>
      </c>
      <c r="C906" s="2">
        <f t="shared" si="15"/>
        <v>2.2962674628907997E-2</v>
      </c>
    </row>
    <row r="907" spans="1:3" x14ac:dyDescent="0.2">
      <c r="A907" s="1">
        <v>44756</v>
      </c>
      <c r="B907">
        <v>254</v>
      </c>
      <c r="C907" s="2">
        <f t="shared" si="15"/>
        <v>-9.7943975922876979E-3</v>
      </c>
    </row>
    <row r="908" spans="1:3" x14ac:dyDescent="0.2">
      <c r="A908" s="1">
        <v>44755</v>
      </c>
      <c r="B908">
        <v>256.5</v>
      </c>
      <c r="C908" s="2">
        <f t="shared" si="15"/>
        <v>-2.6545124698356359E-2</v>
      </c>
    </row>
    <row r="909" spans="1:3" x14ac:dyDescent="0.2">
      <c r="A909" s="1">
        <v>44754</v>
      </c>
      <c r="B909">
        <v>263.39999999999998</v>
      </c>
      <c r="C909" s="2">
        <f t="shared" si="15"/>
        <v>1.1396012629333525E-3</v>
      </c>
    </row>
    <row r="910" spans="1:3" x14ac:dyDescent="0.2">
      <c r="A910" s="1">
        <v>44753</v>
      </c>
      <c r="B910">
        <v>263.10000000000002</v>
      </c>
      <c r="C910" s="2">
        <f t="shared" si="15"/>
        <v>-1.3965125995221508E-2</v>
      </c>
    </row>
    <row r="911" spans="1:3" x14ac:dyDescent="0.2">
      <c r="A911" s="1">
        <v>44750</v>
      </c>
      <c r="B911">
        <v>266.8</v>
      </c>
      <c r="C911" s="2">
        <f t="shared" si="15"/>
        <v>6.015055729761189E-3</v>
      </c>
    </row>
    <row r="912" spans="1:3" x14ac:dyDescent="0.2">
      <c r="A912" s="1">
        <v>44749</v>
      </c>
      <c r="B912">
        <v>265.2</v>
      </c>
      <c r="C912" s="2">
        <f t="shared" si="15"/>
        <v>3.7653314713268445E-2</v>
      </c>
    </row>
    <row r="913" spans="1:3" x14ac:dyDescent="0.2">
      <c r="A913" s="1">
        <v>44748</v>
      </c>
      <c r="B913">
        <v>255.4</v>
      </c>
      <c r="C913" s="2">
        <f t="shared" si="15"/>
        <v>1.1023733682048292E-2</v>
      </c>
    </row>
    <row r="914" spans="1:3" x14ac:dyDescent="0.2">
      <c r="A914" s="1">
        <v>44747</v>
      </c>
      <c r="B914">
        <v>252.6</v>
      </c>
      <c r="C914" s="2">
        <f t="shared" si="15"/>
        <v>3.1720883061439791E-3</v>
      </c>
    </row>
    <row r="915" spans="1:3" x14ac:dyDescent="0.2">
      <c r="A915" s="1">
        <v>44746</v>
      </c>
      <c r="B915">
        <v>251.8</v>
      </c>
      <c r="C915" s="2">
        <f t="shared" si="15"/>
        <v>2.2084816483754599E-2</v>
      </c>
    </row>
    <row r="916" spans="1:3" x14ac:dyDescent="0.2">
      <c r="A916" s="1">
        <v>44743</v>
      </c>
      <c r="B916">
        <v>246.3</v>
      </c>
      <c r="C916" s="2">
        <f t="shared" si="15"/>
        <v>-1.2172856037516375E-3</v>
      </c>
    </row>
    <row r="917" spans="1:3" x14ac:dyDescent="0.2">
      <c r="A917" s="1">
        <v>44742</v>
      </c>
      <c r="B917">
        <v>246.6</v>
      </c>
      <c r="C917" s="2">
        <f t="shared" si="15"/>
        <v>-2.641209953977719E-2</v>
      </c>
    </row>
    <row r="918" spans="1:3" x14ac:dyDescent="0.2">
      <c r="A918" s="1">
        <v>44741</v>
      </c>
      <c r="B918">
        <v>253.2</v>
      </c>
      <c r="C918" s="2">
        <f t="shared" si="15"/>
        <v>-1.4896394625198735E-2</v>
      </c>
    </row>
    <row r="919" spans="1:3" x14ac:dyDescent="0.2">
      <c r="A919" s="1">
        <v>44740</v>
      </c>
      <c r="B919">
        <v>257</v>
      </c>
      <c r="C919" s="2">
        <f t="shared" si="15"/>
        <v>-3.4958279920791883E-3</v>
      </c>
    </row>
    <row r="920" spans="1:3" x14ac:dyDescent="0.2">
      <c r="A920" s="1">
        <v>44739</v>
      </c>
      <c r="B920">
        <v>257.89999999999998</v>
      </c>
      <c r="C920" s="2">
        <f t="shared" si="15"/>
        <v>4.6021607760806785E-2</v>
      </c>
    </row>
    <row r="921" spans="1:3" x14ac:dyDescent="0.2">
      <c r="A921" s="1">
        <v>44735</v>
      </c>
      <c r="B921">
        <v>246.3</v>
      </c>
      <c r="C921" s="2">
        <f t="shared" si="15"/>
        <v>-1.4510532714414465E-2</v>
      </c>
    </row>
    <row r="922" spans="1:3" x14ac:dyDescent="0.2">
      <c r="A922" s="1">
        <v>44734</v>
      </c>
      <c r="B922">
        <v>249.9</v>
      </c>
      <c r="C922" s="2">
        <f t="shared" si="15"/>
        <v>-1.3908430046132E-2</v>
      </c>
    </row>
    <row r="923" spans="1:3" x14ac:dyDescent="0.2">
      <c r="A923" s="1">
        <v>44733</v>
      </c>
      <c r="B923">
        <v>253.4</v>
      </c>
      <c r="C923" s="2">
        <f t="shared" si="15"/>
        <v>1.0712262722790973E-2</v>
      </c>
    </row>
    <row r="924" spans="1:3" x14ac:dyDescent="0.2">
      <c r="A924" s="1">
        <v>44732</v>
      </c>
      <c r="B924">
        <v>250.7</v>
      </c>
      <c r="C924" s="2">
        <f t="shared" si="15"/>
        <v>-1.9924294297959172E-3</v>
      </c>
    </row>
    <row r="925" spans="1:3" x14ac:dyDescent="0.2">
      <c r="A925" s="1">
        <v>44729</v>
      </c>
      <c r="B925">
        <v>251.2</v>
      </c>
      <c r="C925" s="2">
        <f t="shared" si="15"/>
        <v>0</v>
      </c>
    </row>
    <row r="926" spans="1:3" x14ac:dyDescent="0.2">
      <c r="A926" s="1">
        <v>44728</v>
      </c>
      <c r="B926">
        <v>251.2</v>
      </c>
      <c r="C926" s="2">
        <f t="shared" si="15"/>
        <v>-1.9884675472265348E-3</v>
      </c>
    </row>
    <row r="927" spans="1:3" x14ac:dyDescent="0.2">
      <c r="A927" s="1">
        <v>44727</v>
      </c>
      <c r="B927">
        <v>251.7</v>
      </c>
      <c r="C927" s="2">
        <f t="shared" si="15"/>
        <v>3.1069676848068366E-2</v>
      </c>
    </row>
    <row r="928" spans="1:3" x14ac:dyDescent="0.2">
      <c r="A928" s="1">
        <v>44726</v>
      </c>
      <c r="B928">
        <v>244</v>
      </c>
      <c r="C928" s="2">
        <f t="shared" si="15"/>
        <v>-8.5697321038083335E-3</v>
      </c>
    </row>
    <row r="929" spans="1:3" x14ac:dyDescent="0.2">
      <c r="A929" s="1">
        <v>44725</v>
      </c>
      <c r="B929">
        <v>246.1</v>
      </c>
      <c r="C929" s="2">
        <f t="shared" si="15"/>
        <v>-2.8403346342226565E-3</v>
      </c>
    </row>
    <row r="930" spans="1:3" x14ac:dyDescent="0.2">
      <c r="A930" s="1">
        <v>44722</v>
      </c>
      <c r="B930">
        <v>246.8</v>
      </c>
      <c r="C930" s="2">
        <f t="shared" si="15"/>
        <v>-4.2441428072558081E-2</v>
      </c>
    </row>
    <row r="931" spans="1:3" x14ac:dyDescent="0.2">
      <c r="A931" s="1">
        <v>44721</v>
      </c>
      <c r="B931">
        <v>257.5</v>
      </c>
      <c r="C931" s="2">
        <f t="shared" si="15"/>
        <v>-1.6179089432309269E-2</v>
      </c>
    </row>
    <row r="932" spans="1:3" x14ac:dyDescent="0.2">
      <c r="A932" s="1">
        <v>44720</v>
      </c>
      <c r="B932">
        <v>261.7</v>
      </c>
      <c r="C932" s="2">
        <f t="shared" si="15"/>
        <v>-1.9087617934993436E-3</v>
      </c>
    </row>
    <row r="933" spans="1:3" x14ac:dyDescent="0.2">
      <c r="A933" s="1">
        <v>44719</v>
      </c>
      <c r="B933">
        <v>262.2</v>
      </c>
      <c r="C933" s="2">
        <f t="shared" si="15"/>
        <v>-1.9264051815273988E-2</v>
      </c>
    </row>
    <row r="934" spans="1:3" x14ac:dyDescent="0.2">
      <c r="A934" s="1">
        <v>44715</v>
      </c>
      <c r="B934">
        <v>267.3</v>
      </c>
      <c r="C934" s="2">
        <f t="shared" si="15"/>
        <v>-1.3008917893246571E-2</v>
      </c>
    </row>
    <row r="935" spans="1:3" x14ac:dyDescent="0.2">
      <c r="A935" s="1">
        <v>44714</v>
      </c>
      <c r="B935">
        <v>270.8</v>
      </c>
      <c r="C935" s="2">
        <f t="shared" si="15"/>
        <v>3.877767984469839E-2</v>
      </c>
    </row>
    <row r="936" spans="1:3" x14ac:dyDescent="0.2">
      <c r="A936" s="1">
        <v>44713</v>
      </c>
      <c r="B936">
        <v>260.5</v>
      </c>
      <c r="C936" s="2">
        <f t="shared" si="15"/>
        <v>-1.1829941434930588E-2</v>
      </c>
    </row>
    <row r="937" spans="1:3" x14ac:dyDescent="0.2">
      <c r="A937" s="1">
        <v>44712</v>
      </c>
      <c r="B937">
        <v>263.60000000000002</v>
      </c>
      <c r="C937" s="2">
        <f t="shared" si="15"/>
        <v>9.9123953056587388E-3</v>
      </c>
    </row>
    <row r="938" spans="1:3" x14ac:dyDescent="0.2">
      <c r="A938" s="1">
        <v>44711</v>
      </c>
      <c r="B938">
        <v>261</v>
      </c>
      <c r="C938" s="2">
        <f t="shared" si="15"/>
        <v>3.0340717052672436E-2</v>
      </c>
    </row>
    <row r="939" spans="1:3" x14ac:dyDescent="0.2">
      <c r="A939" s="1">
        <v>44708</v>
      </c>
      <c r="B939">
        <v>253.2</v>
      </c>
      <c r="C939" s="2">
        <f t="shared" si="15"/>
        <v>7.5445602316079594E-2</v>
      </c>
    </row>
    <row r="940" spans="1:3" x14ac:dyDescent="0.2">
      <c r="A940" s="1">
        <v>44706</v>
      </c>
      <c r="B940">
        <v>234.8</v>
      </c>
      <c r="C940" s="2">
        <f t="shared" si="15"/>
        <v>-4.8222143705423305E-2</v>
      </c>
    </row>
    <row r="941" spans="1:3" x14ac:dyDescent="0.2">
      <c r="A941" s="1">
        <v>44705</v>
      </c>
      <c r="B941">
        <v>246.4</v>
      </c>
      <c r="C941" s="2">
        <f t="shared" si="15"/>
        <v>-2.9984257051268084E-2</v>
      </c>
    </row>
    <row r="942" spans="1:3" x14ac:dyDescent="0.2">
      <c r="A942" s="1">
        <v>44704</v>
      </c>
      <c r="B942">
        <v>253.9</v>
      </c>
      <c r="C942" s="2">
        <f t="shared" si="15"/>
        <v>1.3481568185713177E-2</v>
      </c>
    </row>
    <row r="943" spans="1:3" x14ac:dyDescent="0.2">
      <c r="A943" s="1">
        <v>44701</v>
      </c>
      <c r="B943">
        <v>250.5</v>
      </c>
      <c r="C943" s="2">
        <f t="shared" si="15"/>
        <v>-1.5448910941047601E-2</v>
      </c>
    </row>
    <row r="944" spans="1:3" x14ac:dyDescent="0.2">
      <c r="A944" s="1">
        <v>44700</v>
      </c>
      <c r="B944">
        <v>254.4</v>
      </c>
      <c r="C944" s="2">
        <f t="shared" si="15"/>
        <v>-1.5710922320412123E-3</v>
      </c>
    </row>
    <row r="945" spans="1:3" x14ac:dyDescent="0.2">
      <c r="A945" s="1">
        <v>44699</v>
      </c>
      <c r="B945">
        <v>254.8</v>
      </c>
      <c r="C945" s="2">
        <f t="shared" si="15"/>
        <v>-1.3255554714533732E-2</v>
      </c>
    </row>
    <row r="946" spans="1:3" x14ac:dyDescent="0.2">
      <c r="A946" s="1">
        <v>44698</v>
      </c>
      <c r="B946">
        <v>258.2</v>
      </c>
      <c r="C946" s="2">
        <f t="shared" si="15"/>
        <v>1.4040792289235998E-2</v>
      </c>
    </row>
    <row r="947" spans="1:3" x14ac:dyDescent="0.2">
      <c r="A947" s="1">
        <v>44697</v>
      </c>
      <c r="B947">
        <v>254.6</v>
      </c>
      <c r="C947" s="2">
        <f t="shared" si="15"/>
        <v>-1.4815085785140587E-2</v>
      </c>
    </row>
    <row r="948" spans="1:3" x14ac:dyDescent="0.2">
      <c r="A948" s="1">
        <v>44694</v>
      </c>
      <c r="B948">
        <v>258.39999999999998</v>
      </c>
      <c r="C948" s="2">
        <f t="shared" si="15"/>
        <v>4.2660526207481597E-3</v>
      </c>
    </row>
    <row r="949" spans="1:3" x14ac:dyDescent="0.2">
      <c r="A949" s="1">
        <v>44693</v>
      </c>
      <c r="B949">
        <v>257.3</v>
      </c>
      <c r="C949" s="2">
        <f t="shared" si="15"/>
        <v>4.28432982506473E-3</v>
      </c>
    </row>
    <row r="950" spans="1:3" x14ac:dyDescent="0.2">
      <c r="A950" s="1">
        <v>44692</v>
      </c>
      <c r="B950">
        <v>256.2</v>
      </c>
      <c r="C950" s="2">
        <f t="shared" si="15"/>
        <v>2.9309028597609366E-2</v>
      </c>
    </row>
    <row r="951" spans="1:3" x14ac:dyDescent="0.2">
      <c r="A951" s="1">
        <v>44691</v>
      </c>
      <c r="B951">
        <v>248.8</v>
      </c>
      <c r="C951" s="2">
        <f t="shared" si="15"/>
        <v>1.6090108057006858E-3</v>
      </c>
    </row>
    <row r="952" spans="1:3" x14ac:dyDescent="0.2">
      <c r="A952" s="1">
        <v>44690</v>
      </c>
      <c r="B952">
        <v>248.4</v>
      </c>
      <c r="C952" s="2">
        <f t="shared" si="15"/>
        <v>-2.9746393106419404E-2</v>
      </c>
    </row>
    <row r="953" spans="1:3" x14ac:dyDescent="0.2">
      <c r="A953" s="1">
        <v>44687</v>
      </c>
      <c r="B953">
        <v>255.9</v>
      </c>
      <c r="C953" s="2">
        <f t="shared" si="15"/>
        <v>-8.5603635588251317E-3</v>
      </c>
    </row>
    <row r="954" spans="1:3" x14ac:dyDescent="0.2">
      <c r="A954" s="1">
        <v>44686</v>
      </c>
      <c r="B954">
        <v>258.10000000000002</v>
      </c>
      <c r="C954" s="2">
        <f t="shared" si="15"/>
        <v>-2.3737714885675238E-2</v>
      </c>
    </row>
    <row r="955" spans="1:3" x14ac:dyDescent="0.2">
      <c r="A955" s="1">
        <v>44685</v>
      </c>
      <c r="B955">
        <v>264.3</v>
      </c>
      <c r="C955" s="2">
        <f t="shared" si="15"/>
        <v>-2.2817522558565357E-2</v>
      </c>
    </row>
    <row r="956" spans="1:3" x14ac:dyDescent="0.2">
      <c r="A956" s="1">
        <v>44684</v>
      </c>
      <c r="B956">
        <v>270.39999999999998</v>
      </c>
      <c r="C956" s="2">
        <f t="shared" si="15"/>
        <v>1.7534491403041252E-2</v>
      </c>
    </row>
    <row r="957" spans="1:3" x14ac:dyDescent="0.2">
      <c r="A957" s="1">
        <v>44683</v>
      </c>
      <c r="B957">
        <v>265.7</v>
      </c>
      <c r="C957" s="2">
        <f t="shared" si="15"/>
        <v>-4.128857741114831E-2</v>
      </c>
    </row>
    <row r="958" spans="1:3" x14ac:dyDescent="0.2">
      <c r="A958" s="1">
        <v>44680</v>
      </c>
      <c r="B958">
        <v>276.89999999999998</v>
      </c>
      <c r="C958" s="2">
        <f t="shared" si="15"/>
        <v>-3.604906571541903E-3</v>
      </c>
    </row>
    <row r="959" spans="1:3" x14ac:dyDescent="0.2">
      <c r="A959" s="1">
        <v>44679</v>
      </c>
      <c r="B959">
        <v>277.89999999999998</v>
      </c>
      <c r="C959" s="2">
        <f t="shared" si="15"/>
        <v>2.9580392974802375E-2</v>
      </c>
    </row>
    <row r="960" spans="1:3" x14ac:dyDescent="0.2">
      <c r="A960" s="1">
        <v>44678</v>
      </c>
      <c r="B960">
        <v>269.8</v>
      </c>
      <c r="C960" s="2">
        <f t="shared" si="15"/>
        <v>-1.8362616574538717E-2</v>
      </c>
    </row>
    <row r="961" spans="1:3" x14ac:dyDescent="0.2">
      <c r="A961" s="1">
        <v>44677</v>
      </c>
      <c r="B961">
        <v>274.8</v>
      </c>
      <c r="C961" s="2">
        <f t="shared" si="15"/>
        <v>-0.12278425605080731</v>
      </c>
    </row>
    <row r="962" spans="1:3" x14ac:dyDescent="0.2">
      <c r="A962" s="1">
        <v>44676</v>
      </c>
      <c r="B962">
        <v>310.7</v>
      </c>
      <c r="C962" s="2">
        <f t="shared" si="15"/>
        <v>-2.4480637571226246E-2</v>
      </c>
    </row>
    <row r="963" spans="1:3" x14ac:dyDescent="0.2">
      <c r="A963" s="1">
        <v>44673</v>
      </c>
      <c r="B963">
        <v>318.39999999999998</v>
      </c>
      <c r="C963" s="2">
        <f t="shared" ref="C963:C1026" si="16">+LN(B963/B964)</f>
        <v>-2.9705154413915809E-2</v>
      </c>
    </row>
    <row r="964" spans="1:3" x14ac:dyDescent="0.2">
      <c r="A964" s="1">
        <v>44672</v>
      </c>
      <c r="B964">
        <v>328</v>
      </c>
      <c r="C964" s="2">
        <f t="shared" si="16"/>
        <v>3.9806250400419789E-2</v>
      </c>
    </row>
    <row r="965" spans="1:3" x14ac:dyDescent="0.2">
      <c r="A965" s="1">
        <v>44671</v>
      </c>
      <c r="B965">
        <v>315.2</v>
      </c>
      <c r="C965" s="2">
        <f t="shared" si="16"/>
        <v>1.3414445804489968E-2</v>
      </c>
    </row>
    <row r="966" spans="1:3" x14ac:dyDescent="0.2">
      <c r="A966" s="1">
        <v>44670</v>
      </c>
      <c r="B966">
        <v>311</v>
      </c>
      <c r="C966" s="2">
        <f t="shared" si="16"/>
        <v>7.099094028613054E-3</v>
      </c>
    </row>
    <row r="967" spans="1:3" x14ac:dyDescent="0.2">
      <c r="A967" s="1">
        <v>44665</v>
      </c>
      <c r="B967">
        <v>308.8</v>
      </c>
      <c r="C967" s="2">
        <f t="shared" si="16"/>
        <v>3.5685358226251159E-3</v>
      </c>
    </row>
    <row r="968" spans="1:3" x14ac:dyDescent="0.2">
      <c r="A968" s="1">
        <v>44664</v>
      </c>
      <c r="B968">
        <v>307.7</v>
      </c>
      <c r="C968" s="2">
        <f t="shared" si="16"/>
        <v>-1.3877905481486276E-2</v>
      </c>
    </row>
    <row r="969" spans="1:3" x14ac:dyDescent="0.2">
      <c r="A969" s="1">
        <v>44663</v>
      </c>
      <c r="B969">
        <v>312</v>
      </c>
      <c r="C969" s="2">
        <f t="shared" si="16"/>
        <v>1.2828738128891231E-3</v>
      </c>
    </row>
    <row r="970" spans="1:3" x14ac:dyDescent="0.2">
      <c r="A970" s="1">
        <v>44662</v>
      </c>
      <c r="B970">
        <v>311.60000000000002</v>
      </c>
      <c r="C970" s="2">
        <f t="shared" si="16"/>
        <v>-2.4097551579060416E-2</v>
      </c>
    </row>
    <row r="971" spans="1:3" x14ac:dyDescent="0.2">
      <c r="A971" s="1">
        <v>44659</v>
      </c>
      <c r="B971">
        <v>319.2</v>
      </c>
      <c r="C971" s="2">
        <f t="shared" si="16"/>
        <v>4.7103243001831337E-3</v>
      </c>
    </row>
    <row r="972" spans="1:3" x14ac:dyDescent="0.2">
      <c r="A972" s="1">
        <v>44658</v>
      </c>
      <c r="B972">
        <v>317.7</v>
      </c>
      <c r="C972" s="2">
        <f t="shared" si="16"/>
        <v>8.5349024498372859E-3</v>
      </c>
    </row>
    <row r="973" spans="1:3" x14ac:dyDescent="0.2">
      <c r="A973" s="1">
        <v>44657</v>
      </c>
      <c r="B973">
        <v>315</v>
      </c>
      <c r="C973" s="2">
        <f t="shared" si="16"/>
        <v>-2.3530497410194161E-2</v>
      </c>
    </row>
    <row r="974" spans="1:3" x14ac:dyDescent="0.2">
      <c r="A974" s="1">
        <v>44656</v>
      </c>
      <c r="B974">
        <v>322.5</v>
      </c>
      <c r="C974" s="2">
        <f t="shared" si="16"/>
        <v>-5.874186005430629E-3</v>
      </c>
    </row>
    <row r="975" spans="1:3" x14ac:dyDescent="0.2">
      <c r="A975" s="1">
        <v>44655</v>
      </c>
      <c r="B975">
        <v>324.39999999999998</v>
      </c>
      <c r="C975" s="2">
        <f t="shared" si="16"/>
        <v>-1.1950502266289272E-2</v>
      </c>
    </row>
    <row r="976" spans="1:3" x14ac:dyDescent="0.2">
      <c r="A976" s="1">
        <v>44652</v>
      </c>
      <c r="B976">
        <v>328.3</v>
      </c>
      <c r="C976" s="2">
        <f t="shared" si="16"/>
        <v>9.1799910282413071E-3</v>
      </c>
    </row>
    <row r="977" spans="1:3" x14ac:dyDescent="0.2">
      <c r="A977" s="1">
        <v>44651</v>
      </c>
      <c r="B977">
        <v>325.3</v>
      </c>
      <c r="C977" s="2">
        <f t="shared" si="16"/>
        <v>2.3640292203835452E-2</v>
      </c>
    </row>
    <row r="978" spans="1:3" x14ac:dyDescent="0.2">
      <c r="A978" s="1">
        <v>44650</v>
      </c>
      <c r="B978">
        <v>317.7</v>
      </c>
      <c r="C978" s="2">
        <f t="shared" si="16"/>
        <v>-1.2511892969510181E-2</v>
      </c>
    </row>
    <row r="979" spans="1:3" x14ac:dyDescent="0.2">
      <c r="A979" s="1">
        <v>44649</v>
      </c>
      <c r="B979">
        <v>321.7</v>
      </c>
      <c r="C979" s="2">
        <f t="shared" si="16"/>
        <v>3.7047136765788607E-2</v>
      </c>
    </row>
    <row r="980" spans="1:3" x14ac:dyDescent="0.2">
      <c r="A980" s="1">
        <v>44648</v>
      </c>
      <c r="B980">
        <v>310</v>
      </c>
      <c r="C980" s="2">
        <f t="shared" si="16"/>
        <v>2.3169579446000423E-2</v>
      </c>
    </row>
    <row r="981" spans="1:3" x14ac:dyDescent="0.2">
      <c r="A981" s="1">
        <v>44645</v>
      </c>
      <c r="B981">
        <v>302.89999999999998</v>
      </c>
      <c r="C981" s="2">
        <f t="shared" si="16"/>
        <v>-4.6129771727501295E-2</v>
      </c>
    </row>
    <row r="982" spans="1:3" x14ac:dyDescent="0.2">
      <c r="A982" s="1">
        <v>44644</v>
      </c>
      <c r="B982">
        <v>317.2</v>
      </c>
      <c r="C982" s="2">
        <f t="shared" si="16"/>
        <v>-5.6586130241517039E-3</v>
      </c>
    </row>
    <row r="983" spans="1:3" x14ac:dyDescent="0.2">
      <c r="A983" s="1">
        <v>44643</v>
      </c>
      <c r="B983">
        <v>319</v>
      </c>
      <c r="C983" s="2">
        <f t="shared" si="16"/>
        <v>4.7132844520981366E-3</v>
      </c>
    </row>
    <row r="984" spans="1:3" x14ac:dyDescent="0.2">
      <c r="A984" s="1">
        <v>44642</v>
      </c>
      <c r="B984">
        <v>317.5</v>
      </c>
      <c r="C984" s="2">
        <f t="shared" si="16"/>
        <v>-3.7724030905443365E-3</v>
      </c>
    </row>
    <row r="985" spans="1:3" x14ac:dyDescent="0.2">
      <c r="A985" s="1">
        <v>44641</v>
      </c>
      <c r="B985">
        <v>318.7</v>
      </c>
      <c r="C985" s="2">
        <f t="shared" si="16"/>
        <v>-5.6320549374340783E-3</v>
      </c>
    </row>
    <row r="986" spans="1:3" x14ac:dyDescent="0.2">
      <c r="A986" s="1">
        <v>44638</v>
      </c>
      <c r="B986">
        <v>320.5</v>
      </c>
      <c r="C986" s="2">
        <f t="shared" si="16"/>
        <v>3.7511766399884673E-3</v>
      </c>
    </row>
    <row r="987" spans="1:3" x14ac:dyDescent="0.2">
      <c r="A987" s="1">
        <v>44637</v>
      </c>
      <c r="B987">
        <v>319.3</v>
      </c>
      <c r="C987" s="2">
        <f t="shared" si="16"/>
        <v>-2.9318563461288468E-2</v>
      </c>
    </row>
    <row r="988" spans="1:3" x14ac:dyDescent="0.2">
      <c r="A988" s="1">
        <v>44636</v>
      </c>
      <c r="B988">
        <v>328.8</v>
      </c>
      <c r="C988" s="2">
        <f t="shared" si="16"/>
        <v>5.2446475372542524E-2</v>
      </c>
    </row>
    <row r="989" spans="1:3" x14ac:dyDescent="0.2">
      <c r="A989" s="1">
        <v>44635</v>
      </c>
      <c r="B989">
        <v>312</v>
      </c>
      <c r="C989" s="2">
        <f t="shared" si="16"/>
        <v>-4.7961722634930551E-3</v>
      </c>
    </row>
    <row r="990" spans="1:3" x14ac:dyDescent="0.2">
      <c r="A990" s="1">
        <v>44634</v>
      </c>
      <c r="B990">
        <v>313.5</v>
      </c>
      <c r="C990" s="2">
        <f t="shared" si="16"/>
        <v>4.7961722634930135E-3</v>
      </c>
    </row>
    <row r="991" spans="1:3" x14ac:dyDescent="0.2">
      <c r="A991" s="1">
        <v>44631</v>
      </c>
      <c r="B991">
        <v>312</v>
      </c>
      <c r="C991" s="2">
        <f t="shared" si="16"/>
        <v>2.4989130906556901E-2</v>
      </c>
    </row>
    <row r="992" spans="1:3" x14ac:dyDescent="0.2">
      <c r="A992" s="1">
        <v>44630</v>
      </c>
      <c r="B992">
        <v>304.3</v>
      </c>
      <c r="C992" s="2">
        <f t="shared" si="16"/>
        <v>-2.29771970448618E-3</v>
      </c>
    </row>
    <row r="993" spans="1:3" x14ac:dyDescent="0.2">
      <c r="A993" s="1">
        <v>44629</v>
      </c>
      <c r="B993">
        <v>305</v>
      </c>
      <c r="C993" s="2">
        <f t="shared" si="16"/>
        <v>1.9533810971509313E-2</v>
      </c>
    </row>
    <row r="994" spans="1:3" x14ac:dyDescent="0.2">
      <c r="A994" s="1">
        <v>44628</v>
      </c>
      <c r="B994">
        <v>299.10000000000002</v>
      </c>
      <c r="C994" s="2">
        <f t="shared" si="16"/>
        <v>-1.6702860071620956E-3</v>
      </c>
    </row>
    <row r="995" spans="1:3" x14ac:dyDescent="0.2">
      <c r="A995" s="1">
        <v>44627</v>
      </c>
      <c r="B995">
        <v>299.60000000000002</v>
      </c>
      <c r="C995" s="2">
        <f t="shared" si="16"/>
        <v>3.0500500506881786E-2</v>
      </c>
    </row>
    <row r="996" spans="1:3" x14ac:dyDescent="0.2">
      <c r="A996" s="1">
        <v>44624</v>
      </c>
      <c r="B996">
        <v>290.60000000000002</v>
      </c>
      <c r="C996" s="2">
        <f t="shared" si="16"/>
        <v>-5.2943686730253597E-2</v>
      </c>
    </row>
    <row r="997" spans="1:3" x14ac:dyDescent="0.2">
      <c r="A997" s="1">
        <v>44623</v>
      </c>
      <c r="B997">
        <v>306.39999999999998</v>
      </c>
      <c r="C997" s="2">
        <f t="shared" si="16"/>
        <v>-2.7998610896792776E-2</v>
      </c>
    </row>
    <row r="998" spans="1:3" x14ac:dyDescent="0.2">
      <c r="A998" s="1">
        <v>44622</v>
      </c>
      <c r="B998">
        <v>315.10000000000002</v>
      </c>
      <c r="C998" s="2">
        <f t="shared" si="16"/>
        <v>3.6520458601556553E-2</v>
      </c>
    </row>
    <row r="999" spans="1:3" x14ac:dyDescent="0.2">
      <c r="A999" s="1">
        <v>44621</v>
      </c>
      <c r="B999">
        <v>303.8</v>
      </c>
      <c r="C999" s="2">
        <f t="shared" si="16"/>
        <v>-2.0202707317519466E-2</v>
      </c>
    </row>
    <row r="1000" spans="1:3" x14ac:dyDescent="0.2">
      <c r="A1000" s="1">
        <v>44620</v>
      </c>
      <c r="B1000">
        <v>310</v>
      </c>
      <c r="C1000" s="2">
        <f t="shared" si="16"/>
        <v>2.4491020008295696E-2</v>
      </c>
    </row>
    <row r="1001" spans="1:3" x14ac:dyDescent="0.2">
      <c r="A1001" s="1">
        <v>44617</v>
      </c>
      <c r="B1001">
        <v>302.5</v>
      </c>
      <c r="C1001" s="2">
        <f t="shared" si="16"/>
        <v>4.1166406440311804E-2</v>
      </c>
    </row>
    <row r="1002" spans="1:3" x14ac:dyDescent="0.2">
      <c r="A1002" s="1">
        <v>44616</v>
      </c>
      <c r="B1002">
        <v>290.3</v>
      </c>
      <c r="C1002" s="2">
        <f t="shared" si="16"/>
        <v>0</v>
      </c>
    </row>
    <row r="1003" spans="1:3" x14ac:dyDescent="0.2">
      <c r="A1003" s="1">
        <v>44615</v>
      </c>
      <c r="B1003">
        <v>290.3</v>
      </c>
      <c r="C1003" s="2">
        <f t="shared" si="16"/>
        <v>-3.7820227305201495E-3</v>
      </c>
    </row>
    <row r="1004" spans="1:3" x14ac:dyDescent="0.2">
      <c r="A1004" s="1">
        <v>44614</v>
      </c>
      <c r="B1004">
        <v>291.39999999999998</v>
      </c>
      <c r="C1004" s="2">
        <f t="shared" si="16"/>
        <v>1.069528911674795E-2</v>
      </c>
    </row>
    <row r="1005" spans="1:3" x14ac:dyDescent="0.2">
      <c r="A1005" s="1">
        <v>44613</v>
      </c>
      <c r="B1005">
        <v>288.3</v>
      </c>
      <c r="C1005" s="2">
        <f t="shared" si="16"/>
        <v>-1.9237968780515067E-2</v>
      </c>
    </row>
    <row r="1006" spans="1:3" x14ac:dyDescent="0.2">
      <c r="A1006" s="1">
        <v>44610</v>
      </c>
      <c r="B1006">
        <v>293.89999999999998</v>
      </c>
      <c r="C1006" s="2">
        <f t="shared" si="16"/>
        <v>3.7497913377151654E-3</v>
      </c>
    </row>
    <row r="1007" spans="1:3" x14ac:dyDescent="0.2">
      <c r="A1007" s="1">
        <v>44609</v>
      </c>
      <c r="B1007">
        <v>292.8</v>
      </c>
      <c r="C1007" s="2">
        <f t="shared" si="16"/>
        <v>-6.1287219413733874E-3</v>
      </c>
    </row>
    <row r="1008" spans="1:3" x14ac:dyDescent="0.2">
      <c r="A1008" s="1">
        <v>44608</v>
      </c>
      <c r="B1008">
        <v>294.60000000000002</v>
      </c>
      <c r="C1008" s="2">
        <f t="shared" si="16"/>
        <v>3.395009368886576E-4</v>
      </c>
    </row>
    <row r="1009" spans="1:3" x14ac:dyDescent="0.2">
      <c r="A1009" s="1">
        <v>44607</v>
      </c>
      <c r="B1009">
        <v>294.5</v>
      </c>
      <c r="C1009" s="2">
        <f t="shared" si="16"/>
        <v>3.6304764930435364E-2</v>
      </c>
    </row>
    <row r="1010" spans="1:3" x14ac:dyDescent="0.2">
      <c r="A1010" s="1">
        <v>44606</v>
      </c>
      <c r="B1010">
        <v>284</v>
      </c>
      <c r="C1010" s="2">
        <f t="shared" si="16"/>
        <v>-1.9181058851843888E-2</v>
      </c>
    </row>
    <row r="1011" spans="1:3" x14ac:dyDescent="0.2">
      <c r="A1011" s="1">
        <v>44603</v>
      </c>
      <c r="B1011">
        <v>289.5</v>
      </c>
      <c r="C1011" s="2">
        <f t="shared" si="16"/>
        <v>-6.5415967480544927E-3</v>
      </c>
    </row>
    <row r="1012" spans="1:3" x14ac:dyDescent="0.2">
      <c r="A1012" s="1">
        <v>44602</v>
      </c>
      <c r="B1012">
        <v>291.39999999999998</v>
      </c>
      <c r="C1012" s="2">
        <f t="shared" si="16"/>
        <v>-1.19394220601261E-2</v>
      </c>
    </row>
    <row r="1013" spans="1:3" x14ac:dyDescent="0.2">
      <c r="A1013" s="1">
        <v>44601</v>
      </c>
      <c r="B1013">
        <v>294.89999999999998</v>
      </c>
      <c r="C1013" s="2">
        <f t="shared" si="16"/>
        <v>2.2287910410436648E-2</v>
      </c>
    </row>
    <row r="1014" spans="1:3" x14ac:dyDescent="0.2">
      <c r="A1014" s="1">
        <v>44600</v>
      </c>
      <c r="B1014">
        <v>288.39999999999998</v>
      </c>
      <c r="C1014" s="2">
        <f t="shared" si="16"/>
        <v>-2.0590981443927112E-2</v>
      </c>
    </row>
    <row r="1015" spans="1:3" x14ac:dyDescent="0.2">
      <c r="A1015" s="1">
        <v>44599</v>
      </c>
      <c r="B1015">
        <v>294.39999999999998</v>
      </c>
      <c r="C1015" s="2">
        <f t="shared" si="16"/>
        <v>-3.3909832425582567E-3</v>
      </c>
    </row>
    <row r="1016" spans="1:3" x14ac:dyDescent="0.2">
      <c r="A1016" s="1">
        <v>44596</v>
      </c>
      <c r="B1016">
        <v>295.39999999999998</v>
      </c>
      <c r="C1016" s="2">
        <f t="shared" si="16"/>
        <v>-2.902622458603971E-2</v>
      </c>
    </row>
    <row r="1017" spans="1:3" x14ac:dyDescent="0.2">
      <c r="A1017" s="1">
        <v>44595</v>
      </c>
      <c r="B1017">
        <v>304.10000000000002</v>
      </c>
      <c r="C1017" s="2">
        <f t="shared" si="16"/>
        <v>-2.884659585683421E-2</v>
      </c>
    </row>
    <row r="1018" spans="1:3" x14ac:dyDescent="0.2">
      <c r="A1018" s="1">
        <v>44594</v>
      </c>
      <c r="B1018">
        <v>313</v>
      </c>
      <c r="C1018" s="2">
        <f t="shared" si="16"/>
        <v>-1.3644508048996728E-2</v>
      </c>
    </row>
    <row r="1019" spans="1:3" x14ac:dyDescent="0.2">
      <c r="A1019" s="1">
        <v>44593</v>
      </c>
      <c r="B1019">
        <v>317.3</v>
      </c>
      <c r="C1019" s="2">
        <f t="shared" si="16"/>
        <v>1.844836036164213E-2</v>
      </c>
    </row>
    <row r="1020" spans="1:3" x14ac:dyDescent="0.2">
      <c r="A1020" s="1">
        <v>44592</v>
      </c>
      <c r="B1020">
        <v>311.5</v>
      </c>
      <c r="C1020" s="2">
        <f t="shared" si="16"/>
        <v>5.7952512483507483E-3</v>
      </c>
    </row>
    <row r="1021" spans="1:3" x14ac:dyDescent="0.2">
      <c r="A1021" s="1">
        <v>44589</v>
      </c>
      <c r="B1021">
        <v>309.7</v>
      </c>
      <c r="C1021" s="2">
        <f t="shared" si="16"/>
        <v>-1.4107319565443862E-2</v>
      </c>
    </row>
    <row r="1022" spans="1:3" x14ac:dyDescent="0.2">
      <c r="A1022" s="1">
        <v>44588</v>
      </c>
      <c r="B1022">
        <v>314.10000000000002</v>
      </c>
      <c r="C1022" s="2">
        <f t="shared" si="16"/>
        <v>1.2742913479685915E-3</v>
      </c>
    </row>
    <row r="1023" spans="1:3" x14ac:dyDescent="0.2">
      <c r="A1023" s="1">
        <v>44587</v>
      </c>
      <c r="B1023">
        <v>313.7</v>
      </c>
      <c r="C1023" s="2">
        <f t="shared" si="16"/>
        <v>2.224104570353137E-2</v>
      </c>
    </row>
    <row r="1024" spans="1:3" x14ac:dyDescent="0.2">
      <c r="A1024" s="1">
        <v>44586</v>
      </c>
      <c r="B1024">
        <v>306.8</v>
      </c>
      <c r="C1024" s="2">
        <f t="shared" si="16"/>
        <v>-2.2790177534713668E-3</v>
      </c>
    </row>
    <row r="1025" spans="1:3" x14ac:dyDescent="0.2">
      <c r="A1025" s="1">
        <v>44585</v>
      </c>
      <c r="B1025">
        <v>307.5</v>
      </c>
      <c r="C1025" s="2">
        <f t="shared" si="16"/>
        <v>-3.5775134176718078E-2</v>
      </c>
    </row>
    <row r="1026" spans="1:3" x14ac:dyDescent="0.2">
      <c r="A1026" s="1">
        <v>44582</v>
      </c>
      <c r="B1026">
        <v>318.7</v>
      </c>
      <c r="C1026" s="2">
        <f t="shared" si="16"/>
        <v>-1.8959386864232226E-2</v>
      </c>
    </row>
    <row r="1027" spans="1:3" x14ac:dyDescent="0.2">
      <c r="A1027" s="1">
        <v>44581</v>
      </c>
      <c r="B1027">
        <v>324.8</v>
      </c>
      <c r="C1027" s="2">
        <f t="shared" ref="C1027:C1090" si="17">+LN(B1027/B1028)</f>
        <v>2.1574981400210927E-3</v>
      </c>
    </row>
    <row r="1028" spans="1:3" x14ac:dyDescent="0.2">
      <c r="A1028" s="1">
        <v>44580</v>
      </c>
      <c r="B1028">
        <v>324.10000000000002</v>
      </c>
      <c r="C1028" s="2">
        <f t="shared" si="17"/>
        <v>3.7094323832723886E-3</v>
      </c>
    </row>
    <row r="1029" spans="1:3" x14ac:dyDescent="0.2">
      <c r="A1029" s="1">
        <v>44579</v>
      </c>
      <c r="B1029">
        <v>322.89999999999998</v>
      </c>
      <c r="C1029" s="2">
        <f t="shared" si="17"/>
        <v>-1.9626511618089121E-2</v>
      </c>
    </row>
    <row r="1030" spans="1:3" x14ac:dyDescent="0.2">
      <c r="A1030" s="1">
        <v>44578</v>
      </c>
      <c r="B1030">
        <v>329.3</v>
      </c>
      <c r="C1030" s="2">
        <f t="shared" si="17"/>
        <v>-1.2373780934374979E-2</v>
      </c>
    </row>
    <row r="1031" spans="1:3" x14ac:dyDescent="0.2">
      <c r="A1031" s="1">
        <v>44575</v>
      </c>
      <c r="B1031">
        <v>333.4</v>
      </c>
      <c r="C1031" s="2">
        <f t="shared" si="17"/>
        <v>-1.6362108296312045E-2</v>
      </c>
    </row>
    <row r="1032" spans="1:3" x14ac:dyDescent="0.2">
      <c r="A1032" s="1">
        <v>44574</v>
      </c>
      <c r="B1032">
        <v>338.9</v>
      </c>
      <c r="C1032" s="2">
        <f t="shared" si="17"/>
        <v>-8.2280805082405751E-3</v>
      </c>
    </row>
    <row r="1033" spans="1:3" x14ac:dyDescent="0.2">
      <c r="A1033" s="1">
        <v>44573</v>
      </c>
      <c r="B1033">
        <v>341.7</v>
      </c>
      <c r="C1033" s="2">
        <f t="shared" si="17"/>
        <v>9.1136894222111995E-3</v>
      </c>
    </row>
    <row r="1034" spans="1:3" x14ac:dyDescent="0.2">
      <c r="A1034" s="1">
        <v>44572</v>
      </c>
      <c r="B1034">
        <v>338.6</v>
      </c>
      <c r="C1034" s="2">
        <f t="shared" si="17"/>
        <v>5.9084196696686665E-4</v>
      </c>
    </row>
    <row r="1035" spans="1:3" x14ac:dyDescent="0.2">
      <c r="A1035" s="1">
        <v>44571</v>
      </c>
      <c r="B1035">
        <v>338.4</v>
      </c>
      <c r="C1035" s="2">
        <f t="shared" si="17"/>
        <v>-6.2430805009787552E-2</v>
      </c>
    </row>
    <row r="1036" spans="1:3" x14ac:dyDescent="0.2">
      <c r="A1036" s="1">
        <v>44568</v>
      </c>
      <c r="B1036">
        <v>360.2</v>
      </c>
      <c r="C1036" s="2">
        <f t="shared" si="17"/>
        <v>-4.5320467531233963E-2</v>
      </c>
    </row>
    <row r="1037" spans="1:3" x14ac:dyDescent="0.2">
      <c r="A1037" s="1">
        <v>44566</v>
      </c>
      <c r="B1037">
        <v>376.9</v>
      </c>
      <c r="C1037" s="2">
        <f t="shared" si="17"/>
        <v>-1.5271492158566904E-2</v>
      </c>
    </row>
    <row r="1038" spans="1:3" x14ac:dyDescent="0.2">
      <c r="A1038" s="1">
        <v>44565</v>
      </c>
      <c r="B1038">
        <v>382.7</v>
      </c>
      <c r="C1038" s="2">
        <f t="shared" si="17"/>
        <v>4.1344733685321176E-2</v>
      </c>
    </row>
    <row r="1039" spans="1:3" x14ac:dyDescent="0.2">
      <c r="A1039" s="1">
        <v>44564</v>
      </c>
      <c r="B1039">
        <v>367.2</v>
      </c>
      <c r="C1039" s="2">
        <f t="shared" si="17"/>
        <v>7.6544933605322647E-3</v>
      </c>
    </row>
    <row r="1040" spans="1:3" x14ac:dyDescent="0.2">
      <c r="A1040" s="1">
        <v>44560</v>
      </c>
      <c r="B1040">
        <v>364.4</v>
      </c>
      <c r="C1040" s="2">
        <f t="shared" si="17"/>
        <v>-3.8345705709621819E-3</v>
      </c>
    </row>
    <row r="1041" spans="1:3" x14ac:dyDescent="0.2">
      <c r="A1041" s="1">
        <v>44559</v>
      </c>
      <c r="B1041">
        <v>365.8</v>
      </c>
      <c r="C1041" s="2">
        <f t="shared" si="17"/>
        <v>-2.7300044255444268E-3</v>
      </c>
    </row>
    <row r="1042" spans="1:3" x14ac:dyDescent="0.2">
      <c r="A1042" s="1">
        <v>44558</v>
      </c>
      <c r="B1042">
        <v>366.8</v>
      </c>
      <c r="C1042" s="2">
        <f t="shared" si="17"/>
        <v>9.0374434087358603E-3</v>
      </c>
    </row>
    <row r="1043" spans="1:3" x14ac:dyDescent="0.2">
      <c r="A1043" s="1">
        <v>44557</v>
      </c>
      <c r="B1043">
        <v>363.5</v>
      </c>
      <c r="C1043" s="2">
        <f t="shared" si="17"/>
        <v>8.5647712393913059E-3</v>
      </c>
    </row>
    <row r="1044" spans="1:3" x14ac:dyDescent="0.2">
      <c r="A1044" s="1">
        <v>44553</v>
      </c>
      <c r="B1044">
        <v>360.4</v>
      </c>
      <c r="C1044" s="2">
        <f t="shared" si="17"/>
        <v>1.5660275298758401E-2</v>
      </c>
    </row>
    <row r="1045" spans="1:3" x14ac:dyDescent="0.2">
      <c r="A1045" s="1">
        <v>44552</v>
      </c>
      <c r="B1045">
        <v>354.8</v>
      </c>
    </row>
    <row r="1046" spans="1:3" x14ac:dyDescent="0.2">
      <c r="A1046" s="1">
        <v>44551</v>
      </c>
      <c r="B1046">
        <v>349</v>
      </c>
      <c r="C1046" s="2">
        <f t="shared" si="17"/>
        <v>2.172424319158249E-2</v>
      </c>
    </row>
    <row r="1047" spans="1:3" x14ac:dyDescent="0.2">
      <c r="A1047" s="1">
        <v>44550</v>
      </c>
      <c r="B1047">
        <v>341.5</v>
      </c>
      <c r="C1047" s="2">
        <f t="shared" si="17"/>
        <v>-8.7809167064582219E-4</v>
      </c>
    </row>
    <row r="1048" spans="1:3" x14ac:dyDescent="0.2">
      <c r="A1048" s="1">
        <v>44547</v>
      </c>
      <c r="B1048">
        <v>341.8</v>
      </c>
      <c r="C1048" s="2">
        <f t="shared" si="17"/>
        <v>-6.4158866919078036E-3</v>
      </c>
    </row>
    <row r="1049" spans="1:3" x14ac:dyDescent="0.2">
      <c r="A1049" s="1">
        <v>44546</v>
      </c>
      <c r="B1049">
        <v>344</v>
      </c>
      <c r="C1049" s="2">
        <f t="shared" si="17"/>
        <v>2.9073993517786905E-4</v>
      </c>
    </row>
    <row r="1050" spans="1:3" x14ac:dyDescent="0.2">
      <c r="A1050" s="1">
        <v>44545</v>
      </c>
      <c r="B1050">
        <v>343.9</v>
      </c>
      <c r="C1050" s="2">
        <f t="shared" si="17"/>
        <v>-5.5096558109696955E-3</v>
      </c>
    </row>
    <row r="1051" spans="1:3" x14ac:dyDescent="0.2">
      <c r="A1051" s="1">
        <v>44544</v>
      </c>
      <c r="B1051">
        <v>345.8</v>
      </c>
      <c r="C1051" s="2">
        <f t="shared" si="17"/>
        <v>-2.5411788530385941E-2</v>
      </c>
    </row>
    <row r="1052" spans="1:3" x14ac:dyDescent="0.2">
      <c r="A1052" s="1">
        <v>44543</v>
      </c>
      <c r="B1052">
        <v>354.7</v>
      </c>
      <c r="C1052" s="2">
        <f t="shared" si="17"/>
        <v>-3.0964134521586795E-3</v>
      </c>
    </row>
    <row r="1053" spans="1:3" x14ac:dyDescent="0.2">
      <c r="A1053" s="1">
        <v>44540</v>
      </c>
      <c r="B1053">
        <v>355.8</v>
      </c>
      <c r="C1053" s="2">
        <f t="shared" si="17"/>
        <v>-4.4868274935928112E-3</v>
      </c>
    </row>
    <row r="1054" spans="1:3" x14ac:dyDescent="0.2">
      <c r="A1054" s="1">
        <v>44539</v>
      </c>
      <c r="B1054">
        <v>357.4</v>
      </c>
      <c r="C1054" s="2">
        <f t="shared" si="17"/>
        <v>-6.4147479762506144E-3</v>
      </c>
    </row>
    <row r="1055" spans="1:3" x14ac:dyDescent="0.2">
      <c r="A1055" s="1">
        <v>44538</v>
      </c>
      <c r="B1055">
        <v>359.7</v>
      </c>
      <c r="C1055" s="2">
        <f t="shared" si="17"/>
        <v>-3.0534374868904546E-3</v>
      </c>
    </row>
    <row r="1056" spans="1:3" x14ac:dyDescent="0.2">
      <c r="A1056" s="1">
        <v>44537</v>
      </c>
      <c r="B1056">
        <v>360.8</v>
      </c>
      <c r="C1056" s="2">
        <f t="shared" si="17"/>
        <v>3.5833993371075311E-2</v>
      </c>
    </row>
    <row r="1057" spans="1:3" x14ac:dyDescent="0.2">
      <c r="A1057" s="1">
        <v>44536</v>
      </c>
      <c r="B1057">
        <v>348.1</v>
      </c>
      <c r="C1057" s="2">
        <f t="shared" si="17"/>
        <v>1.3011604707292899E-2</v>
      </c>
    </row>
    <row r="1058" spans="1:3" x14ac:dyDescent="0.2">
      <c r="A1058" s="1">
        <v>44533</v>
      </c>
      <c r="B1058">
        <v>343.6</v>
      </c>
      <c r="C1058" s="2">
        <f t="shared" si="17"/>
        <v>-3.5733400173631788E-2</v>
      </c>
    </row>
    <row r="1059" spans="1:3" x14ac:dyDescent="0.2">
      <c r="A1059" s="1">
        <v>44532</v>
      </c>
      <c r="B1059">
        <v>356.1</v>
      </c>
      <c r="C1059" s="2">
        <f t="shared" si="17"/>
        <v>-1.1447842458123537E-2</v>
      </c>
    </row>
    <row r="1060" spans="1:3" x14ac:dyDescent="0.2">
      <c r="A1060" s="1">
        <v>44531</v>
      </c>
      <c r="B1060">
        <v>360.2</v>
      </c>
      <c r="C1060" s="2">
        <f t="shared" si="17"/>
        <v>2.8440604781235619E-2</v>
      </c>
    </row>
    <row r="1061" spans="1:3" x14ac:dyDescent="0.2">
      <c r="A1061" s="1">
        <v>44530</v>
      </c>
      <c r="B1061">
        <v>350.1</v>
      </c>
      <c r="C1061" s="2">
        <f t="shared" si="17"/>
        <v>-3.2319800557401454E-2</v>
      </c>
    </row>
    <row r="1062" spans="1:3" x14ac:dyDescent="0.2">
      <c r="A1062" s="1">
        <v>44529</v>
      </c>
      <c r="B1062">
        <v>361.6</v>
      </c>
      <c r="C1062" s="2">
        <f t="shared" si="17"/>
        <v>1.9266266738445462E-2</v>
      </c>
    </row>
    <row r="1063" spans="1:3" x14ac:dyDescent="0.2">
      <c r="A1063" s="1">
        <v>44526</v>
      </c>
      <c r="B1063">
        <v>354.7</v>
      </c>
      <c r="C1063" s="2">
        <f t="shared" si="17"/>
        <v>-5.0574118447536107E-2</v>
      </c>
    </row>
    <row r="1064" spans="1:3" x14ac:dyDescent="0.2">
      <c r="A1064" s="1">
        <v>44525</v>
      </c>
      <c r="B1064">
        <v>373.1</v>
      </c>
      <c r="C1064" s="2">
        <f t="shared" si="17"/>
        <v>5.9139957315671133E-3</v>
      </c>
    </row>
    <row r="1065" spans="1:3" x14ac:dyDescent="0.2">
      <c r="A1065" s="1">
        <v>44524</v>
      </c>
      <c r="B1065">
        <v>370.9</v>
      </c>
      <c r="C1065" s="2">
        <f t="shared" si="17"/>
        <v>-5.3908357100687686E-4</v>
      </c>
    </row>
    <row r="1066" spans="1:3" x14ac:dyDescent="0.2">
      <c r="A1066" s="1">
        <v>44523</v>
      </c>
      <c r="B1066">
        <v>371.1</v>
      </c>
      <c r="C1066" s="2">
        <f t="shared" si="17"/>
        <v>-1.7099000622527432E-2</v>
      </c>
    </row>
    <row r="1067" spans="1:3" x14ac:dyDescent="0.2">
      <c r="A1067" s="1">
        <v>44522</v>
      </c>
      <c r="B1067">
        <v>377.5</v>
      </c>
      <c r="C1067" s="2">
        <f t="shared" si="17"/>
        <v>1.8560259868714282E-3</v>
      </c>
    </row>
    <row r="1068" spans="1:3" x14ac:dyDescent="0.2">
      <c r="A1068" s="1">
        <v>44519</v>
      </c>
      <c r="B1068">
        <v>376.8</v>
      </c>
      <c r="C1068" s="2">
        <f t="shared" si="17"/>
        <v>-1.449109800015911E-2</v>
      </c>
    </row>
    <row r="1069" spans="1:3" x14ac:dyDescent="0.2">
      <c r="A1069" s="1">
        <v>44518</v>
      </c>
      <c r="B1069">
        <v>382.3</v>
      </c>
      <c r="C1069" s="2">
        <f t="shared" si="17"/>
        <v>-1.3252110270528266E-2</v>
      </c>
    </row>
    <row r="1070" spans="1:3" x14ac:dyDescent="0.2">
      <c r="A1070" s="1">
        <v>44517</v>
      </c>
      <c r="B1070">
        <v>387.4</v>
      </c>
      <c r="C1070" s="2">
        <f t="shared" si="17"/>
        <v>-3.6073216133885614E-3</v>
      </c>
    </row>
    <row r="1071" spans="1:3" x14ac:dyDescent="0.2">
      <c r="A1071" s="1">
        <v>44516</v>
      </c>
      <c r="B1071">
        <v>388.8</v>
      </c>
      <c r="C1071" s="2">
        <f t="shared" si="17"/>
        <v>6.1919702479212007E-3</v>
      </c>
    </row>
    <row r="1072" spans="1:3" x14ac:dyDescent="0.2">
      <c r="A1072" s="1">
        <v>44515</v>
      </c>
      <c r="B1072">
        <v>386.4</v>
      </c>
      <c r="C1072" s="2">
        <f t="shared" si="17"/>
        <v>2.5883266612720474E-4</v>
      </c>
    </row>
    <row r="1073" spans="1:3" x14ac:dyDescent="0.2">
      <c r="A1073" s="1">
        <v>44512</v>
      </c>
      <c r="B1073">
        <v>386.3</v>
      </c>
      <c r="C1073" s="2">
        <f t="shared" si="17"/>
        <v>1.4865314810186391E-2</v>
      </c>
    </row>
    <row r="1074" spans="1:3" x14ac:dyDescent="0.2">
      <c r="A1074" s="1">
        <v>44511</v>
      </c>
      <c r="B1074">
        <v>380.6</v>
      </c>
      <c r="C1074" s="2">
        <f t="shared" si="17"/>
        <v>1.615715190477492E-2</v>
      </c>
    </row>
    <row r="1075" spans="1:3" x14ac:dyDescent="0.2">
      <c r="A1075" s="1">
        <v>44510</v>
      </c>
      <c r="B1075">
        <v>374.5</v>
      </c>
      <c r="C1075" s="2">
        <f t="shared" si="17"/>
        <v>-6.3880973158155063E-3</v>
      </c>
    </row>
    <row r="1076" spans="1:3" x14ac:dyDescent="0.2">
      <c r="A1076" s="1">
        <v>44509</v>
      </c>
      <c r="B1076">
        <v>376.9</v>
      </c>
      <c r="C1076" s="2">
        <f t="shared" si="17"/>
        <v>-9.2434303981455482E-3</v>
      </c>
    </row>
    <row r="1077" spans="1:3" x14ac:dyDescent="0.2">
      <c r="A1077" s="1">
        <v>44508</v>
      </c>
      <c r="B1077">
        <v>380.4</v>
      </c>
      <c r="C1077" s="2">
        <f t="shared" si="17"/>
        <v>2.9072590282978625E-2</v>
      </c>
    </row>
    <row r="1078" spans="1:3" x14ac:dyDescent="0.2">
      <c r="A1078" s="1">
        <v>44505</v>
      </c>
      <c r="B1078">
        <v>369.5</v>
      </c>
      <c r="C1078" s="2">
        <f t="shared" si="17"/>
        <v>-9.6957398388557627E-3</v>
      </c>
    </row>
    <row r="1079" spans="1:3" x14ac:dyDescent="0.2">
      <c r="A1079" s="1">
        <v>44504</v>
      </c>
      <c r="B1079">
        <v>373.1</v>
      </c>
      <c r="C1079" s="2">
        <f t="shared" si="17"/>
        <v>8.6137813887038703E-3</v>
      </c>
    </row>
    <row r="1080" spans="1:3" x14ac:dyDescent="0.2">
      <c r="A1080" s="1">
        <v>44503</v>
      </c>
      <c r="B1080">
        <v>369.9</v>
      </c>
      <c r="C1080" s="2">
        <f t="shared" si="17"/>
        <v>5.965310531182039E-3</v>
      </c>
    </row>
    <row r="1081" spans="1:3" x14ac:dyDescent="0.2">
      <c r="A1081" s="1">
        <v>44502</v>
      </c>
      <c r="B1081">
        <v>367.7</v>
      </c>
      <c r="C1081" s="2">
        <f t="shared" si="17"/>
        <v>2.9960529016216063E-3</v>
      </c>
    </row>
    <row r="1082" spans="1:3" x14ac:dyDescent="0.2">
      <c r="A1082" s="1">
        <v>44501</v>
      </c>
      <c r="B1082">
        <v>366.6</v>
      </c>
      <c r="C1082" s="2">
        <f t="shared" si="17"/>
        <v>-2.9960529016215998E-3</v>
      </c>
    </row>
    <row r="1083" spans="1:3" x14ac:dyDescent="0.2">
      <c r="A1083" s="1">
        <v>44498</v>
      </c>
      <c r="B1083">
        <v>367.7</v>
      </c>
      <c r="C1083" s="2">
        <f t="shared" si="17"/>
        <v>-8.1257218494602077E-3</v>
      </c>
    </row>
    <row r="1084" spans="1:3" x14ac:dyDescent="0.2">
      <c r="A1084" s="1">
        <v>44497</v>
      </c>
      <c r="B1084">
        <v>370.7</v>
      </c>
      <c r="C1084" s="2">
        <f t="shared" si="17"/>
        <v>3.9620037544896146E-2</v>
      </c>
    </row>
    <row r="1085" spans="1:3" x14ac:dyDescent="0.2">
      <c r="A1085" s="1">
        <v>44496</v>
      </c>
      <c r="B1085">
        <v>356.3</v>
      </c>
      <c r="C1085" s="2">
        <f t="shared" si="17"/>
        <v>2.3283277794397171E-2</v>
      </c>
    </row>
    <row r="1086" spans="1:3" x14ac:dyDescent="0.2">
      <c r="A1086" s="1">
        <v>44495</v>
      </c>
      <c r="B1086">
        <v>348.1</v>
      </c>
      <c r="C1086" s="2">
        <f t="shared" si="17"/>
        <v>4.8560371556253257E-2</v>
      </c>
    </row>
    <row r="1087" spans="1:3" x14ac:dyDescent="0.2">
      <c r="A1087" s="1">
        <v>44494</v>
      </c>
      <c r="B1087">
        <v>331.6</v>
      </c>
      <c r="C1087" s="2">
        <f t="shared" si="17"/>
        <v>-2.648570232842706E-2</v>
      </c>
    </row>
    <row r="1088" spans="1:3" x14ac:dyDescent="0.2">
      <c r="A1088" s="1">
        <v>44491</v>
      </c>
      <c r="B1088">
        <v>340.5</v>
      </c>
      <c r="C1088" s="2">
        <f t="shared" si="17"/>
        <v>2.3173942565136045E-2</v>
      </c>
    </row>
    <row r="1089" spans="1:3" x14ac:dyDescent="0.2">
      <c r="A1089" s="1">
        <v>44490</v>
      </c>
      <c r="B1089">
        <v>332.7</v>
      </c>
      <c r="C1089" s="2">
        <f t="shared" si="17"/>
        <v>-1.9348720893316948E-2</v>
      </c>
    </row>
    <row r="1090" spans="1:3" x14ac:dyDescent="0.2">
      <c r="A1090" s="1">
        <v>44489</v>
      </c>
      <c r="B1090">
        <v>339.2</v>
      </c>
      <c r="C1090" s="2">
        <f t="shared" si="17"/>
        <v>6.8037535052407564E-3</v>
      </c>
    </row>
    <row r="1091" spans="1:3" x14ac:dyDescent="0.2">
      <c r="A1091" s="1">
        <v>44488</v>
      </c>
      <c r="B1091">
        <v>336.9</v>
      </c>
      <c r="C1091" s="2">
        <f t="shared" ref="C1091:C1154" si="18">+LN(B1091/B1092)</f>
        <v>1.6761841106656933E-2</v>
      </c>
    </row>
    <row r="1092" spans="1:3" x14ac:dyDescent="0.2">
      <c r="A1092" s="1">
        <v>44487</v>
      </c>
      <c r="B1092">
        <v>331.3</v>
      </c>
      <c r="C1092" s="2">
        <f t="shared" si="18"/>
        <v>-1.8094094200786827E-3</v>
      </c>
    </row>
    <row r="1093" spans="1:3" x14ac:dyDescent="0.2">
      <c r="A1093" s="1">
        <v>44484</v>
      </c>
      <c r="B1093">
        <v>331.9</v>
      </c>
      <c r="C1093" s="2">
        <f t="shared" si="18"/>
        <v>1.0296880801263659E-2</v>
      </c>
    </row>
    <row r="1094" spans="1:3" x14ac:dyDescent="0.2">
      <c r="A1094" s="1">
        <v>44483</v>
      </c>
      <c r="B1094">
        <v>328.5</v>
      </c>
      <c r="C1094" s="2">
        <f t="shared" si="18"/>
        <v>9.4816431397278366E-3</v>
      </c>
    </row>
    <row r="1095" spans="1:3" x14ac:dyDescent="0.2">
      <c r="A1095" s="1">
        <v>44482</v>
      </c>
      <c r="B1095">
        <v>325.39999999999998</v>
      </c>
      <c r="C1095" s="2">
        <f t="shared" si="18"/>
        <v>4.9291535414025213E-3</v>
      </c>
    </row>
    <row r="1096" spans="1:3" x14ac:dyDescent="0.2">
      <c r="A1096" s="1">
        <v>44481</v>
      </c>
      <c r="B1096">
        <v>323.8</v>
      </c>
      <c r="C1096" s="2">
        <f t="shared" si="18"/>
        <v>9.6199345444255256E-3</v>
      </c>
    </row>
    <row r="1097" spans="1:3" x14ac:dyDescent="0.2">
      <c r="A1097" s="1">
        <v>44480</v>
      </c>
      <c r="B1097">
        <v>320.7</v>
      </c>
      <c r="C1097" s="2">
        <f t="shared" si="18"/>
        <v>-3.4241278591736271E-3</v>
      </c>
    </row>
    <row r="1098" spans="1:3" x14ac:dyDescent="0.2">
      <c r="A1098" s="1">
        <v>44477</v>
      </c>
      <c r="B1098">
        <v>321.8</v>
      </c>
      <c r="C1098" s="2">
        <f t="shared" si="18"/>
        <v>-1.602993633897052E-2</v>
      </c>
    </row>
    <row r="1099" spans="1:3" x14ac:dyDescent="0.2">
      <c r="A1099" s="1">
        <v>44476</v>
      </c>
      <c r="B1099">
        <v>327</v>
      </c>
      <c r="C1099" s="2">
        <f t="shared" si="18"/>
        <v>2.1951723941781118E-2</v>
      </c>
    </row>
    <row r="1100" spans="1:3" x14ac:dyDescent="0.2">
      <c r="A1100" s="1">
        <v>44475</v>
      </c>
      <c r="B1100">
        <v>319.89999999999998</v>
      </c>
      <c r="C1100" s="2">
        <f t="shared" si="18"/>
        <v>-1.5201161332050666E-2</v>
      </c>
    </row>
    <row r="1101" spans="1:3" x14ac:dyDescent="0.2">
      <c r="A1101" s="1">
        <v>44474</v>
      </c>
      <c r="B1101">
        <v>324.8</v>
      </c>
      <c r="C1101" s="2">
        <f t="shared" si="18"/>
        <v>1.2391732295163457E-2</v>
      </c>
    </row>
    <row r="1102" spans="1:3" x14ac:dyDescent="0.2">
      <c r="A1102" s="1">
        <v>44473</v>
      </c>
      <c r="B1102">
        <v>320.8</v>
      </c>
      <c r="C1102" s="2">
        <f t="shared" si="18"/>
        <v>-7.1439968380931701E-3</v>
      </c>
    </row>
    <row r="1103" spans="1:3" x14ac:dyDescent="0.2">
      <c r="A1103" s="1">
        <v>44470</v>
      </c>
      <c r="B1103">
        <v>323.10000000000002</v>
      </c>
      <c r="C1103" s="2">
        <f t="shared" si="18"/>
        <v>-1.687933277271516E-2</v>
      </c>
    </row>
    <row r="1104" spans="1:3" x14ac:dyDescent="0.2">
      <c r="A1104" s="1">
        <v>44469</v>
      </c>
      <c r="B1104">
        <v>328.6</v>
      </c>
      <c r="C1104" s="2">
        <f t="shared" si="18"/>
        <v>1.904819497069463E-2</v>
      </c>
    </row>
    <row r="1105" spans="1:3" x14ac:dyDescent="0.2">
      <c r="A1105" s="1">
        <v>44468</v>
      </c>
      <c r="B1105">
        <v>322.39999999999998</v>
      </c>
      <c r="C1105" s="2">
        <f t="shared" si="18"/>
        <v>-3.1012560335405657E-4</v>
      </c>
    </row>
    <row r="1106" spans="1:3" x14ac:dyDescent="0.2">
      <c r="A1106" s="1">
        <v>44467</v>
      </c>
      <c r="B1106">
        <v>322.5</v>
      </c>
      <c r="C1106" s="2">
        <f t="shared" si="18"/>
        <v>-3.203935374461666E-2</v>
      </c>
    </row>
    <row r="1107" spans="1:3" x14ac:dyDescent="0.2">
      <c r="A1107" s="1">
        <v>44466</v>
      </c>
      <c r="B1107">
        <v>333</v>
      </c>
      <c r="C1107" s="2">
        <f t="shared" si="18"/>
        <v>-1.7267472797455493E-2</v>
      </c>
    </row>
    <row r="1108" spans="1:3" x14ac:dyDescent="0.2">
      <c r="A1108" s="1">
        <v>44463</v>
      </c>
      <c r="B1108">
        <v>338.8</v>
      </c>
      <c r="C1108" s="2">
        <f t="shared" si="18"/>
        <v>-8.8508635369364804E-4</v>
      </c>
    </row>
    <row r="1109" spans="1:3" x14ac:dyDescent="0.2">
      <c r="A1109" s="1">
        <v>44462</v>
      </c>
      <c r="B1109">
        <v>339.1</v>
      </c>
      <c r="C1109" s="2">
        <f t="shared" si="18"/>
        <v>1.3359260578869377E-2</v>
      </c>
    </row>
    <row r="1110" spans="1:3" x14ac:dyDescent="0.2">
      <c r="A1110" s="1">
        <v>44461</v>
      </c>
      <c r="B1110">
        <v>334.6</v>
      </c>
      <c r="C1110" s="2">
        <f t="shared" si="18"/>
        <v>7.8008196362350192E-3</v>
      </c>
    </row>
    <row r="1111" spans="1:3" x14ac:dyDescent="0.2">
      <c r="A1111" s="1">
        <v>44460</v>
      </c>
      <c r="B1111">
        <v>332</v>
      </c>
      <c r="C1111" s="2">
        <f t="shared" si="18"/>
        <v>-1.8055978423387937E-3</v>
      </c>
    </row>
    <row r="1112" spans="1:3" x14ac:dyDescent="0.2">
      <c r="A1112" s="1">
        <v>44459</v>
      </c>
      <c r="B1112">
        <v>332.6</v>
      </c>
      <c r="C1112" s="2">
        <f t="shared" si="18"/>
        <v>-2.2593113202933935E-2</v>
      </c>
    </row>
    <row r="1113" spans="1:3" x14ac:dyDescent="0.2">
      <c r="A1113" s="1">
        <v>44456</v>
      </c>
      <c r="B1113">
        <v>340.2</v>
      </c>
      <c r="C1113" s="2">
        <f t="shared" si="18"/>
        <v>-2.5824734149229006E-2</v>
      </c>
    </row>
    <row r="1114" spans="1:3" x14ac:dyDescent="0.2">
      <c r="A1114" s="1">
        <v>44455</v>
      </c>
      <c r="B1114">
        <v>349.1</v>
      </c>
      <c r="C1114" s="2">
        <f t="shared" si="18"/>
        <v>1.1813997079630758E-2</v>
      </c>
    </row>
    <row r="1115" spans="1:3" x14ac:dyDescent="0.2">
      <c r="A1115" s="1">
        <v>44454</v>
      </c>
      <c r="B1115">
        <v>345</v>
      </c>
      <c r="C1115" s="2">
        <f t="shared" si="18"/>
        <v>-6.6445427186686131E-3</v>
      </c>
    </row>
    <row r="1116" spans="1:3" x14ac:dyDescent="0.2">
      <c r="A1116" s="1">
        <v>44453</v>
      </c>
      <c r="B1116">
        <v>347.3</v>
      </c>
      <c r="C1116" s="2">
        <f t="shared" si="18"/>
        <v>-8.6009704534128015E-3</v>
      </c>
    </row>
    <row r="1117" spans="1:3" x14ac:dyDescent="0.2">
      <c r="A1117" s="1">
        <v>44452</v>
      </c>
      <c r="B1117">
        <v>350.3</v>
      </c>
      <c r="C1117" s="2">
        <f t="shared" si="18"/>
        <v>6.8748480455448277E-3</v>
      </c>
    </row>
    <row r="1118" spans="1:3" x14ac:dyDescent="0.2">
      <c r="A1118" s="1">
        <v>44449</v>
      </c>
      <c r="B1118">
        <v>347.9</v>
      </c>
      <c r="C1118" s="2">
        <f t="shared" si="18"/>
        <v>1.1854989209147463E-2</v>
      </c>
    </row>
    <row r="1119" spans="1:3" x14ac:dyDescent="0.2">
      <c r="A1119" s="1">
        <v>44448</v>
      </c>
      <c r="B1119">
        <v>343.8</v>
      </c>
      <c r="C1119" s="2">
        <f t="shared" si="18"/>
        <v>-9.2646869981102501E-3</v>
      </c>
    </row>
    <row r="1120" spans="1:3" x14ac:dyDescent="0.2">
      <c r="A1120" s="1">
        <v>44447</v>
      </c>
      <c r="B1120">
        <v>347</v>
      </c>
      <c r="C1120" s="2">
        <f t="shared" si="18"/>
        <v>-4.0264650314885157E-3</v>
      </c>
    </row>
    <row r="1121" spans="1:3" x14ac:dyDescent="0.2">
      <c r="A1121" s="1">
        <v>44446</v>
      </c>
      <c r="B1121">
        <v>348.4</v>
      </c>
      <c r="C1121" s="2">
        <f t="shared" si="18"/>
        <v>-2.5799068344386855E-3</v>
      </c>
    </row>
    <row r="1122" spans="1:3" x14ac:dyDescent="0.2">
      <c r="A1122" s="1">
        <v>44445</v>
      </c>
      <c r="B1122">
        <v>349.3</v>
      </c>
      <c r="C1122" s="2">
        <f t="shared" si="18"/>
        <v>-7.4158925147531371E-3</v>
      </c>
    </row>
    <row r="1123" spans="1:3" x14ac:dyDescent="0.2">
      <c r="A1123" s="1">
        <v>44442</v>
      </c>
      <c r="B1123">
        <v>351.9</v>
      </c>
      <c r="C1123" s="2">
        <f t="shared" si="18"/>
        <v>-2.3312388414316213E-2</v>
      </c>
    </row>
    <row r="1124" spans="1:3" x14ac:dyDescent="0.2">
      <c r="A1124" s="1">
        <v>44441</v>
      </c>
      <c r="B1124">
        <v>360.2</v>
      </c>
      <c r="C1124" s="2">
        <f t="shared" si="18"/>
        <v>3.6156345882941802E-3</v>
      </c>
    </row>
    <row r="1125" spans="1:3" x14ac:dyDescent="0.2">
      <c r="A1125" s="1">
        <v>44440</v>
      </c>
      <c r="B1125">
        <v>358.9</v>
      </c>
      <c r="C1125" s="2">
        <f t="shared" si="18"/>
        <v>2.5110643670102149E-2</v>
      </c>
    </row>
    <row r="1126" spans="1:3" x14ac:dyDescent="0.2">
      <c r="A1126" s="1">
        <v>44439</v>
      </c>
      <c r="B1126">
        <v>350</v>
      </c>
      <c r="C1126" s="2">
        <f t="shared" si="18"/>
        <v>-2.8530689824063991E-3</v>
      </c>
    </row>
    <row r="1127" spans="1:3" x14ac:dyDescent="0.2">
      <c r="A1127" s="1">
        <v>44438</v>
      </c>
      <c r="B1127">
        <v>351</v>
      </c>
      <c r="C1127" s="2">
        <f t="shared" si="18"/>
        <v>1.7108644036296092E-3</v>
      </c>
    </row>
    <row r="1128" spans="1:3" x14ac:dyDescent="0.2">
      <c r="A1128" s="1">
        <v>44435</v>
      </c>
      <c r="B1128">
        <v>350.4</v>
      </c>
      <c r="C1128" s="2">
        <f t="shared" si="18"/>
        <v>1.2347608420937579E-2</v>
      </c>
    </row>
    <row r="1129" spans="1:3" x14ac:dyDescent="0.2">
      <c r="A1129" s="1">
        <v>44434</v>
      </c>
      <c r="B1129">
        <v>346.1</v>
      </c>
      <c r="C1129" s="2">
        <f t="shared" si="18"/>
        <v>-1.5766415169723356E-2</v>
      </c>
    </row>
    <row r="1130" spans="1:3" x14ac:dyDescent="0.2">
      <c r="A1130" s="1">
        <v>44433</v>
      </c>
      <c r="B1130">
        <v>351.6</v>
      </c>
      <c r="C1130" s="2">
        <f t="shared" si="18"/>
        <v>6.2767681110658642E-3</v>
      </c>
    </row>
    <row r="1131" spans="1:3" x14ac:dyDescent="0.2">
      <c r="A1131" s="1">
        <v>44432</v>
      </c>
      <c r="B1131">
        <v>349.4</v>
      </c>
      <c r="C1131" s="2">
        <f t="shared" si="18"/>
        <v>-1.4208821030969649E-2</v>
      </c>
    </row>
    <row r="1132" spans="1:3" x14ac:dyDescent="0.2">
      <c r="A1132" s="1">
        <v>44431</v>
      </c>
      <c r="B1132">
        <v>354.4</v>
      </c>
      <c r="C1132" s="2">
        <f t="shared" si="18"/>
        <v>4.5248945982895028E-3</v>
      </c>
    </row>
    <row r="1133" spans="1:3" x14ac:dyDescent="0.2">
      <c r="A1133" s="1">
        <v>44428</v>
      </c>
      <c r="B1133">
        <v>352.8</v>
      </c>
      <c r="C1133" s="2">
        <f t="shared" si="18"/>
        <v>7.1113939291950748E-3</v>
      </c>
    </row>
    <row r="1134" spans="1:3" x14ac:dyDescent="0.2">
      <c r="A1134" s="1">
        <v>44427</v>
      </c>
      <c r="B1134">
        <v>350.3</v>
      </c>
      <c r="C1134" s="2">
        <f t="shared" si="18"/>
        <v>-3.0364998079971006E-2</v>
      </c>
    </row>
    <row r="1135" spans="1:3" x14ac:dyDescent="0.2">
      <c r="A1135" s="1">
        <v>44426</v>
      </c>
      <c r="B1135">
        <v>361.1</v>
      </c>
      <c r="C1135" s="2">
        <f t="shared" si="18"/>
        <v>0</v>
      </c>
    </row>
    <row r="1136" spans="1:3" x14ac:dyDescent="0.2">
      <c r="A1136" s="1">
        <v>44425</v>
      </c>
      <c r="B1136">
        <v>361.1</v>
      </c>
      <c r="C1136" s="2">
        <f t="shared" si="18"/>
        <v>-4.1453700373386233E-3</v>
      </c>
    </row>
    <row r="1137" spans="1:3" x14ac:dyDescent="0.2">
      <c r="A1137" s="1">
        <v>44424</v>
      </c>
      <c r="B1137">
        <v>362.6</v>
      </c>
      <c r="C1137" s="2">
        <f t="shared" si="18"/>
        <v>-1.3423020332140661E-2</v>
      </c>
    </row>
    <row r="1138" spans="1:3" x14ac:dyDescent="0.2">
      <c r="A1138" s="1">
        <v>44421</v>
      </c>
      <c r="B1138">
        <v>367.5</v>
      </c>
      <c r="C1138" s="2">
        <f t="shared" si="18"/>
        <v>6.8259650703998906E-3</v>
      </c>
    </row>
    <row r="1139" spans="1:3" x14ac:dyDescent="0.2">
      <c r="A1139" s="1">
        <v>44420</v>
      </c>
      <c r="B1139">
        <v>365</v>
      </c>
      <c r="C1139" s="2">
        <f t="shared" si="18"/>
        <v>1.3708021337786216E-3</v>
      </c>
    </row>
    <row r="1140" spans="1:3" x14ac:dyDescent="0.2">
      <c r="A1140" s="1">
        <v>44419</v>
      </c>
      <c r="B1140">
        <v>364.5</v>
      </c>
      <c r="C1140" s="2">
        <f t="shared" si="18"/>
        <v>5.7779772798886315E-3</v>
      </c>
    </row>
    <row r="1141" spans="1:3" x14ac:dyDescent="0.2">
      <c r="A1141" s="1">
        <v>44418</v>
      </c>
      <c r="B1141">
        <v>362.4</v>
      </c>
      <c r="C1141" s="2">
        <f t="shared" si="18"/>
        <v>-1.3787400502003712E-3</v>
      </c>
    </row>
    <row r="1142" spans="1:3" x14ac:dyDescent="0.2">
      <c r="A1142" s="1">
        <v>44417</v>
      </c>
      <c r="B1142">
        <v>362.9</v>
      </c>
      <c r="C1142" s="2">
        <f t="shared" si="18"/>
        <v>-5.7700393634668645E-3</v>
      </c>
    </row>
    <row r="1143" spans="1:3" x14ac:dyDescent="0.2">
      <c r="A1143" s="1">
        <v>44414</v>
      </c>
      <c r="B1143">
        <v>365</v>
      </c>
      <c r="C1143" s="2">
        <f t="shared" si="18"/>
        <v>-9.8146916532314155E-3</v>
      </c>
    </row>
    <row r="1144" spans="1:3" x14ac:dyDescent="0.2">
      <c r="A1144" s="1">
        <v>44413</v>
      </c>
      <c r="B1144">
        <v>368.6</v>
      </c>
      <c r="C1144" s="2">
        <f t="shared" si="18"/>
        <v>-2.712600043758211E-4</v>
      </c>
    </row>
    <row r="1145" spans="1:3" x14ac:dyDescent="0.2">
      <c r="A1145" s="1">
        <v>44412</v>
      </c>
      <c r="B1145">
        <v>368.7</v>
      </c>
      <c r="C1145" s="2">
        <f t="shared" si="18"/>
        <v>5.4259361070739857E-4</v>
      </c>
    </row>
    <row r="1146" spans="1:3" x14ac:dyDescent="0.2">
      <c r="A1146" s="1">
        <v>44411</v>
      </c>
      <c r="B1146">
        <v>368.5</v>
      </c>
      <c r="C1146" s="2">
        <f t="shared" si="18"/>
        <v>1.7520294857795625E-2</v>
      </c>
    </row>
    <row r="1147" spans="1:3" x14ac:dyDescent="0.2">
      <c r="A1147" s="1">
        <v>44410</v>
      </c>
      <c r="B1147">
        <v>362.1</v>
      </c>
      <c r="C1147" s="2">
        <f t="shared" si="18"/>
        <v>7.4844424221370337E-3</v>
      </c>
    </row>
    <row r="1148" spans="1:3" x14ac:dyDescent="0.2">
      <c r="A1148" s="1">
        <v>44407</v>
      </c>
      <c r="B1148">
        <v>359.4</v>
      </c>
      <c r="C1148" s="2">
        <f t="shared" si="18"/>
        <v>8.3507311742134389E-4</v>
      </c>
    </row>
    <row r="1149" spans="1:3" x14ac:dyDescent="0.2">
      <c r="A1149" s="1">
        <v>44406</v>
      </c>
      <c r="B1149">
        <v>359.1</v>
      </c>
      <c r="C1149" s="2">
        <f t="shared" si="18"/>
        <v>3.0679148313368324E-3</v>
      </c>
    </row>
    <row r="1150" spans="1:3" x14ac:dyDescent="0.2">
      <c r="A1150" s="1">
        <v>44405</v>
      </c>
      <c r="B1150">
        <v>358</v>
      </c>
      <c r="C1150" s="2">
        <f t="shared" si="18"/>
        <v>1.71859420731609E-2</v>
      </c>
    </row>
    <row r="1151" spans="1:3" x14ac:dyDescent="0.2">
      <c r="A1151" s="1">
        <v>44404</v>
      </c>
      <c r="B1151">
        <v>351.9</v>
      </c>
      <c r="C1151" s="2">
        <f t="shared" si="18"/>
        <v>5.128216366919308E-3</v>
      </c>
    </row>
    <row r="1152" spans="1:3" x14ac:dyDescent="0.2">
      <c r="A1152" s="1">
        <v>44403</v>
      </c>
      <c r="B1152">
        <v>350.1</v>
      </c>
      <c r="C1152" s="2">
        <f t="shared" si="18"/>
        <v>-1.9974325374079046E-3</v>
      </c>
    </row>
    <row r="1153" spans="1:3" x14ac:dyDescent="0.2">
      <c r="A1153" s="1">
        <v>44400</v>
      </c>
      <c r="B1153">
        <v>350.8</v>
      </c>
      <c r="C1153" s="2">
        <f t="shared" si="18"/>
        <v>3.0094863798809043E-2</v>
      </c>
    </row>
    <row r="1154" spans="1:3" x14ac:dyDescent="0.2">
      <c r="A1154" s="1">
        <v>44399</v>
      </c>
      <c r="B1154">
        <v>340.4</v>
      </c>
      <c r="C1154" s="2">
        <f t="shared" si="18"/>
        <v>1.2415175724703827E-2</v>
      </c>
    </row>
    <row r="1155" spans="1:3" x14ac:dyDescent="0.2">
      <c r="A1155" s="1">
        <v>44398</v>
      </c>
      <c r="B1155">
        <v>336.2</v>
      </c>
      <c r="C1155" s="2">
        <f t="shared" ref="C1155:C1218" si="19">+LN(B1155/B1156)</f>
        <v>3.5756891494487029E-3</v>
      </c>
    </row>
    <row r="1156" spans="1:3" x14ac:dyDescent="0.2">
      <c r="A1156" s="1">
        <v>44397</v>
      </c>
      <c r="B1156">
        <v>335</v>
      </c>
      <c r="C1156" s="2">
        <f t="shared" si="19"/>
        <v>7.6590960370731889E-2</v>
      </c>
    </row>
    <row r="1157" spans="1:3" x14ac:dyDescent="0.2">
      <c r="A1157" s="1">
        <v>44396</v>
      </c>
      <c r="B1157">
        <v>310.3</v>
      </c>
      <c r="C1157" s="2">
        <f t="shared" si="19"/>
        <v>-1.8519047767237527E-2</v>
      </c>
    </row>
    <row r="1158" spans="1:3" x14ac:dyDescent="0.2">
      <c r="A1158" s="1">
        <v>44393</v>
      </c>
      <c r="B1158">
        <v>316.10000000000002</v>
      </c>
      <c r="C1158" s="2">
        <f t="shared" si="19"/>
        <v>2.5340526705569803E-3</v>
      </c>
    </row>
    <row r="1159" spans="1:3" x14ac:dyDescent="0.2">
      <c r="A1159" s="1">
        <v>44392</v>
      </c>
      <c r="B1159">
        <v>315.3</v>
      </c>
      <c r="C1159" s="2">
        <f t="shared" si="19"/>
        <v>-6.6382415412934055E-3</v>
      </c>
    </row>
    <row r="1160" spans="1:3" x14ac:dyDescent="0.2">
      <c r="A1160" s="1">
        <v>44391</v>
      </c>
      <c r="B1160">
        <v>317.39999999999998</v>
      </c>
      <c r="C1160" s="2">
        <f t="shared" si="19"/>
        <v>3.7878833169369352E-3</v>
      </c>
    </row>
    <row r="1161" spans="1:3" x14ac:dyDescent="0.2">
      <c r="A1161" s="1">
        <v>44390</v>
      </c>
      <c r="B1161">
        <v>316.2</v>
      </c>
      <c r="C1161" s="2">
        <f t="shared" si="19"/>
        <v>5.390848634876373E-3</v>
      </c>
    </row>
    <row r="1162" spans="1:3" x14ac:dyDescent="0.2">
      <c r="A1162" s="1">
        <v>44389</v>
      </c>
      <c r="B1162">
        <v>314.5</v>
      </c>
      <c r="C1162" s="2">
        <f t="shared" si="19"/>
        <v>8.6221195168191059E-3</v>
      </c>
    </row>
    <row r="1163" spans="1:3" x14ac:dyDescent="0.2">
      <c r="A1163" s="1">
        <v>44386</v>
      </c>
      <c r="B1163">
        <v>311.8</v>
      </c>
      <c r="C1163" s="2">
        <f t="shared" si="19"/>
        <v>2.0084899331310611E-2</v>
      </c>
    </row>
    <row r="1164" spans="1:3" x14ac:dyDescent="0.2">
      <c r="A1164" s="1">
        <v>44385</v>
      </c>
      <c r="B1164">
        <v>305.60000000000002</v>
      </c>
      <c r="C1164" s="2">
        <f t="shared" si="19"/>
        <v>-8.7962775997391975E-3</v>
      </c>
    </row>
    <row r="1165" spans="1:3" x14ac:dyDescent="0.2">
      <c r="A1165" s="1">
        <v>44384</v>
      </c>
      <c r="B1165">
        <v>308.3</v>
      </c>
      <c r="C1165" s="2">
        <f t="shared" si="19"/>
        <v>1.5691724392551849E-2</v>
      </c>
    </row>
    <row r="1166" spans="1:3" x14ac:dyDescent="0.2">
      <c r="A1166" s="1">
        <v>44383</v>
      </c>
      <c r="B1166">
        <v>303.5</v>
      </c>
      <c r="C1166" s="2">
        <f t="shared" si="19"/>
        <v>-2.376800799393947E-2</v>
      </c>
    </row>
    <row r="1167" spans="1:3" x14ac:dyDescent="0.2">
      <c r="A1167" s="1">
        <v>44382</v>
      </c>
      <c r="B1167">
        <v>310.8</v>
      </c>
      <c r="C1167" s="2">
        <f t="shared" si="19"/>
        <v>4.5146803545268342E-3</v>
      </c>
    </row>
    <row r="1168" spans="1:3" x14ac:dyDescent="0.2">
      <c r="A1168" s="1">
        <v>44379</v>
      </c>
      <c r="B1168">
        <v>309.39999999999998</v>
      </c>
      <c r="C1168" s="2">
        <f t="shared" si="19"/>
        <v>1.4323161531554121E-2</v>
      </c>
    </row>
    <row r="1169" spans="1:3" x14ac:dyDescent="0.2">
      <c r="A1169" s="1">
        <v>44378</v>
      </c>
      <c r="B1169">
        <v>305</v>
      </c>
      <c r="C1169" s="2">
        <f t="shared" si="19"/>
        <v>8.8918748219992769E-3</v>
      </c>
    </row>
    <row r="1170" spans="1:3" x14ac:dyDescent="0.2">
      <c r="A1170" s="1">
        <v>44377</v>
      </c>
      <c r="B1170">
        <v>302.3</v>
      </c>
      <c r="C1170" s="2">
        <f t="shared" si="19"/>
        <v>-1.3797853590853688E-2</v>
      </c>
    </row>
    <row r="1171" spans="1:3" x14ac:dyDescent="0.2">
      <c r="A1171" s="1">
        <v>44376</v>
      </c>
      <c r="B1171">
        <v>306.5</v>
      </c>
      <c r="C1171" s="2">
        <f t="shared" si="19"/>
        <v>1.4790738001396473E-2</v>
      </c>
    </row>
    <row r="1172" spans="1:3" x14ac:dyDescent="0.2">
      <c r="A1172" s="1">
        <v>44375</v>
      </c>
      <c r="B1172">
        <v>302</v>
      </c>
      <c r="C1172" s="2">
        <f t="shared" si="19"/>
        <v>-2.3151986528033002E-3</v>
      </c>
    </row>
    <row r="1173" spans="1:3" x14ac:dyDescent="0.2">
      <c r="A1173" s="1">
        <v>44371</v>
      </c>
      <c r="B1173">
        <v>302.7</v>
      </c>
      <c r="C1173" s="2">
        <f t="shared" si="19"/>
        <v>1.5984356308436379E-2</v>
      </c>
    </row>
    <row r="1174" spans="1:3" x14ac:dyDescent="0.2">
      <c r="A1174" s="1">
        <v>44370</v>
      </c>
      <c r="B1174">
        <v>297.89999999999998</v>
      </c>
      <c r="C1174" s="2">
        <f t="shared" si="19"/>
        <v>-5.3565578362675522E-3</v>
      </c>
    </row>
    <row r="1175" spans="1:3" x14ac:dyDescent="0.2">
      <c r="A1175" s="1">
        <v>44369</v>
      </c>
      <c r="B1175">
        <v>299.5</v>
      </c>
      <c r="C1175" s="2">
        <f t="shared" si="19"/>
        <v>1.1754963231443684E-2</v>
      </c>
    </row>
    <row r="1176" spans="1:3" x14ac:dyDescent="0.2">
      <c r="A1176" s="1">
        <v>44368</v>
      </c>
      <c r="B1176">
        <v>296</v>
      </c>
      <c r="C1176" s="2">
        <f t="shared" si="19"/>
        <v>1.0869672236903891E-2</v>
      </c>
    </row>
    <row r="1177" spans="1:3" x14ac:dyDescent="0.2">
      <c r="A1177" s="1">
        <v>44365</v>
      </c>
      <c r="B1177">
        <v>292.8</v>
      </c>
      <c r="C1177" s="2">
        <f t="shared" si="19"/>
        <v>-1.5924442898527878E-2</v>
      </c>
    </row>
    <row r="1178" spans="1:3" x14ac:dyDescent="0.2">
      <c r="A1178" s="1">
        <v>44364</v>
      </c>
      <c r="B1178">
        <v>297.5</v>
      </c>
      <c r="C1178" s="2">
        <f t="shared" si="19"/>
        <v>0</v>
      </c>
    </row>
    <row r="1179" spans="1:3" x14ac:dyDescent="0.2">
      <c r="A1179" s="1">
        <v>44363</v>
      </c>
      <c r="B1179">
        <v>297.5</v>
      </c>
      <c r="C1179" s="2">
        <f t="shared" si="19"/>
        <v>1.3454425171223819E-3</v>
      </c>
    </row>
    <row r="1180" spans="1:3" x14ac:dyDescent="0.2">
      <c r="A1180" s="1">
        <v>44362</v>
      </c>
      <c r="B1180">
        <v>297.10000000000002</v>
      </c>
      <c r="C1180" s="2">
        <f t="shared" si="19"/>
        <v>-6.3747909221243976E-3</v>
      </c>
    </row>
    <row r="1181" spans="1:3" x14ac:dyDescent="0.2">
      <c r="A1181" s="1">
        <v>44361</v>
      </c>
      <c r="B1181">
        <v>299</v>
      </c>
      <c r="C1181" s="2">
        <f t="shared" si="19"/>
        <v>-6.9988620970018204E-3</v>
      </c>
    </row>
    <row r="1182" spans="1:3" x14ac:dyDescent="0.2">
      <c r="A1182" s="1">
        <v>44358</v>
      </c>
      <c r="B1182">
        <v>301.10000000000002</v>
      </c>
      <c r="C1182" s="2">
        <f t="shared" si="19"/>
        <v>2.660460498403685E-3</v>
      </c>
    </row>
    <row r="1183" spans="1:3" x14ac:dyDescent="0.2">
      <c r="A1183" s="1">
        <v>44357</v>
      </c>
      <c r="B1183">
        <v>300.3</v>
      </c>
      <c r="C1183" s="2">
        <f t="shared" si="19"/>
        <v>-7.299302481611496E-3</v>
      </c>
    </row>
    <row r="1184" spans="1:3" x14ac:dyDescent="0.2">
      <c r="A1184" s="1">
        <v>44356</v>
      </c>
      <c r="B1184">
        <v>302.5</v>
      </c>
      <c r="C1184" s="2">
        <f t="shared" si="19"/>
        <v>-6.9181629901653788E-3</v>
      </c>
    </row>
    <row r="1185" spans="1:3" x14ac:dyDescent="0.2">
      <c r="A1185" s="1">
        <v>44355</v>
      </c>
      <c r="B1185">
        <v>304.60000000000002</v>
      </c>
      <c r="C1185" s="2">
        <f t="shared" si="19"/>
        <v>0</v>
      </c>
    </row>
    <row r="1186" spans="1:3" x14ac:dyDescent="0.2">
      <c r="A1186" s="1">
        <v>44354</v>
      </c>
      <c r="B1186">
        <v>304.60000000000002</v>
      </c>
      <c r="C1186" s="2">
        <f t="shared" si="19"/>
        <v>-3.931853033900405E-3</v>
      </c>
    </row>
    <row r="1187" spans="1:3" x14ac:dyDescent="0.2">
      <c r="A1187" s="1">
        <v>44351</v>
      </c>
      <c r="B1187">
        <v>305.8</v>
      </c>
      <c r="C1187" s="2">
        <f t="shared" si="19"/>
        <v>-9.4386380131515971E-3</v>
      </c>
    </row>
    <row r="1188" spans="1:3" x14ac:dyDescent="0.2">
      <c r="A1188" s="1">
        <v>44350</v>
      </c>
      <c r="B1188">
        <v>308.7</v>
      </c>
      <c r="C1188" s="2">
        <f t="shared" si="19"/>
        <v>-7.1013855565944736E-3</v>
      </c>
    </row>
    <row r="1189" spans="1:3" x14ac:dyDescent="0.2">
      <c r="A1189" s="1">
        <v>44349</v>
      </c>
      <c r="B1189">
        <v>310.89999999999998</v>
      </c>
      <c r="C1189" s="2">
        <f t="shared" si="19"/>
        <v>-9.6031467831997272E-3</v>
      </c>
    </row>
    <row r="1190" spans="1:3" x14ac:dyDescent="0.2">
      <c r="A1190" s="1">
        <v>44348</v>
      </c>
      <c r="B1190">
        <v>313.89999999999998</v>
      </c>
      <c r="C1190" s="2">
        <f t="shared" si="19"/>
        <v>3.1908131730714632E-3</v>
      </c>
    </row>
    <row r="1191" spans="1:3" x14ac:dyDescent="0.2">
      <c r="A1191" s="1">
        <v>44347</v>
      </c>
      <c r="B1191">
        <v>312.89999999999998</v>
      </c>
      <c r="C1191" s="2">
        <f t="shared" si="19"/>
        <v>9.3113531956444534E-3</v>
      </c>
    </row>
    <row r="1192" spans="1:3" x14ac:dyDescent="0.2">
      <c r="A1192" s="1">
        <v>44344</v>
      </c>
      <c r="B1192">
        <v>310</v>
      </c>
      <c r="C1192" s="2">
        <f t="shared" si="19"/>
        <v>8.7478283427529346E-3</v>
      </c>
    </row>
    <row r="1193" spans="1:3" x14ac:dyDescent="0.2">
      <c r="A1193" s="1">
        <v>44343</v>
      </c>
      <c r="B1193">
        <v>307.3</v>
      </c>
      <c r="C1193" s="2">
        <f t="shared" si="19"/>
        <v>2.1046485500439457E-2</v>
      </c>
    </row>
    <row r="1194" spans="1:3" x14ac:dyDescent="0.2">
      <c r="A1194" s="1">
        <v>44342</v>
      </c>
      <c r="B1194">
        <v>300.89999999999998</v>
      </c>
      <c r="C1194" s="2">
        <f t="shared" si="19"/>
        <v>-2.9865626977490789E-3</v>
      </c>
    </row>
    <row r="1195" spans="1:3" x14ac:dyDescent="0.2">
      <c r="A1195" s="1">
        <v>44341</v>
      </c>
      <c r="B1195">
        <v>301.8</v>
      </c>
      <c r="C1195" s="2">
        <f t="shared" si="19"/>
        <v>4.6496264437689448E-3</v>
      </c>
    </row>
    <row r="1196" spans="1:3" x14ac:dyDescent="0.2">
      <c r="A1196" s="1">
        <v>44340</v>
      </c>
      <c r="B1196">
        <v>300.39999999999998</v>
      </c>
      <c r="C1196" s="2">
        <f t="shared" si="19"/>
        <v>4.3369542540770958E-3</v>
      </c>
    </row>
    <row r="1197" spans="1:3" x14ac:dyDescent="0.2">
      <c r="A1197" s="1">
        <v>44337</v>
      </c>
      <c r="B1197">
        <v>299.10000000000002</v>
      </c>
      <c r="C1197" s="2">
        <f t="shared" si="19"/>
        <v>1.3382404138382997E-3</v>
      </c>
    </row>
    <row r="1198" spans="1:3" x14ac:dyDescent="0.2">
      <c r="A1198" s="1">
        <v>44336</v>
      </c>
      <c r="B1198">
        <v>298.7</v>
      </c>
      <c r="C1198" s="2">
        <f t="shared" si="19"/>
        <v>1.5519879662114603E-2</v>
      </c>
    </row>
    <row r="1199" spans="1:3" x14ac:dyDescent="0.2">
      <c r="A1199" s="1">
        <v>44335</v>
      </c>
      <c r="B1199">
        <v>294.10000000000002</v>
      </c>
      <c r="C1199" s="2">
        <f t="shared" si="19"/>
        <v>-2.5844700773799117E-2</v>
      </c>
    </row>
    <row r="1200" spans="1:3" x14ac:dyDescent="0.2">
      <c r="A1200" s="1">
        <v>44334</v>
      </c>
      <c r="B1200">
        <v>301.8</v>
      </c>
      <c r="C1200" s="2">
        <f t="shared" si="19"/>
        <v>8.9865806978461863E-3</v>
      </c>
    </row>
    <row r="1201" spans="1:3" x14ac:dyDescent="0.2">
      <c r="A1201" s="1">
        <v>44333</v>
      </c>
      <c r="B1201">
        <v>299.10000000000002</v>
      </c>
      <c r="C1201" s="2">
        <f t="shared" si="19"/>
        <v>-8.6551805291129949E-3</v>
      </c>
    </row>
    <row r="1202" spans="1:3" x14ac:dyDescent="0.2">
      <c r="A1202" s="1">
        <v>44330</v>
      </c>
      <c r="B1202">
        <v>301.7</v>
      </c>
      <c r="C1202" s="2">
        <f t="shared" si="19"/>
        <v>3.9853921897531801E-3</v>
      </c>
    </row>
    <row r="1203" spans="1:3" x14ac:dyDescent="0.2">
      <c r="A1203" s="1">
        <v>44328</v>
      </c>
      <c r="B1203">
        <v>300.5</v>
      </c>
      <c r="C1203" s="2">
        <f t="shared" si="19"/>
        <v>1.8133472026368398E-2</v>
      </c>
    </row>
    <row r="1204" spans="1:3" x14ac:dyDescent="0.2">
      <c r="A1204" s="1">
        <v>44327</v>
      </c>
      <c r="B1204">
        <v>295.10000000000002</v>
      </c>
      <c r="C1204" s="2">
        <f t="shared" si="19"/>
        <v>-2.6088436084297742E-2</v>
      </c>
    </row>
    <row r="1205" spans="1:3" x14ac:dyDescent="0.2">
      <c r="A1205" s="1">
        <v>44326</v>
      </c>
      <c r="B1205">
        <v>302.89999999999998</v>
      </c>
      <c r="C1205" s="2">
        <f t="shared" si="19"/>
        <v>5.9602825455033672E-3</v>
      </c>
    </row>
    <row r="1206" spans="1:3" x14ac:dyDescent="0.2">
      <c r="A1206" s="1">
        <v>44323</v>
      </c>
      <c r="B1206">
        <v>301.10000000000002</v>
      </c>
      <c r="C1206" s="2">
        <f t="shared" si="19"/>
        <v>1.5058005783856354E-2</v>
      </c>
    </row>
    <row r="1207" spans="1:3" x14ac:dyDescent="0.2">
      <c r="A1207" s="1">
        <v>44322</v>
      </c>
      <c r="B1207">
        <v>296.60000000000002</v>
      </c>
      <c r="C1207" s="2">
        <f t="shared" si="19"/>
        <v>-1.3063324271430515E-2</v>
      </c>
    </row>
    <row r="1208" spans="1:3" x14ac:dyDescent="0.2">
      <c r="A1208" s="1">
        <v>44321</v>
      </c>
      <c r="B1208">
        <v>300.5</v>
      </c>
      <c r="C1208" s="2">
        <f t="shared" si="19"/>
        <v>3.4532882944678045E-2</v>
      </c>
    </row>
    <row r="1209" spans="1:3" x14ac:dyDescent="0.2">
      <c r="A1209" s="1">
        <v>44320</v>
      </c>
      <c r="B1209">
        <v>290.3</v>
      </c>
      <c r="C1209" s="2">
        <f t="shared" si="19"/>
        <v>4.4881829181520061E-3</v>
      </c>
    </row>
    <row r="1210" spans="1:3" x14ac:dyDescent="0.2">
      <c r="A1210" s="1">
        <v>44319</v>
      </c>
      <c r="B1210">
        <v>289</v>
      </c>
      <c r="C1210" s="2">
        <f t="shared" si="19"/>
        <v>9.0372530259416901E-3</v>
      </c>
    </row>
    <row r="1211" spans="1:3" x14ac:dyDescent="0.2">
      <c r="A1211" s="1">
        <v>44316</v>
      </c>
      <c r="B1211">
        <v>286.39999999999998</v>
      </c>
      <c r="C1211" s="2">
        <f t="shared" si="19"/>
        <v>4.19874654634954E-3</v>
      </c>
    </row>
    <row r="1212" spans="1:3" x14ac:dyDescent="0.2">
      <c r="A1212" s="1">
        <v>44315</v>
      </c>
      <c r="B1212">
        <v>285.2</v>
      </c>
      <c r="C1212" s="2">
        <f t="shared" si="19"/>
        <v>-4.2223536445543566E-2</v>
      </c>
    </row>
    <row r="1213" spans="1:3" x14ac:dyDescent="0.2">
      <c r="A1213" s="1">
        <v>44314</v>
      </c>
      <c r="B1213">
        <v>297.5</v>
      </c>
      <c r="C1213" s="2">
        <f t="shared" si="19"/>
        <v>-1.1363758650314982E-2</v>
      </c>
    </row>
    <row r="1214" spans="1:3" x14ac:dyDescent="0.2">
      <c r="A1214" s="1">
        <v>44313</v>
      </c>
      <c r="B1214">
        <v>300.89999999999998</v>
      </c>
      <c r="C1214" s="2">
        <f t="shared" si="19"/>
        <v>2.9339484319400401E-2</v>
      </c>
    </row>
    <row r="1215" spans="1:3" x14ac:dyDescent="0.2">
      <c r="A1215" s="1">
        <v>44312</v>
      </c>
      <c r="B1215">
        <v>292.2</v>
      </c>
      <c r="C1215" s="2">
        <f t="shared" si="19"/>
        <v>3.4281829940681911E-3</v>
      </c>
    </row>
    <row r="1216" spans="1:3" x14ac:dyDescent="0.2">
      <c r="A1216" s="1">
        <v>44309</v>
      </c>
      <c r="B1216">
        <v>291.2</v>
      </c>
      <c r="C1216" s="2">
        <f t="shared" si="19"/>
        <v>1.66208812360405E-2</v>
      </c>
    </row>
    <row r="1217" spans="1:3" x14ac:dyDescent="0.2">
      <c r="A1217" s="1">
        <v>44308</v>
      </c>
      <c r="B1217">
        <v>286.39999999999998</v>
      </c>
      <c r="C1217" s="2">
        <f t="shared" si="19"/>
        <v>4.572224933809494E-2</v>
      </c>
    </row>
    <row r="1218" spans="1:3" x14ac:dyDescent="0.2">
      <c r="A1218" s="1">
        <v>44307</v>
      </c>
      <c r="B1218">
        <v>273.60000000000002</v>
      </c>
      <c r="C1218" s="2">
        <f t="shared" si="19"/>
        <v>1.1395087461859197E-2</v>
      </c>
    </row>
    <row r="1219" spans="1:3" x14ac:dyDescent="0.2">
      <c r="A1219" s="1">
        <v>44306</v>
      </c>
      <c r="B1219">
        <v>270.5</v>
      </c>
      <c r="C1219" s="2">
        <f t="shared" ref="C1219:C1282" si="20">+LN(B1219/B1220)</f>
        <v>-2.3745407900802287E-2</v>
      </c>
    </row>
    <row r="1220" spans="1:3" x14ac:dyDescent="0.2">
      <c r="A1220" s="1">
        <v>44305</v>
      </c>
      <c r="B1220">
        <v>277</v>
      </c>
      <c r="C1220" s="2">
        <f t="shared" si="20"/>
        <v>-1.6470118096548969E-2</v>
      </c>
    </row>
    <row r="1221" spans="1:3" x14ac:dyDescent="0.2">
      <c r="A1221" s="1">
        <v>44302</v>
      </c>
      <c r="B1221">
        <v>281.60000000000002</v>
      </c>
      <c r="C1221" s="2">
        <f t="shared" si="20"/>
        <v>1.9362383308695767E-2</v>
      </c>
    </row>
    <row r="1222" spans="1:3" x14ac:dyDescent="0.2">
      <c r="A1222" s="1">
        <v>44301</v>
      </c>
      <c r="B1222">
        <v>276.2</v>
      </c>
      <c r="C1222" s="2">
        <f t="shared" si="20"/>
        <v>1.1287212495532196E-2</v>
      </c>
    </row>
    <row r="1223" spans="1:3" x14ac:dyDescent="0.2">
      <c r="A1223" s="1">
        <v>44300</v>
      </c>
      <c r="B1223">
        <v>273.10000000000002</v>
      </c>
      <c r="C1223" s="2">
        <f t="shared" si="20"/>
        <v>-8.0233836689022394E-3</v>
      </c>
    </row>
    <row r="1224" spans="1:3" x14ac:dyDescent="0.2">
      <c r="A1224" s="1">
        <v>44299</v>
      </c>
      <c r="B1224">
        <v>275.3</v>
      </c>
      <c r="C1224" s="2">
        <f t="shared" si="20"/>
        <v>1.0589837873204465E-2</v>
      </c>
    </row>
    <row r="1225" spans="1:3" x14ac:dyDescent="0.2">
      <c r="A1225" s="1">
        <v>44298</v>
      </c>
      <c r="B1225">
        <v>272.39999999999998</v>
      </c>
      <c r="C1225" s="2">
        <f t="shared" si="20"/>
        <v>4.04635461047116E-3</v>
      </c>
    </row>
    <row r="1226" spans="1:3" x14ac:dyDescent="0.2">
      <c r="A1226" s="1">
        <v>44295</v>
      </c>
      <c r="B1226">
        <v>271.3</v>
      </c>
      <c r="C1226" s="2">
        <f t="shared" si="20"/>
        <v>8.5138400630469045E-3</v>
      </c>
    </row>
    <row r="1227" spans="1:3" x14ac:dyDescent="0.2">
      <c r="A1227" s="1">
        <v>44294</v>
      </c>
      <c r="B1227">
        <v>269</v>
      </c>
      <c r="C1227" s="2">
        <f t="shared" si="20"/>
        <v>-3.3401404221198245E-3</v>
      </c>
    </row>
    <row r="1228" spans="1:3" x14ac:dyDescent="0.2">
      <c r="A1228" s="1">
        <v>44293</v>
      </c>
      <c r="B1228">
        <v>269.89999999999998</v>
      </c>
      <c r="C1228" s="2">
        <f t="shared" si="20"/>
        <v>-5.9106193500311878E-3</v>
      </c>
    </row>
    <row r="1229" spans="1:3" x14ac:dyDescent="0.2">
      <c r="A1229" s="1">
        <v>44292</v>
      </c>
      <c r="B1229">
        <v>271.5</v>
      </c>
      <c r="C1229" s="2">
        <f t="shared" si="20"/>
        <v>2.046583059229104E-2</v>
      </c>
    </row>
    <row r="1230" spans="1:3" x14ac:dyDescent="0.2">
      <c r="A1230" s="1">
        <v>44287</v>
      </c>
      <c r="B1230">
        <v>266</v>
      </c>
      <c r="C1230" s="2">
        <f t="shared" si="20"/>
        <v>7.5472056353829038E-3</v>
      </c>
    </row>
    <row r="1231" spans="1:3" x14ac:dyDescent="0.2">
      <c r="A1231" s="1">
        <v>44286</v>
      </c>
      <c r="B1231">
        <v>264</v>
      </c>
      <c r="C1231" s="2">
        <f t="shared" si="20"/>
        <v>-2.024816082994731E-2</v>
      </c>
    </row>
    <row r="1232" spans="1:3" x14ac:dyDescent="0.2">
      <c r="A1232" s="1">
        <v>44285</v>
      </c>
      <c r="B1232">
        <v>269.39999999999998</v>
      </c>
      <c r="C1232" s="2">
        <f t="shared" si="20"/>
        <v>4.0915065446849768E-3</v>
      </c>
    </row>
    <row r="1233" spans="1:3" x14ac:dyDescent="0.2">
      <c r="A1233" s="1">
        <v>44284</v>
      </c>
      <c r="B1233">
        <v>268.3</v>
      </c>
      <c r="C1233" s="2">
        <f t="shared" si="20"/>
        <v>-7.0566680945199729E-3</v>
      </c>
    </row>
    <row r="1234" spans="1:3" x14ac:dyDescent="0.2">
      <c r="A1234" s="1">
        <v>44281</v>
      </c>
      <c r="B1234">
        <v>270.2</v>
      </c>
      <c r="C1234" s="2">
        <f t="shared" si="20"/>
        <v>4.0793677932382559E-3</v>
      </c>
    </row>
    <row r="1235" spans="1:3" x14ac:dyDescent="0.2">
      <c r="A1235" s="1">
        <v>44280</v>
      </c>
      <c r="B1235">
        <v>269.10000000000002</v>
      </c>
      <c r="C1235" s="2">
        <f t="shared" si="20"/>
        <v>-5.9281388873952982E-3</v>
      </c>
    </row>
    <row r="1236" spans="1:3" x14ac:dyDescent="0.2">
      <c r="A1236" s="1">
        <v>44279</v>
      </c>
      <c r="B1236">
        <v>270.7</v>
      </c>
      <c r="C1236" s="2">
        <f t="shared" si="20"/>
        <v>2.0149935476561531E-2</v>
      </c>
    </row>
    <row r="1237" spans="1:3" x14ac:dyDescent="0.2">
      <c r="A1237" s="1">
        <v>44278</v>
      </c>
      <c r="B1237">
        <v>265.3</v>
      </c>
      <c r="C1237" s="2">
        <f t="shared" si="20"/>
        <v>-2.494080515230326E-2</v>
      </c>
    </row>
    <row r="1238" spans="1:3" x14ac:dyDescent="0.2">
      <c r="A1238" s="1">
        <v>44277</v>
      </c>
      <c r="B1238">
        <v>272</v>
      </c>
      <c r="C1238" s="2">
        <f t="shared" si="20"/>
        <v>-9.1491946535879765E-3</v>
      </c>
    </row>
    <row r="1239" spans="1:3" x14ac:dyDescent="0.2">
      <c r="A1239" s="1">
        <v>44274</v>
      </c>
      <c r="B1239">
        <v>274.5</v>
      </c>
      <c r="C1239" s="2">
        <f t="shared" si="20"/>
        <v>-2.9101511989762939E-3</v>
      </c>
    </row>
    <row r="1240" spans="1:3" x14ac:dyDescent="0.2">
      <c r="A1240" s="1">
        <v>44273</v>
      </c>
      <c r="B1240">
        <v>275.3</v>
      </c>
      <c r="C1240" s="2">
        <f t="shared" si="20"/>
        <v>1.0957012468847699E-2</v>
      </c>
    </row>
    <row r="1241" spans="1:3" x14ac:dyDescent="0.2">
      <c r="A1241" s="1">
        <v>44272</v>
      </c>
      <c r="B1241">
        <v>272.3</v>
      </c>
      <c r="C1241" s="2">
        <f t="shared" si="20"/>
        <v>-4.0315246101351081E-3</v>
      </c>
    </row>
    <row r="1242" spans="1:3" x14ac:dyDescent="0.2">
      <c r="A1242" s="1">
        <v>44271</v>
      </c>
      <c r="B1242">
        <v>273.39999999999998</v>
      </c>
      <c r="C1242" s="2">
        <f t="shared" si="20"/>
        <v>7.3179659321414604E-4</v>
      </c>
    </row>
    <row r="1243" spans="1:3" x14ac:dyDescent="0.2">
      <c r="A1243" s="1">
        <v>44270</v>
      </c>
      <c r="B1243">
        <v>273.2</v>
      </c>
      <c r="C1243" s="2">
        <f t="shared" si="20"/>
        <v>5.1376259795916134E-3</v>
      </c>
    </row>
    <row r="1244" spans="1:3" x14ac:dyDescent="0.2">
      <c r="A1244" s="1">
        <v>44267</v>
      </c>
      <c r="B1244">
        <v>271.8</v>
      </c>
      <c r="C1244" s="2">
        <f t="shared" si="20"/>
        <v>-1.5696617219065394E-2</v>
      </c>
    </row>
    <row r="1245" spans="1:3" x14ac:dyDescent="0.2">
      <c r="A1245" s="1">
        <v>44266</v>
      </c>
      <c r="B1245">
        <v>276.10000000000002</v>
      </c>
      <c r="C1245" s="2">
        <f t="shared" si="20"/>
        <v>3.9920212695374567E-3</v>
      </c>
    </row>
    <row r="1246" spans="1:3" x14ac:dyDescent="0.2">
      <c r="A1246" s="1">
        <v>44265</v>
      </c>
      <c r="B1246">
        <v>275</v>
      </c>
      <c r="C1246" s="2">
        <f t="shared" si="20"/>
        <v>0</v>
      </c>
    </row>
    <row r="1247" spans="1:3" x14ac:dyDescent="0.2">
      <c r="A1247" s="1">
        <v>44264</v>
      </c>
      <c r="B1247">
        <v>275</v>
      </c>
      <c r="C1247" s="2">
        <f t="shared" si="20"/>
        <v>-3.6297680505787237E-3</v>
      </c>
    </row>
    <row r="1248" spans="1:3" x14ac:dyDescent="0.2">
      <c r="A1248" s="1">
        <v>44263</v>
      </c>
      <c r="B1248">
        <v>276</v>
      </c>
      <c r="C1248" s="2">
        <f t="shared" si="20"/>
        <v>2.1978906718775167E-2</v>
      </c>
    </row>
    <row r="1249" spans="1:3" x14ac:dyDescent="0.2">
      <c r="A1249" s="1">
        <v>44260</v>
      </c>
      <c r="B1249">
        <v>270</v>
      </c>
      <c r="C1249" s="2">
        <f t="shared" si="20"/>
        <v>-1.1104942840271764E-3</v>
      </c>
    </row>
    <row r="1250" spans="1:3" x14ac:dyDescent="0.2">
      <c r="A1250" s="1">
        <v>44259</v>
      </c>
      <c r="B1250">
        <v>270.3</v>
      </c>
      <c r="C1250" s="2">
        <f t="shared" si="20"/>
        <v>-9.2064726869051042E-3</v>
      </c>
    </row>
    <row r="1251" spans="1:3" x14ac:dyDescent="0.2">
      <c r="A1251" s="1">
        <v>44258</v>
      </c>
      <c r="B1251">
        <v>272.8</v>
      </c>
      <c r="C1251" s="2">
        <f t="shared" si="20"/>
        <v>2.1864869558828628E-2</v>
      </c>
    </row>
    <row r="1252" spans="1:3" x14ac:dyDescent="0.2">
      <c r="A1252" s="1">
        <v>44257</v>
      </c>
      <c r="B1252">
        <v>266.89999999999998</v>
      </c>
      <c r="C1252" s="2">
        <f t="shared" si="20"/>
        <v>-4.1129241003783649E-3</v>
      </c>
    </row>
    <row r="1253" spans="1:3" x14ac:dyDescent="0.2">
      <c r="A1253" s="1">
        <v>44256</v>
      </c>
      <c r="B1253">
        <v>268</v>
      </c>
      <c r="C1253" s="2">
        <f t="shared" si="20"/>
        <v>2.5317807984289786E-2</v>
      </c>
    </row>
    <row r="1254" spans="1:3" x14ac:dyDescent="0.2">
      <c r="A1254" s="1">
        <v>44253</v>
      </c>
      <c r="B1254">
        <v>261.3</v>
      </c>
      <c r="C1254" s="2">
        <f t="shared" si="20"/>
        <v>-1.7074973752578122E-2</v>
      </c>
    </row>
    <row r="1255" spans="1:3" x14ac:dyDescent="0.2">
      <c r="A1255" s="1">
        <v>44252</v>
      </c>
      <c r="B1255">
        <v>265.8</v>
      </c>
      <c r="C1255" s="2">
        <f t="shared" si="20"/>
        <v>5.6593246689013565E-3</v>
      </c>
    </row>
    <row r="1256" spans="1:3" x14ac:dyDescent="0.2">
      <c r="A1256" s="1">
        <v>44251</v>
      </c>
      <c r="B1256">
        <v>264.3</v>
      </c>
      <c r="C1256" s="2">
        <f t="shared" si="20"/>
        <v>1.7172717373744387E-2</v>
      </c>
    </row>
    <row r="1257" spans="1:3" x14ac:dyDescent="0.2">
      <c r="A1257" s="1">
        <v>44250</v>
      </c>
      <c r="B1257">
        <v>259.8</v>
      </c>
      <c r="C1257" s="2">
        <f t="shared" si="20"/>
        <v>-9.1954670931001618E-3</v>
      </c>
    </row>
    <row r="1258" spans="1:3" x14ac:dyDescent="0.2">
      <c r="A1258" s="1">
        <v>44249</v>
      </c>
      <c r="B1258">
        <v>262.2</v>
      </c>
      <c r="C1258" s="2">
        <f t="shared" si="20"/>
        <v>1.8864852041900883E-2</v>
      </c>
    </row>
    <row r="1259" spans="1:3" x14ac:dyDescent="0.2">
      <c r="A1259" s="1">
        <v>44246</v>
      </c>
      <c r="B1259">
        <v>257.3</v>
      </c>
      <c r="C1259" s="2">
        <f t="shared" si="20"/>
        <v>1.4878896256460663E-2</v>
      </c>
    </row>
    <row r="1260" spans="1:3" x14ac:dyDescent="0.2">
      <c r="A1260" s="1">
        <v>44245</v>
      </c>
      <c r="B1260">
        <v>253.5</v>
      </c>
      <c r="C1260" s="2">
        <f t="shared" si="20"/>
        <v>9.9108838994539598E-3</v>
      </c>
    </row>
    <row r="1261" spans="1:3" x14ac:dyDescent="0.2">
      <c r="A1261" s="1">
        <v>44244</v>
      </c>
      <c r="B1261">
        <v>251</v>
      </c>
      <c r="C1261" s="2">
        <f t="shared" si="20"/>
        <v>-4.7694843990352806E-3</v>
      </c>
    </row>
    <row r="1262" spans="1:3" x14ac:dyDescent="0.2">
      <c r="A1262" s="1">
        <v>44243</v>
      </c>
      <c r="B1262">
        <v>252.2</v>
      </c>
      <c r="C1262" s="2">
        <f t="shared" si="20"/>
        <v>4.3711573672798112E-3</v>
      </c>
    </row>
    <row r="1263" spans="1:3" x14ac:dyDescent="0.2">
      <c r="A1263" s="1">
        <v>44242</v>
      </c>
      <c r="B1263">
        <v>251.1</v>
      </c>
      <c r="C1263" s="2">
        <f t="shared" si="20"/>
        <v>7.9968438954044849E-3</v>
      </c>
    </row>
    <row r="1264" spans="1:3" x14ac:dyDescent="0.2">
      <c r="A1264" s="1">
        <v>44239</v>
      </c>
      <c r="B1264">
        <v>249.1</v>
      </c>
      <c r="C1264" s="2">
        <f t="shared" si="20"/>
        <v>6.4438402593897859E-3</v>
      </c>
    </row>
    <row r="1265" spans="1:3" x14ac:dyDescent="0.2">
      <c r="A1265" s="1">
        <v>44238</v>
      </c>
      <c r="B1265">
        <v>247.5</v>
      </c>
      <c r="C1265" s="2">
        <f t="shared" si="20"/>
        <v>-6.0423144559625863E-3</v>
      </c>
    </row>
    <row r="1266" spans="1:3" x14ac:dyDescent="0.2">
      <c r="A1266" s="1">
        <v>44237</v>
      </c>
      <c r="B1266">
        <v>249</v>
      </c>
      <c r="C1266" s="2">
        <f t="shared" si="20"/>
        <v>-4.0080213975388218E-3</v>
      </c>
    </row>
    <row r="1267" spans="1:3" x14ac:dyDescent="0.2">
      <c r="A1267" s="1">
        <v>44236</v>
      </c>
      <c r="B1267">
        <v>250</v>
      </c>
      <c r="C1267" s="2">
        <f t="shared" si="20"/>
        <v>1.8163970627671121E-2</v>
      </c>
    </row>
    <row r="1268" spans="1:3" x14ac:dyDescent="0.2">
      <c r="A1268" s="1">
        <v>44235</v>
      </c>
      <c r="B1268">
        <v>245.5</v>
      </c>
      <c r="C1268" s="2">
        <f t="shared" si="20"/>
        <v>3.8194763041713022E-2</v>
      </c>
    </row>
    <row r="1269" spans="1:3" x14ac:dyDescent="0.2">
      <c r="A1269" s="1">
        <v>44232</v>
      </c>
      <c r="B1269">
        <v>236.3</v>
      </c>
      <c r="C1269" s="2">
        <f t="shared" si="20"/>
        <v>4.2328042960040229E-4</v>
      </c>
    </row>
    <row r="1270" spans="1:3" x14ac:dyDescent="0.2">
      <c r="A1270" s="1">
        <v>44231</v>
      </c>
      <c r="B1270">
        <v>236.2</v>
      </c>
      <c r="C1270" s="2">
        <f t="shared" si="20"/>
        <v>1.3211357721550359E-2</v>
      </c>
    </row>
    <row r="1271" spans="1:3" x14ac:dyDescent="0.2">
      <c r="A1271" s="1">
        <v>44230</v>
      </c>
      <c r="B1271">
        <v>233.1</v>
      </c>
      <c r="C1271" s="2">
        <f t="shared" si="20"/>
        <v>3.5811687076441473E-2</v>
      </c>
    </row>
    <row r="1272" spans="1:3" x14ac:dyDescent="0.2">
      <c r="A1272" s="1">
        <v>44229</v>
      </c>
      <c r="B1272">
        <v>224.9</v>
      </c>
      <c r="C1272" s="2">
        <f t="shared" si="20"/>
        <v>1.8398544562329807E-2</v>
      </c>
    </row>
    <row r="1273" spans="1:3" x14ac:dyDescent="0.2">
      <c r="A1273" s="1">
        <v>44228</v>
      </c>
      <c r="B1273">
        <v>220.8</v>
      </c>
      <c r="C1273" s="2">
        <f t="shared" si="20"/>
        <v>5.4496047675646848E-3</v>
      </c>
    </row>
    <row r="1274" spans="1:3" x14ac:dyDescent="0.2">
      <c r="A1274" s="1">
        <v>44225</v>
      </c>
      <c r="B1274">
        <v>219.6</v>
      </c>
      <c r="C1274" s="2">
        <f t="shared" si="20"/>
        <v>-1.6708449210736699E-2</v>
      </c>
    </row>
    <row r="1275" spans="1:3" x14ac:dyDescent="0.2">
      <c r="A1275" s="1">
        <v>44224</v>
      </c>
      <c r="B1275">
        <v>223.3</v>
      </c>
      <c r="C1275" s="2">
        <f t="shared" si="20"/>
        <v>-1.3787187482915663E-2</v>
      </c>
    </row>
    <row r="1276" spans="1:3" x14ac:dyDescent="0.2">
      <c r="A1276" s="1">
        <v>44223</v>
      </c>
      <c r="B1276">
        <v>226.4</v>
      </c>
      <c r="C1276" s="2">
        <f t="shared" si="20"/>
        <v>-2.6156678648728348E-2</v>
      </c>
    </row>
    <row r="1277" spans="1:3" x14ac:dyDescent="0.2">
      <c r="A1277" s="1">
        <v>44222</v>
      </c>
      <c r="B1277">
        <v>232.4</v>
      </c>
      <c r="C1277" s="2">
        <f t="shared" si="20"/>
        <v>2.1537807162701492E-3</v>
      </c>
    </row>
    <row r="1278" spans="1:3" x14ac:dyDescent="0.2">
      <c r="A1278" s="1">
        <v>44221</v>
      </c>
      <c r="B1278">
        <v>231.9</v>
      </c>
      <c r="C1278" s="2">
        <f t="shared" si="20"/>
        <v>-1.9219041270457194E-2</v>
      </c>
    </row>
    <row r="1279" spans="1:3" x14ac:dyDescent="0.2">
      <c r="A1279" s="1">
        <v>44218</v>
      </c>
      <c r="B1279">
        <v>236.4</v>
      </c>
      <c r="C1279" s="2">
        <f t="shared" si="20"/>
        <v>-4.6423379427527767E-3</v>
      </c>
    </row>
    <row r="1280" spans="1:3" x14ac:dyDescent="0.2">
      <c r="A1280" s="1">
        <v>44217</v>
      </c>
      <c r="B1280">
        <v>237.5</v>
      </c>
      <c r="C1280" s="2">
        <f t="shared" si="20"/>
        <v>4.2194155427082896E-3</v>
      </c>
    </row>
    <row r="1281" spans="1:3" x14ac:dyDescent="0.2">
      <c r="A1281" s="1">
        <v>44216</v>
      </c>
      <c r="B1281">
        <v>236.5</v>
      </c>
      <c r="C1281" s="2">
        <f t="shared" si="20"/>
        <v>8.0662717126125799E-3</v>
      </c>
    </row>
    <row r="1282" spans="1:3" x14ac:dyDescent="0.2">
      <c r="A1282" s="1">
        <v>44215</v>
      </c>
      <c r="B1282">
        <v>234.6</v>
      </c>
      <c r="C1282" s="2">
        <f t="shared" si="20"/>
        <v>-5.9498688062350549E-3</v>
      </c>
    </row>
    <row r="1283" spans="1:3" x14ac:dyDescent="0.2">
      <c r="A1283" s="1">
        <v>44214</v>
      </c>
      <c r="B1283">
        <v>236</v>
      </c>
      <c r="C1283" s="2">
        <f t="shared" ref="C1283:C1346" si="21">+LN(B1283/B1284)</f>
        <v>4.6719133607429509E-3</v>
      </c>
    </row>
    <row r="1284" spans="1:3" x14ac:dyDescent="0.2">
      <c r="A1284" s="1">
        <v>44211</v>
      </c>
      <c r="B1284">
        <v>234.9</v>
      </c>
      <c r="C1284" s="2">
        <f t="shared" si="21"/>
        <v>-1.7721982799411857E-2</v>
      </c>
    </row>
    <row r="1285" spans="1:3" x14ac:dyDescent="0.2">
      <c r="A1285" s="1">
        <v>44210</v>
      </c>
      <c r="B1285">
        <v>239.1</v>
      </c>
      <c r="C1285" s="2">
        <f t="shared" si="21"/>
        <v>1.0933666532291336E-2</v>
      </c>
    </row>
    <row r="1286" spans="1:3" x14ac:dyDescent="0.2">
      <c r="A1286" s="1">
        <v>44209</v>
      </c>
      <c r="B1286">
        <v>236.5</v>
      </c>
      <c r="C1286" s="2">
        <f t="shared" si="21"/>
        <v>4.2372944755152174E-3</v>
      </c>
    </row>
    <row r="1287" spans="1:3" x14ac:dyDescent="0.2">
      <c r="A1287" s="1">
        <v>44208</v>
      </c>
      <c r="B1287">
        <v>235.5</v>
      </c>
      <c r="C1287" s="2">
        <f t="shared" si="21"/>
        <v>1.9726197096022705E-2</v>
      </c>
    </row>
    <row r="1288" spans="1:3" x14ac:dyDescent="0.2">
      <c r="A1288" s="1">
        <v>44207</v>
      </c>
      <c r="B1288">
        <v>230.9</v>
      </c>
      <c r="C1288" s="2">
        <f t="shared" si="21"/>
        <v>-6.9055086669612877E-3</v>
      </c>
    </row>
    <row r="1289" spans="1:3" x14ac:dyDescent="0.2">
      <c r="A1289" s="1">
        <v>44204</v>
      </c>
      <c r="B1289">
        <v>232.5</v>
      </c>
      <c r="C1289" s="2">
        <f t="shared" si="21"/>
        <v>8.6058525104755522E-4</v>
      </c>
    </row>
    <row r="1290" spans="1:3" x14ac:dyDescent="0.2">
      <c r="A1290" s="1">
        <v>44203</v>
      </c>
      <c r="B1290">
        <v>232.3</v>
      </c>
      <c r="C1290" s="2">
        <f t="shared" si="21"/>
        <v>1.4307636222123832E-2</v>
      </c>
    </row>
    <row r="1291" spans="1:3" x14ac:dyDescent="0.2">
      <c r="A1291" s="1">
        <v>44201</v>
      </c>
      <c r="B1291">
        <v>229</v>
      </c>
      <c r="C1291" s="2">
        <f t="shared" si="21"/>
        <v>4.3677659571871751E-4</v>
      </c>
    </row>
    <row r="1292" spans="1:3" x14ac:dyDescent="0.2">
      <c r="A1292" s="1">
        <v>44200</v>
      </c>
      <c r="B1292">
        <v>228.9</v>
      </c>
      <c r="C1292" s="2">
        <f t="shared" si="21"/>
        <v>1.1423674319029218E-2</v>
      </c>
    </row>
    <row r="1293" spans="1:3" x14ac:dyDescent="0.2">
      <c r="A1293" s="1">
        <v>44195</v>
      </c>
      <c r="B1293">
        <v>226.3</v>
      </c>
      <c r="C1293" s="2">
        <f t="shared" si="21"/>
        <v>-5.7281496126840399E-3</v>
      </c>
    </row>
    <row r="1294" spans="1:3" x14ac:dyDescent="0.2">
      <c r="A1294" s="1">
        <v>44194</v>
      </c>
      <c r="B1294">
        <v>227.6</v>
      </c>
      <c r="C1294" s="2">
        <f t="shared" si="21"/>
        <v>8.3830184286858081E-3</v>
      </c>
    </row>
    <row r="1295" spans="1:3" x14ac:dyDescent="0.2">
      <c r="A1295" s="1">
        <v>44193</v>
      </c>
      <c r="B1295">
        <v>225.7</v>
      </c>
      <c r="C1295" s="2">
        <f t="shared" si="21"/>
        <v>5.3309766411810192E-3</v>
      </c>
    </row>
    <row r="1296" spans="1:3" x14ac:dyDescent="0.2">
      <c r="A1296" s="1">
        <v>44188</v>
      </c>
      <c r="B1296">
        <v>224.5</v>
      </c>
      <c r="C1296" s="2">
        <f t="shared" si="21"/>
        <v>1.2099632266042172E-2</v>
      </c>
    </row>
    <row r="1297" spans="1:3" x14ac:dyDescent="0.2">
      <c r="A1297" s="1">
        <v>44187</v>
      </c>
      <c r="B1297">
        <v>221.8</v>
      </c>
      <c r="C1297" s="2">
        <f t="shared" si="21"/>
        <v>6.7858211079693288E-3</v>
      </c>
    </row>
    <row r="1298" spans="1:3" x14ac:dyDescent="0.2">
      <c r="A1298" s="1">
        <v>44186</v>
      </c>
      <c r="B1298">
        <v>220.3</v>
      </c>
      <c r="C1298" s="2">
        <f t="shared" si="21"/>
        <v>-2.1110148396122647E-2</v>
      </c>
    </row>
    <row r="1299" spans="1:3" x14ac:dyDescent="0.2">
      <c r="A1299" s="1">
        <v>44183</v>
      </c>
      <c r="B1299">
        <v>225</v>
      </c>
    </row>
    <row r="1300" spans="1:3" x14ac:dyDescent="0.2">
      <c r="A1300" s="1">
        <v>44182</v>
      </c>
      <c r="B1300">
        <v>223.6</v>
      </c>
      <c r="C1300" s="2">
        <f t="shared" si="21"/>
        <v>-2.0801812254805867E-2</v>
      </c>
    </row>
    <row r="1301" spans="1:3" x14ac:dyDescent="0.2">
      <c r="A1301" s="1">
        <v>44181</v>
      </c>
      <c r="B1301">
        <v>228.3</v>
      </c>
      <c r="C1301" s="2">
        <f t="shared" si="21"/>
        <v>5.2701044242372437E-3</v>
      </c>
    </row>
    <row r="1302" spans="1:3" x14ac:dyDescent="0.2">
      <c r="A1302" s="1">
        <v>44180</v>
      </c>
      <c r="B1302">
        <v>227.1</v>
      </c>
      <c r="C1302" s="2">
        <f t="shared" si="21"/>
        <v>1.9564874848190823E-2</v>
      </c>
    </row>
    <row r="1303" spans="1:3" x14ac:dyDescent="0.2">
      <c r="A1303" s="1">
        <v>44179</v>
      </c>
      <c r="B1303">
        <v>222.7</v>
      </c>
      <c r="C1303" s="2">
        <f t="shared" si="21"/>
        <v>4.0494993470550815E-3</v>
      </c>
    </row>
    <row r="1304" spans="1:3" x14ac:dyDescent="0.2">
      <c r="A1304" s="1">
        <v>44176</v>
      </c>
      <c r="B1304">
        <v>221.8</v>
      </c>
      <c r="C1304" s="2">
        <f t="shared" si="21"/>
        <v>5.8783800293659245E-3</v>
      </c>
    </row>
    <row r="1305" spans="1:3" x14ac:dyDescent="0.2">
      <c r="A1305" s="1">
        <v>44175</v>
      </c>
      <c r="B1305">
        <v>220.5</v>
      </c>
      <c r="C1305" s="2">
        <f t="shared" si="21"/>
        <v>0</v>
      </c>
    </row>
    <row r="1306" spans="1:3" x14ac:dyDescent="0.2">
      <c r="A1306" s="1">
        <v>44174</v>
      </c>
      <c r="B1306">
        <v>220.5</v>
      </c>
      <c r="C1306" s="2">
        <f t="shared" si="21"/>
        <v>-7.6801823186289234E-3</v>
      </c>
    </row>
    <row r="1307" spans="1:3" x14ac:dyDescent="0.2">
      <c r="A1307" s="1">
        <v>44173</v>
      </c>
      <c r="B1307">
        <v>222.2</v>
      </c>
      <c r="C1307" s="2">
        <f t="shared" si="21"/>
        <v>1.8165803806559272E-2</v>
      </c>
    </row>
    <row r="1308" spans="1:3" x14ac:dyDescent="0.2">
      <c r="A1308" s="1">
        <v>44172</v>
      </c>
      <c r="B1308">
        <v>218.2</v>
      </c>
      <c r="C1308" s="2">
        <f t="shared" si="21"/>
        <v>-6.8509059915941063E-3</v>
      </c>
    </row>
    <row r="1309" spans="1:3" x14ac:dyDescent="0.2">
      <c r="A1309" s="1">
        <v>44169</v>
      </c>
      <c r="B1309">
        <v>219.7</v>
      </c>
      <c r="C1309" s="2">
        <f t="shared" si="21"/>
        <v>8.2267374399903337E-3</v>
      </c>
    </row>
    <row r="1310" spans="1:3" x14ac:dyDescent="0.2">
      <c r="A1310" s="1">
        <v>44168</v>
      </c>
      <c r="B1310">
        <v>217.9</v>
      </c>
      <c r="C1310" s="2">
        <f t="shared" si="21"/>
        <v>5.5223334082608608E-3</v>
      </c>
    </row>
    <row r="1311" spans="1:3" x14ac:dyDescent="0.2">
      <c r="A1311" s="1">
        <v>44167</v>
      </c>
      <c r="B1311">
        <v>216.7</v>
      </c>
      <c r="C1311" s="2">
        <f t="shared" si="21"/>
        <v>-1.5113637810048184E-2</v>
      </c>
    </row>
    <row r="1312" spans="1:3" x14ac:dyDescent="0.2">
      <c r="A1312" s="1">
        <v>44166</v>
      </c>
      <c r="B1312">
        <v>220</v>
      </c>
      <c r="C1312" s="2">
        <f t="shared" si="21"/>
        <v>1.6961213393348301E-2</v>
      </c>
    </row>
    <row r="1313" spans="1:3" x14ac:dyDescent="0.2">
      <c r="A1313" s="1">
        <v>44165</v>
      </c>
      <c r="B1313">
        <v>216.3</v>
      </c>
      <c r="C1313" s="2">
        <f t="shared" si="21"/>
        <v>-2.7361488011137844E-2</v>
      </c>
    </row>
    <row r="1314" spans="1:3" x14ac:dyDescent="0.2">
      <c r="A1314" s="1">
        <v>44162</v>
      </c>
      <c r="B1314">
        <v>222.3</v>
      </c>
      <c r="C1314" s="2">
        <f t="shared" si="21"/>
        <v>1.130977900062992E-2</v>
      </c>
    </row>
    <row r="1315" spans="1:3" x14ac:dyDescent="0.2">
      <c r="A1315" s="1">
        <v>44161</v>
      </c>
      <c r="B1315">
        <v>219.8</v>
      </c>
      <c r="C1315" s="2">
        <f t="shared" si="21"/>
        <v>9.6000737290193577E-3</v>
      </c>
    </row>
    <row r="1316" spans="1:3" x14ac:dyDescent="0.2">
      <c r="A1316" s="1">
        <v>44160</v>
      </c>
      <c r="B1316">
        <v>217.7</v>
      </c>
      <c r="C1316" s="2">
        <f t="shared" si="21"/>
        <v>-3.0312205408039541E-2</v>
      </c>
    </row>
    <row r="1317" spans="1:3" x14ac:dyDescent="0.2">
      <c r="A1317" s="1">
        <v>44159</v>
      </c>
      <c r="B1317">
        <v>224.4</v>
      </c>
      <c r="C1317" s="2">
        <f t="shared" si="21"/>
        <v>2.9393931697966964E-2</v>
      </c>
    </row>
    <row r="1318" spans="1:3" x14ac:dyDescent="0.2">
      <c r="A1318" s="1">
        <v>44158</v>
      </c>
      <c r="B1318">
        <v>217.9</v>
      </c>
      <c r="C1318" s="2">
        <f t="shared" si="21"/>
        <v>2.7449967278561815E-2</v>
      </c>
    </row>
    <row r="1319" spans="1:3" x14ac:dyDescent="0.2">
      <c r="A1319" s="1">
        <v>44155</v>
      </c>
      <c r="B1319">
        <v>212</v>
      </c>
      <c r="C1319" s="2">
        <f t="shared" si="21"/>
        <v>3.4552381506659735E-2</v>
      </c>
    </row>
    <row r="1320" spans="1:3" x14ac:dyDescent="0.2">
      <c r="A1320" s="1">
        <v>44154</v>
      </c>
      <c r="B1320">
        <v>204.8</v>
      </c>
      <c r="C1320" s="2">
        <f t="shared" si="21"/>
        <v>-2.3167059281534303E-2</v>
      </c>
    </row>
    <row r="1321" spans="1:3" x14ac:dyDescent="0.2">
      <c r="A1321" s="1">
        <v>44153</v>
      </c>
      <c r="B1321">
        <v>209.6</v>
      </c>
      <c r="C1321" s="2">
        <f t="shared" si="21"/>
        <v>5.7416425676751828E-3</v>
      </c>
    </row>
    <row r="1322" spans="1:3" x14ac:dyDescent="0.2">
      <c r="A1322" s="1">
        <v>44152</v>
      </c>
      <c r="B1322">
        <v>208.4</v>
      </c>
      <c r="C1322" s="2">
        <f t="shared" si="21"/>
        <v>-4.7973135964421665E-4</v>
      </c>
    </row>
    <row r="1323" spans="1:3" x14ac:dyDescent="0.2">
      <c r="A1323" s="1">
        <v>44151</v>
      </c>
      <c r="B1323">
        <v>208.5</v>
      </c>
      <c r="C1323" s="2">
        <f t="shared" si="21"/>
        <v>4.5629696088358408E-2</v>
      </c>
    </row>
    <row r="1324" spans="1:3" x14ac:dyDescent="0.2">
      <c r="A1324" s="1">
        <v>44148</v>
      </c>
      <c r="B1324">
        <v>199.2</v>
      </c>
      <c r="C1324" s="2">
        <f t="shared" si="21"/>
        <v>1.6960285038657499E-2</v>
      </c>
    </row>
    <row r="1325" spans="1:3" x14ac:dyDescent="0.2">
      <c r="A1325" s="1">
        <v>44147</v>
      </c>
      <c r="B1325">
        <v>195.85</v>
      </c>
      <c r="C1325" s="2">
        <f t="shared" si="21"/>
        <v>-2.5497209121783473E-3</v>
      </c>
    </row>
    <row r="1326" spans="1:3" x14ac:dyDescent="0.2">
      <c r="A1326" s="1">
        <v>44146</v>
      </c>
      <c r="B1326">
        <v>196.35</v>
      </c>
      <c r="C1326" s="2">
        <f t="shared" si="21"/>
        <v>-3.3049477139699395E-3</v>
      </c>
    </row>
    <row r="1327" spans="1:3" x14ac:dyDescent="0.2">
      <c r="A1327" s="1">
        <v>44145</v>
      </c>
      <c r="B1327">
        <v>197</v>
      </c>
      <c r="C1327" s="2">
        <f t="shared" si="21"/>
        <v>1.405773949023173E-2</v>
      </c>
    </row>
    <row r="1328" spans="1:3" x14ac:dyDescent="0.2">
      <c r="A1328" s="1">
        <v>44144</v>
      </c>
      <c r="B1328">
        <v>194.25</v>
      </c>
      <c r="C1328" s="2">
        <f t="shared" si="21"/>
        <v>6.789033554285144E-2</v>
      </c>
    </row>
    <row r="1329" spans="1:3" x14ac:dyDescent="0.2">
      <c r="A1329" s="1">
        <v>44141</v>
      </c>
      <c r="B1329">
        <v>181.5</v>
      </c>
      <c r="C1329" s="2">
        <f t="shared" si="21"/>
        <v>-4.3980279797119388E-3</v>
      </c>
    </row>
    <row r="1330" spans="1:3" x14ac:dyDescent="0.2">
      <c r="A1330" s="1">
        <v>44140</v>
      </c>
      <c r="B1330">
        <v>182.3</v>
      </c>
      <c r="C1330" s="2">
        <f t="shared" si="21"/>
        <v>1.4086685083461281E-2</v>
      </c>
    </row>
    <row r="1331" spans="1:3" x14ac:dyDescent="0.2">
      <c r="A1331" s="1">
        <v>44139</v>
      </c>
      <c r="B1331">
        <v>179.75</v>
      </c>
      <c r="C1331" s="2">
        <f t="shared" si="21"/>
        <v>2.5066159900688613E-3</v>
      </c>
    </row>
    <row r="1332" spans="1:3" x14ac:dyDescent="0.2">
      <c r="A1332" s="1">
        <v>44138</v>
      </c>
      <c r="B1332">
        <v>179.3</v>
      </c>
      <c r="C1332" s="2">
        <f t="shared" si="21"/>
        <v>-7.2242603717977685E-3</v>
      </c>
    </row>
    <row r="1333" spans="1:3" x14ac:dyDescent="0.2">
      <c r="A1333" s="1">
        <v>44137</v>
      </c>
      <c r="B1333">
        <v>180.6</v>
      </c>
      <c r="C1333" s="2">
        <f t="shared" si="21"/>
        <v>5.5386320994929637E-4</v>
      </c>
    </row>
    <row r="1334" spans="1:3" x14ac:dyDescent="0.2">
      <c r="A1334" s="1">
        <v>44134</v>
      </c>
      <c r="B1334">
        <v>180.5</v>
      </c>
      <c r="C1334" s="2">
        <f t="shared" si="21"/>
        <v>4.4419839834223844E-3</v>
      </c>
    </row>
    <row r="1335" spans="1:3" x14ac:dyDescent="0.2">
      <c r="A1335" s="1">
        <v>44133</v>
      </c>
      <c r="B1335">
        <v>179.7</v>
      </c>
      <c r="C1335" s="2">
        <f t="shared" si="21"/>
        <v>-4.7189539339534802E-3</v>
      </c>
    </row>
    <row r="1336" spans="1:3" x14ac:dyDescent="0.2">
      <c r="A1336" s="1">
        <v>44132</v>
      </c>
      <c r="B1336">
        <v>180.55</v>
      </c>
      <c r="C1336" s="2">
        <f t="shared" si="21"/>
        <v>-3.0416171659008234E-3</v>
      </c>
    </row>
    <row r="1337" spans="1:3" x14ac:dyDescent="0.2">
      <c r="A1337" s="1">
        <v>44131</v>
      </c>
      <c r="B1337">
        <v>181.1</v>
      </c>
      <c r="C1337" s="2">
        <f t="shared" si="21"/>
        <v>-2.1036153389095296E-2</v>
      </c>
    </row>
    <row r="1338" spans="1:3" x14ac:dyDescent="0.2">
      <c r="A1338" s="1">
        <v>44130</v>
      </c>
      <c r="B1338">
        <v>184.95</v>
      </c>
      <c r="C1338" s="2">
        <f t="shared" si="21"/>
        <v>-4.1308494164975958E-2</v>
      </c>
    </row>
    <row r="1339" spans="1:3" x14ac:dyDescent="0.2">
      <c r="A1339" s="1">
        <v>44127</v>
      </c>
      <c r="B1339">
        <v>192.75</v>
      </c>
      <c r="C1339" s="2">
        <f t="shared" si="21"/>
        <v>6.7673345201354302E-3</v>
      </c>
    </row>
    <row r="1340" spans="1:3" x14ac:dyDescent="0.2">
      <c r="A1340" s="1">
        <v>44126</v>
      </c>
      <c r="B1340">
        <v>191.45</v>
      </c>
      <c r="C1340" s="2">
        <f t="shared" si="21"/>
        <v>-1.6576396133161263E-2</v>
      </c>
    </row>
    <row r="1341" spans="1:3" x14ac:dyDescent="0.2">
      <c r="A1341" s="1">
        <v>44125</v>
      </c>
      <c r="B1341">
        <v>194.65</v>
      </c>
      <c r="C1341" s="2">
        <f t="shared" si="21"/>
        <v>-2.4109783471273242E-2</v>
      </c>
    </row>
    <row r="1342" spans="1:3" x14ac:dyDescent="0.2">
      <c r="A1342" s="1">
        <v>44124</v>
      </c>
      <c r="B1342">
        <v>199.4</v>
      </c>
      <c r="C1342" s="2">
        <f t="shared" si="21"/>
        <v>8.0564383391261447E-3</v>
      </c>
    </row>
    <row r="1343" spans="1:3" x14ac:dyDescent="0.2">
      <c r="A1343" s="1">
        <v>44123</v>
      </c>
      <c r="B1343">
        <v>197.8</v>
      </c>
      <c r="C1343" s="2">
        <f t="shared" si="21"/>
        <v>4.8144017988653127E-3</v>
      </c>
    </row>
    <row r="1344" spans="1:3" x14ac:dyDescent="0.2">
      <c r="A1344" s="1">
        <v>44120</v>
      </c>
      <c r="B1344">
        <v>196.85</v>
      </c>
      <c r="C1344" s="2">
        <f t="shared" si="21"/>
        <v>1.5099455141140337E-2</v>
      </c>
    </row>
    <row r="1345" spans="1:3" x14ac:dyDescent="0.2">
      <c r="A1345" s="1">
        <v>44119</v>
      </c>
      <c r="B1345">
        <v>193.9</v>
      </c>
      <c r="C1345" s="2">
        <f t="shared" si="21"/>
        <v>-1.0261762701888924E-2</v>
      </c>
    </row>
    <row r="1346" spans="1:3" x14ac:dyDescent="0.2">
      <c r="A1346" s="1">
        <v>44118</v>
      </c>
      <c r="B1346">
        <v>195.9</v>
      </c>
      <c r="C1346" s="2">
        <f t="shared" si="21"/>
        <v>9.4884671355797683E-3</v>
      </c>
    </row>
    <row r="1347" spans="1:3" x14ac:dyDescent="0.2">
      <c r="A1347" s="1">
        <v>44117</v>
      </c>
      <c r="B1347">
        <v>194.05</v>
      </c>
      <c r="C1347" s="2">
        <f t="shared" ref="C1347:C1410" si="22">+LN(B1347/B1348)</f>
        <v>-2.3176893796156776E-2</v>
      </c>
    </row>
    <row r="1348" spans="1:3" x14ac:dyDescent="0.2">
      <c r="A1348" s="1">
        <v>44116</v>
      </c>
      <c r="B1348">
        <v>198.6</v>
      </c>
      <c r="C1348" s="2">
        <f t="shared" si="22"/>
        <v>-2.043430184688208E-2</v>
      </c>
    </row>
    <row r="1349" spans="1:3" x14ac:dyDescent="0.2">
      <c r="A1349" s="1">
        <v>44113</v>
      </c>
      <c r="B1349">
        <v>202.7</v>
      </c>
      <c r="C1349" s="2">
        <f t="shared" si="22"/>
        <v>5.9376720712165584E-3</v>
      </c>
    </row>
    <row r="1350" spans="1:3" x14ac:dyDescent="0.2">
      <c r="A1350" s="1">
        <v>44112</v>
      </c>
      <c r="B1350">
        <v>201.5</v>
      </c>
      <c r="C1350" s="2">
        <f t="shared" si="22"/>
        <v>-6.4308903302905144E-3</v>
      </c>
    </row>
    <row r="1351" spans="1:3" x14ac:dyDescent="0.2">
      <c r="A1351" s="1">
        <v>44111</v>
      </c>
      <c r="B1351">
        <v>202.8</v>
      </c>
      <c r="C1351" s="2">
        <f t="shared" si="22"/>
        <v>3.2321490693009478E-2</v>
      </c>
    </row>
    <row r="1352" spans="1:3" x14ac:dyDescent="0.2">
      <c r="A1352" s="1">
        <v>44110</v>
      </c>
      <c r="B1352">
        <v>196.35</v>
      </c>
      <c r="C1352" s="2">
        <f t="shared" si="22"/>
        <v>1.0495424640624198E-2</v>
      </c>
    </row>
    <row r="1353" spans="1:3" x14ac:dyDescent="0.2">
      <c r="A1353" s="1">
        <v>44109</v>
      </c>
      <c r="B1353">
        <v>194.3</v>
      </c>
      <c r="C1353" s="2">
        <f t="shared" si="22"/>
        <v>1.9226365163292847E-2</v>
      </c>
    </row>
    <row r="1354" spans="1:3" x14ac:dyDescent="0.2">
      <c r="A1354" s="1">
        <v>44106</v>
      </c>
      <c r="B1354">
        <v>190.6</v>
      </c>
      <c r="C1354" s="2">
        <f t="shared" si="22"/>
        <v>-1.9740900806237013E-2</v>
      </c>
    </row>
    <row r="1355" spans="1:3" x14ac:dyDescent="0.2">
      <c r="A1355" s="1">
        <v>44105</v>
      </c>
      <c r="B1355">
        <v>194.4</v>
      </c>
      <c r="C1355" s="2">
        <f t="shared" si="22"/>
        <v>-2.2381402196134995E-2</v>
      </c>
    </row>
    <row r="1356" spans="1:3" x14ac:dyDescent="0.2">
      <c r="A1356" s="1">
        <v>44104</v>
      </c>
      <c r="B1356">
        <v>198.8</v>
      </c>
      <c r="C1356" s="2">
        <f t="shared" si="22"/>
        <v>-2.6310775593325408E-2</v>
      </c>
    </row>
    <row r="1357" spans="1:3" x14ac:dyDescent="0.2">
      <c r="A1357" s="1">
        <v>44103</v>
      </c>
      <c r="B1357">
        <v>204.1</v>
      </c>
      <c r="C1357" s="2">
        <f t="shared" si="22"/>
        <v>-3.9119854290549615E-3</v>
      </c>
    </row>
    <row r="1358" spans="1:3" x14ac:dyDescent="0.2">
      <c r="A1358" s="1">
        <v>44102</v>
      </c>
      <c r="B1358">
        <v>204.9</v>
      </c>
      <c r="C1358" s="2">
        <f t="shared" si="22"/>
        <v>2.7710828026104993E-2</v>
      </c>
    </row>
    <row r="1359" spans="1:3" x14ac:dyDescent="0.2">
      <c r="A1359" s="1">
        <v>44099</v>
      </c>
      <c r="B1359">
        <v>199.3</v>
      </c>
      <c r="C1359" s="2">
        <f t="shared" si="22"/>
        <v>4.0221270915039237E-3</v>
      </c>
    </row>
    <row r="1360" spans="1:3" x14ac:dyDescent="0.2">
      <c r="A1360" s="1">
        <v>44098</v>
      </c>
      <c r="B1360">
        <v>198.5</v>
      </c>
      <c r="C1360" s="2">
        <f t="shared" si="22"/>
        <v>-4.5237574004928522E-3</v>
      </c>
    </row>
    <row r="1361" spans="1:3" x14ac:dyDescent="0.2">
      <c r="A1361" s="1">
        <v>44097</v>
      </c>
      <c r="B1361">
        <v>199.4</v>
      </c>
      <c r="C1361" s="2">
        <f t="shared" si="22"/>
        <v>-9.9801227567239675E-3</v>
      </c>
    </row>
    <row r="1362" spans="1:3" x14ac:dyDescent="0.2">
      <c r="A1362" s="1">
        <v>44096</v>
      </c>
      <c r="B1362">
        <v>201.4</v>
      </c>
      <c r="C1362" s="2">
        <f t="shared" si="22"/>
        <v>-2.9747171167428432E-3</v>
      </c>
    </row>
    <row r="1363" spans="1:3" x14ac:dyDescent="0.2">
      <c r="A1363" s="1">
        <v>44095</v>
      </c>
      <c r="B1363">
        <v>202</v>
      </c>
      <c r="C1363" s="2">
        <f t="shared" si="22"/>
        <v>-4.1217955721231374E-2</v>
      </c>
    </row>
    <row r="1364" spans="1:3" x14ac:dyDescent="0.2">
      <c r="A1364" s="1">
        <v>44092</v>
      </c>
      <c r="B1364">
        <v>210.5</v>
      </c>
      <c r="C1364" s="2">
        <f t="shared" si="22"/>
        <v>1.1947573421118202E-2</v>
      </c>
    </row>
    <row r="1365" spans="1:3" x14ac:dyDescent="0.2">
      <c r="A1365" s="1">
        <v>44091</v>
      </c>
      <c r="B1365">
        <v>208</v>
      </c>
      <c r="C1365" s="2">
        <f t="shared" si="22"/>
        <v>-3.8387763071657129E-3</v>
      </c>
    </row>
    <row r="1366" spans="1:3" x14ac:dyDescent="0.2">
      <c r="A1366" s="1">
        <v>44090</v>
      </c>
      <c r="B1366">
        <v>208.8</v>
      </c>
      <c r="C1366" s="2">
        <f t="shared" si="22"/>
        <v>3.8387763071656669E-3</v>
      </c>
    </row>
    <row r="1367" spans="1:3" x14ac:dyDescent="0.2">
      <c r="A1367" s="1">
        <v>44089</v>
      </c>
      <c r="B1367">
        <v>208</v>
      </c>
      <c r="C1367" s="2">
        <f t="shared" si="22"/>
        <v>2.4067400305650593E-3</v>
      </c>
    </row>
    <row r="1368" spans="1:3" x14ac:dyDescent="0.2">
      <c r="A1368" s="1">
        <v>44088</v>
      </c>
      <c r="B1368">
        <v>207.5</v>
      </c>
      <c r="C1368" s="2">
        <f t="shared" si="22"/>
        <v>7.2551708811720156E-3</v>
      </c>
    </row>
    <row r="1369" spans="1:3" x14ac:dyDescent="0.2">
      <c r="A1369" s="1">
        <v>44085</v>
      </c>
      <c r="B1369">
        <v>206</v>
      </c>
      <c r="C1369" s="2">
        <f t="shared" si="22"/>
        <v>-1.0622987391287354E-2</v>
      </c>
    </row>
    <row r="1370" spans="1:3" x14ac:dyDescent="0.2">
      <c r="A1370" s="1">
        <v>44084</v>
      </c>
      <c r="B1370">
        <v>208.2</v>
      </c>
      <c r="C1370" s="2">
        <f t="shared" si="22"/>
        <v>-1.241066048633886E-2</v>
      </c>
    </row>
    <row r="1371" spans="1:3" x14ac:dyDescent="0.2">
      <c r="A1371" s="1">
        <v>44083</v>
      </c>
      <c r="B1371">
        <v>210.8</v>
      </c>
      <c r="C1371" s="2">
        <f t="shared" si="22"/>
        <v>2.2548328770794025E-2</v>
      </c>
    </row>
    <row r="1372" spans="1:3" x14ac:dyDescent="0.2">
      <c r="A1372" s="1">
        <v>44082</v>
      </c>
      <c r="B1372">
        <v>206.1</v>
      </c>
      <c r="C1372" s="2">
        <f t="shared" si="22"/>
        <v>-9.176591804904705E-3</v>
      </c>
    </row>
    <row r="1373" spans="1:3" x14ac:dyDescent="0.2">
      <c r="A1373" s="1">
        <v>44081</v>
      </c>
      <c r="B1373">
        <v>208</v>
      </c>
      <c r="C1373" s="2">
        <f t="shared" si="22"/>
        <v>1.3552966404703668E-2</v>
      </c>
    </row>
    <row r="1374" spans="1:3" x14ac:dyDescent="0.2">
      <c r="A1374" s="1">
        <v>44078</v>
      </c>
      <c r="B1374">
        <v>205.2</v>
      </c>
      <c r="C1374" s="2">
        <f t="shared" si="22"/>
        <v>4.3956114730379081E-3</v>
      </c>
    </row>
    <row r="1375" spans="1:3" x14ac:dyDescent="0.2">
      <c r="A1375" s="1">
        <v>44077</v>
      </c>
      <c r="B1375">
        <v>204.3</v>
      </c>
      <c r="C1375" s="2">
        <f t="shared" si="22"/>
        <v>-1.5541837847176512E-2</v>
      </c>
    </row>
    <row r="1376" spans="1:3" x14ac:dyDescent="0.2">
      <c r="A1376" s="1">
        <v>44076</v>
      </c>
      <c r="B1376">
        <v>207.5</v>
      </c>
      <c r="C1376" s="2">
        <f t="shared" si="22"/>
        <v>-7.2029122940579973E-3</v>
      </c>
    </row>
    <row r="1377" spans="1:3" x14ac:dyDescent="0.2">
      <c r="A1377" s="1">
        <v>44075</v>
      </c>
      <c r="B1377">
        <v>209</v>
      </c>
      <c r="C1377" s="2">
        <f t="shared" si="22"/>
        <v>-1.1417821471326266E-2</v>
      </c>
    </row>
    <row r="1378" spans="1:3" x14ac:dyDescent="0.2">
      <c r="A1378" s="1">
        <v>44074</v>
      </c>
      <c r="B1378">
        <v>211.4</v>
      </c>
      <c r="C1378" s="2">
        <f t="shared" si="22"/>
        <v>-2.0136479958973344E-2</v>
      </c>
    </row>
    <row r="1379" spans="1:3" x14ac:dyDescent="0.2">
      <c r="A1379" s="1">
        <v>44071</v>
      </c>
      <c r="B1379">
        <v>215.7</v>
      </c>
      <c r="C1379" s="2">
        <f t="shared" si="22"/>
        <v>-2.4274148122642145E-2</v>
      </c>
    </row>
    <row r="1380" spans="1:3" x14ac:dyDescent="0.2">
      <c r="A1380" s="1">
        <v>44070</v>
      </c>
      <c r="B1380">
        <v>221</v>
      </c>
      <c r="C1380" s="2">
        <f t="shared" si="22"/>
        <v>-2.0157457424980169E-2</v>
      </c>
    </row>
    <row r="1381" spans="1:3" x14ac:dyDescent="0.2">
      <c r="A1381" s="1">
        <v>44069</v>
      </c>
      <c r="B1381">
        <v>225.5</v>
      </c>
      <c r="C1381" s="2">
        <f t="shared" si="22"/>
        <v>5.3357174165704572E-3</v>
      </c>
    </row>
    <row r="1382" spans="1:3" x14ac:dyDescent="0.2">
      <c r="A1382" s="1">
        <v>44068</v>
      </c>
      <c r="B1382">
        <v>224.3</v>
      </c>
      <c r="C1382" s="2">
        <f t="shared" si="22"/>
        <v>4.9162110190067929E-3</v>
      </c>
    </row>
    <row r="1383" spans="1:3" x14ac:dyDescent="0.2">
      <c r="A1383" s="1">
        <v>44067</v>
      </c>
      <c r="B1383">
        <v>223.2</v>
      </c>
      <c r="C1383" s="2">
        <f t="shared" si="22"/>
        <v>2.0824654764717565E-2</v>
      </c>
    </row>
    <row r="1384" spans="1:3" x14ac:dyDescent="0.2">
      <c r="A1384" s="1">
        <v>44064</v>
      </c>
      <c r="B1384">
        <v>218.6</v>
      </c>
      <c r="C1384" s="2">
        <f t="shared" si="22"/>
        <v>-4.5641338929374225E-3</v>
      </c>
    </row>
    <row r="1385" spans="1:3" x14ac:dyDescent="0.2">
      <c r="A1385" s="1">
        <v>44063</v>
      </c>
      <c r="B1385">
        <v>219.6</v>
      </c>
      <c r="C1385" s="2">
        <f t="shared" si="22"/>
        <v>-1.9838342219664327E-2</v>
      </c>
    </row>
    <row r="1386" spans="1:3" x14ac:dyDescent="0.2">
      <c r="A1386" s="1">
        <v>44062</v>
      </c>
      <c r="B1386">
        <v>224</v>
      </c>
      <c r="C1386" s="2">
        <f t="shared" si="22"/>
        <v>8.5183209546581245E-3</v>
      </c>
    </row>
    <row r="1387" spans="1:3" x14ac:dyDescent="0.2">
      <c r="A1387" s="1">
        <v>44061</v>
      </c>
      <c r="B1387">
        <v>222.1</v>
      </c>
      <c r="C1387" s="2">
        <f t="shared" si="22"/>
        <v>-8.9646499064995923E-3</v>
      </c>
    </row>
    <row r="1388" spans="1:3" x14ac:dyDescent="0.2">
      <c r="A1388" s="1">
        <v>44060</v>
      </c>
      <c r="B1388">
        <v>224.1</v>
      </c>
      <c r="C1388" s="2">
        <f t="shared" si="22"/>
        <v>8.0645598367302743E-3</v>
      </c>
    </row>
    <row r="1389" spans="1:3" x14ac:dyDescent="0.2">
      <c r="A1389" s="1">
        <v>44057</v>
      </c>
      <c r="B1389">
        <v>222.3</v>
      </c>
      <c r="C1389" s="2">
        <f t="shared" si="22"/>
        <v>-1.6507178302134929E-2</v>
      </c>
    </row>
    <row r="1390" spans="1:3" x14ac:dyDescent="0.2">
      <c r="A1390" s="1">
        <v>44056</v>
      </c>
      <c r="B1390">
        <v>226</v>
      </c>
      <c r="C1390" s="2">
        <f t="shared" si="22"/>
        <v>1.7714796483820209E-3</v>
      </c>
    </row>
    <row r="1391" spans="1:3" x14ac:dyDescent="0.2">
      <c r="A1391" s="1">
        <v>44055</v>
      </c>
      <c r="B1391">
        <v>225.6</v>
      </c>
      <c r="C1391" s="2">
        <f t="shared" si="22"/>
        <v>4.4424773195609942E-3</v>
      </c>
    </row>
    <row r="1392" spans="1:3" x14ac:dyDescent="0.2">
      <c r="A1392" s="1">
        <v>44054</v>
      </c>
      <c r="B1392">
        <v>224.6</v>
      </c>
      <c r="C1392" s="2">
        <f t="shared" si="22"/>
        <v>4.4613679669633005E-2</v>
      </c>
    </row>
    <row r="1393" spans="1:3" x14ac:dyDescent="0.2">
      <c r="A1393" s="1">
        <v>44053</v>
      </c>
      <c r="B1393">
        <v>214.8</v>
      </c>
      <c r="C1393" s="2">
        <f t="shared" si="22"/>
        <v>7.4766703430203573E-3</v>
      </c>
    </row>
    <row r="1394" spans="1:3" x14ac:dyDescent="0.2">
      <c r="A1394" s="1">
        <v>44050</v>
      </c>
      <c r="B1394">
        <v>213.2</v>
      </c>
      <c r="C1394" s="2">
        <f t="shared" si="22"/>
        <v>5.1728307210526315E-3</v>
      </c>
    </row>
    <row r="1395" spans="1:3" x14ac:dyDescent="0.2">
      <c r="A1395" s="1">
        <v>44049</v>
      </c>
      <c r="B1395">
        <v>212.1</v>
      </c>
      <c r="C1395" s="2">
        <f t="shared" si="22"/>
        <v>-7.5153007544651543E-3</v>
      </c>
    </row>
    <row r="1396" spans="1:3" x14ac:dyDescent="0.2">
      <c r="A1396" s="1">
        <v>44048</v>
      </c>
      <c r="B1396">
        <v>213.7</v>
      </c>
      <c r="C1396" s="2">
        <f t="shared" si="22"/>
        <v>1.3663345657894599E-2</v>
      </c>
    </row>
    <row r="1397" spans="1:3" x14ac:dyDescent="0.2">
      <c r="A1397" s="1">
        <v>44047</v>
      </c>
      <c r="B1397">
        <v>210.8</v>
      </c>
      <c r="C1397" s="2">
        <f t="shared" si="22"/>
        <v>-8.0321716972641538E-3</v>
      </c>
    </row>
    <row r="1398" spans="1:3" x14ac:dyDescent="0.2">
      <c r="A1398" s="1">
        <v>44046</v>
      </c>
      <c r="B1398">
        <v>212.5</v>
      </c>
      <c r="C1398" s="2">
        <f t="shared" si="22"/>
        <v>2.5740219962933086E-2</v>
      </c>
    </row>
    <row r="1399" spans="1:3" x14ac:dyDescent="0.2">
      <c r="A1399" s="1">
        <v>44043</v>
      </c>
      <c r="B1399">
        <v>207.1</v>
      </c>
      <c r="C1399" s="2">
        <f t="shared" si="22"/>
        <v>-1.8182319083190474E-2</v>
      </c>
    </row>
    <row r="1400" spans="1:3" x14ac:dyDescent="0.2">
      <c r="A1400" s="1">
        <v>44042</v>
      </c>
      <c r="B1400">
        <v>210.9</v>
      </c>
      <c r="C1400" s="2">
        <f t="shared" si="22"/>
        <v>-2.0183740802900349E-2</v>
      </c>
    </row>
    <row r="1401" spans="1:3" x14ac:dyDescent="0.2">
      <c r="A1401" s="1">
        <v>44041</v>
      </c>
      <c r="B1401">
        <v>215.2</v>
      </c>
      <c r="C1401" s="2">
        <f t="shared" si="22"/>
        <v>-1.2468413662944954E-2</v>
      </c>
    </row>
    <row r="1402" spans="1:3" x14ac:dyDescent="0.2">
      <c r="A1402" s="1">
        <v>44040</v>
      </c>
      <c r="B1402">
        <v>217.9</v>
      </c>
      <c r="C1402" s="2">
        <f t="shared" si="22"/>
        <v>-9.1366556101412557E-3</v>
      </c>
    </row>
    <row r="1403" spans="1:3" x14ac:dyDescent="0.2">
      <c r="A1403" s="1">
        <v>44039</v>
      </c>
      <c r="B1403">
        <v>219.9</v>
      </c>
      <c r="C1403" s="2">
        <f t="shared" si="22"/>
        <v>1.1894010298331564E-2</v>
      </c>
    </row>
    <row r="1404" spans="1:3" x14ac:dyDescent="0.2">
      <c r="A1404" s="1">
        <v>44036</v>
      </c>
      <c r="B1404">
        <v>217.3</v>
      </c>
      <c r="C1404" s="2">
        <f t="shared" si="22"/>
        <v>-2.9473908615440848E-2</v>
      </c>
    </row>
    <row r="1405" spans="1:3" x14ac:dyDescent="0.2">
      <c r="A1405" s="1">
        <v>44035</v>
      </c>
      <c r="B1405">
        <v>223.8</v>
      </c>
      <c r="C1405" s="2">
        <f t="shared" si="22"/>
        <v>5.3763570363804958E-3</v>
      </c>
    </row>
    <row r="1406" spans="1:3" x14ac:dyDescent="0.2">
      <c r="A1406" s="1">
        <v>44034</v>
      </c>
      <c r="B1406">
        <v>222.6</v>
      </c>
      <c r="C1406" s="2">
        <f t="shared" si="22"/>
        <v>8.1191244385041914E-3</v>
      </c>
    </row>
    <row r="1407" spans="1:3" x14ac:dyDescent="0.2">
      <c r="A1407" s="1">
        <v>44033</v>
      </c>
      <c r="B1407">
        <v>220.8</v>
      </c>
      <c r="C1407" s="2">
        <f t="shared" si="22"/>
        <v>4.967370655198549E-2</v>
      </c>
    </row>
    <row r="1408" spans="1:3" x14ac:dyDescent="0.2">
      <c r="A1408" s="1">
        <v>44032</v>
      </c>
      <c r="B1408">
        <v>210.1</v>
      </c>
      <c r="C1408" s="2">
        <f t="shared" si="22"/>
        <v>3.6350016036371807E-2</v>
      </c>
    </row>
    <row r="1409" spans="1:3" x14ac:dyDescent="0.2">
      <c r="A1409" s="1">
        <v>44029</v>
      </c>
      <c r="B1409">
        <v>202.6</v>
      </c>
      <c r="C1409" s="2">
        <f t="shared" si="22"/>
        <v>1.9762852282119588E-3</v>
      </c>
    </row>
    <row r="1410" spans="1:3" x14ac:dyDescent="0.2">
      <c r="A1410" s="1">
        <v>44028</v>
      </c>
      <c r="B1410">
        <v>202.2</v>
      </c>
      <c r="C1410" s="2">
        <f t="shared" si="22"/>
        <v>-2.7318772078756104E-2</v>
      </c>
    </row>
    <row r="1411" spans="1:3" x14ac:dyDescent="0.2">
      <c r="A1411" s="1">
        <v>44027</v>
      </c>
      <c r="B1411">
        <v>207.8</v>
      </c>
      <c r="C1411" s="2">
        <f t="shared" ref="C1411:C1474" si="23">+LN(B1411/B1412)</f>
        <v>1.7966008849327971E-2</v>
      </c>
    </row>
    <row r="1412" spans="1:3" x14ac:dyDescent="0.2">
      <c r="A1412" s="1">
        <v>44026</v>
      </c>
      <c r="B1412">
        <v>204.1</v>
      </c>
      <c r="C1412" s="2">
        <f t="shared" si="23"/>
        <v>-2.0369278451127328E-2</v>
      </c>
    </row>
    <row r="1413" spans="1:3" x14ac:dyDescent="0.2">
      <c r="A1413" s="1">
        <v>44025</v>
      </c>
      <c r="B1413">
        <v>208.3</v>
      </c>
      <c r="C1413" s="2">
        <f t="shared" si="23"/>
        <v>2.0369278451127314E-2</v>
      </c>
    </row>
    <row r="1414" spans="1:3" x14ac:dyDescent="0.2">
      <c r="A1414" s="1">
        <v>44022</v>
      </c>
      <c r="B1414">
        <v>204.1</v>
      </c>
      <c r="C1414" s="2">
        <f t="shared" si="23"/>
        <v>1.4807773037192643E-2</v>
      </c>
    </row>
    <row r="1415" spans="1:3" x14ac:dyDescent="0.2">
      <c r="A1415" s="1">
        <v>44021</v>
      </c>
      <c r="B1415">
        <v>201.1</v>
      </c>
      <c r="C1415" s="2">
        <f t="shared" si="23"/>
        <v>-2.4559191117807029E-2</v>
      </c>
    </row>
    <row r="1416" spans="1:3" x14ac:dyDescent="0.2">
      <c r="A1416" s="1">
        <v>44020</v>
      </c>
      <c r="B1416">
        <v>206.1</v>
      </c>
      <c r="C1416" s="2">
        <f t="shared" si="23"/>
        <v>-1.454545710994324E-3</v>
      </c>
    </row>
    <row r="1417" spans="1:3" x14ac:dyDescent="0.2">
      <c r="A1417" s="1">
        <v>44019</v>
      </c>
      <c r="B1417">
        <v>206.4</v>
      </c>
      <c r="C1417" s="2">
        <f t="shared" si="23"/>
        <v>-3.8684767779202061E-3</v>
      </c>
    </row>
    <row r="1418" spans="1:3" x14ac:dyDescent="0.2">
      <c r="A1418" s="1">
        <v>44018</v>
      </c>
      <c r="B1418">
        <v>207.2</v>
      </c>
      <c r="C1418" s="2">
        <f t="shared" si="23"/>
        <v>1.2627656867801876E-2</v>
      </c>
    </row>
    <row r="1419" spans="1:3" x14ac:dyDescent="0.2">
      <c r="A1419" s="1">
        <v>44015</v>
      </c>
      <c r="B1419">
        <v>204.6</v>
      </c>
      <c r="C1419" s="2">
        <f t="shared" si="23"/>
        <v>0</v>
      </c>
    </row>
    <row r="1420" spans="1:3" x14ac:dyDescent="0.2">
      <c r="A1420" s="1">
        <v>44014</v>
      </c>
      <c r="B1420">
        <v>204.6</v>
      </c>
      <c r="C1420" s="2">
        <f t="shared" si="23"/>
        <v>1.4673516939497444E-3</v>
      </c>
    </row>
    <row r="1421" spans="1:3" x14ac:dyDescent="0.2">
      <c r="A1421" s="1">
        <v>44013</v>
      </c>
      <c r="B1421">
        <v>204.3</v>
      </c>
      <c r="C1421" s="2">
        <f t="shared" si="23"/>
        <v>-4.8935650597298132E-4</v>
      </c>
    </row>
    <row r="1422" spans="1:3" x14ac:dyDescent="0.2">
      <c r="A1422" s="1">
        <v>44012</v>
      </c>
      <c r="B1422">
        <v>204.4</v>
      </c>
      <c r="C1422" s="2">
        <f t="shared" si="23"/>
        <v>-6.8259650703998706E-3</v>
      </c>
    </row>
    <row r="1423" spans="1:3" x14ac:dyDescent="0.2">
      <c r="A1423" s="1">
        <v>44011</v>
      </c>
      <c r="B1423">
        <v>205.8</v>
      </c>
      <c r="C1423" s="2">
        <f t="shared" si="23"/>
        <v>8.2947535841502058E-3</v>
      </c>
    </row>
    <row r="1424" spans="1:3" x14ac:dyDescent="0.2">
      <c r="A1424" s="1">
        <v>44008</v>
      </c>
      <c r="B1424">
        <v>204.1</v>
      </c>
      <c r="C1424" s="2">
        <f t="shared" si="23"/>
        <v>8.8583256420991796E-3</v>
      </c>
    </row>
    <row r="1425" spans="1:3" x14ac:dyDescent="0.2">
      <c r="A1425" s="1">
        <v>44007</v>
      </c>
      <c r="B1425">
        <v>202.3</v>
      </c>
      <c r="C1425" s="2">
        <f t="shared" si="23"/>
        <v>1.4689670346335901E-2</v>
      </c>
    </row>
    <row r="1426" spans="1:3" x14ac:dyDescent="0.2">
      <c r="A1426" s="1">
        <v>44006</v>
      </c>
      <c r="B1426">
        <v>199.35</v>
      </c>
      <c r="C1426" s="2">
        <f t="shared" si="23"/>
        <v>-2.1586249405396031E-2</v>
      </c>
    </row>
    <row r="1427" spans="1:3" x14ac:dyDescent="0.2">
      <c r="A1427" s="1">
        <v>44005</v>
      </c>
      <c r="B1427">
        <v>203.7</v>
      </c>
      <c r="C1427" s="2">
        <f t="shared" si="23"/>
        <v>1.9581738586376081E-2</v>
      </c>
    </row>
    <row r="1428" spans="1:3" x14ac:dyDescent="0.2">
      <c r="A1428" s="1">
        <v>44004</v>
      </c>
      <c r="B1428">
        <v>199.75</v>
      </c>
      <c r="C1428" s="2">
        <f t="shared" si="23"/>
        <v>-1.1201112754820722E-2</v>
      </c>
    </row>
    <row r="1429" spans="1:3" x14ac:dyDescent="0.2">
      <c r="A1429" s="1">
        <v>44000</v>
      </c>
      <c r="B1429">
        <v>202</v>
      </c>
      <c r="C1429" s="2">
        <f t="shared" si="23"/>
        <v>1.5214160528267169E-2</v>
      </c>
    </row>
    <row r="1430" spans="1:3" x14ac:dyDescent="0.2">
      <c r="A1430" s="1">
        <v>43999</v>
      </c>
      <c r="B1430">
        <v>198.95</v>
      </c>
      <c r="C1430" s="2">
        <f t="shared" si="23"/>
        <v>0</v>
      </c>
    </row>
    <row r="1431" spans="1:3" x14ac:dyDescent="0.2">
      <c r="A1431" s="1">
        <v>43998</v>
      </c>
      <c r="B1431">
        <v>198.95</v>
      </c>
      <c r="C1431" s="2">
        <f t="shared" si="23"/>
        <v>4.4451762570833796E-2</v>
      </c>
    </row>
    <row r="1432" spans="1:3" x14ac:dyDescent="0.2">
      <c r="A1432" s="1">
        <v>43997</v>
      </c>
      <c r="B1432">
        <v>190.3</v>
      </c>
      <c r="C1432" s="2">
        <f t="shared" si="23"/>
        <v>1.8408946684692819E-3</v>
      </c>
    </row>
    <row r="1433" spans="1:3" x14ac:dyDescent="0.2">
      <c r="A1433" s="1">
        <v>43994</v>
      </c>
      <c r="B1433">
        <v>189.95</v>
      </c>
      <c r="C1433" s="2">
        <f t="shared" si="23"/>
        <v>-5.2507340378906628E-3</v>
      </c>
    </row>
    <row r="1434" spans="1:3" x14ac:dyDescent="0.2">
      <c r="A1434" s="1">
        <v>43993</v>
      </c>
      <c r="B1434">
        <v>190.95</v>
      </c>
      <c r="C1434" s="2">
        <f t="shared" si="23"/>
        <v>-7.9256853016197323E-2</v>
      </c>
    </row>
    <row r="1435" spans="1:3" x14ac:dyDescent="0.2">
      <c r="A1435" s="1">
        <v>43992</v>
      </c>
      <c r="B1435">
        <v>206.7</v>
      </c>
      <c r="C1435" s="2">
        <f t="shared" si="23"/>
        <v>-1.1065785277088451E-2</v>
      </c>
    </row>
    <row r="1436" spans="1:3" x14ac:dyDescent="0.2">
      <c r="A1436" s="1">
        <v>43991</v>
      </c>
      <c r="B1436">
        <v>209</v>
      </c>
      <c r="C1436" s="2">
        <f t="shared" si="23"/>
        <v>0</v>
      </c>
    </row>
    <row r="1437" spans="1:3" x14ac:dyDescent="0.2">
      <c r="A1437" s="1">
        <v>43990</v>
      </c>
      <c r="B1437">
        <v>209</v>
      </c>
      <c r="C1437" s="2">
        <f t="shared" si="23"/>
        <v>-1.2835926176008462E-2</v>
      </c>
    </row>
    <row r="1438" spans="1:3" x14ac:dyDescent="0.2">
      <c r="A1438" s="1">
        <v>43987</v>
      </c>
      <c r="B1438">
        <v>211.7</v>
      </c>
      <c r="C1438" s="2">
        <f t="shared" si="23"/>
        <v>1.7632098439501545E-2</v>
      </c>
    </row>
    <row r="1439" spans="1:3" x14ac:dyDescent="0.2">
      <c r="A1439" s="1">
        <v>43986</v>
      </c>
      <c r="B1439">
        <v>208</v>
      </c>
      <c r="C1439" s="2">
        <f t="shared" si="23"/>
        <v>1.6970104218461561E-2</v>
      </c>
    </row>
    <row r="1440" spans="1:3" x14ac:dyDescent="0.2">
      <c r="A1440" s="1">
        <v>43985</v>
      </c>
      <c r="B1440">
        <v>204.5</v>
      </c>
      <c r="C1440" s="2">
        <f t="shared" si="23"/>
        <v>4.1433428351593853E-2</v>
      </c>
    </row>
    <row r="1441" spans="1:3" x14ac:dyDescent="0.2">
      <c r="A1441" s="1">
        <v>43984</v>
      </c>
      <c r="B1441">
        <v>196.2</v>
      </c>
      <c r="C1441" s="2">
        <f t="shared" si="23"/>
        <v>2.4507869207959151E-2</v>
      </c>
    </row>
    <row r="1442" spans="1:3" x14ac:dyDescent="0.2">
      <c r="A1442" s="1">
        <v>43983</v>
      </c>
      <c r="B1442">
        <v>191.45</v>
      </c>
      <c r="C1442" s="2">
        <f t="shared" si="23"/>
        <v>8.1290601050633023E-3</v>
      </c>
    </row>
    <row r="1443" spans="1:3" x14ac:dyDescent="0.2">
      <c r="A1443" s="1">
        <v>43980</v>
      </c>
      <c r="B1443">
        <v>189.9</v>
      </c>
      <c r="C1443" s="2">
        <f t="shared" si="23"/>
        <v>-3.0340717052672272E-2</v>
      </c>
    </row>
    <row r="1444" spans="1:3" x14ac:dyDescent="0.2">
      <c r="A1444" s="1">
        <v>43979</v>
      </c>
      <c r="B1444">
        <v>195.75</v>
      </c>
      <c r="C1444" s="2">
        <f t="shared" si="23"/>
        <v>1.8041726485159042E-2</v>
      </c>
    </row>
    <row r="1445" spans="1:3" x14ac:dyDescent="0.2">
      <c r="A1445" s="1">
        <v>43978</v>
      </c>
      <c r="B1445">
        <v>192.25</v>
      </c>
      <c r="C1445" s="2">
        <f t="shared" si="23"/>
        <v>3.5472220879146733E-2</v>
      </c>
    </row>
    <row r="1446" spans="1:3" x14ac:dyDescent="0.2">
      <c r="A1446" s="1">
        <v>43977</v>
      </c>
      <c r="B1446">
        <v>185.55</v>
      </c>
      <c r="C1446" s="2">
        <f t="shared" si="23"/>
        <v>7.3022636854002407E-3</v>
      </c>
    </row>
    <row r="1447" spans="1:3" x14ac:dyDescent="0.2">
      <c r="A1447" s="1">
        <v>43976</v>
      </c>
      <c r="B1447">
        <v>184.2</v>
      </c>
      <c r="C1447" s="2">
        <f t="shared" si="23"/>
        <v>3.0313701655824189E-2</v>
      </c>
    </row>
    <row r="1448" spans="1:3" x14ac:dyDescent="0.2">
      <c r="A1448" s="1">
        <v>43973</v>
      </c>
      <c r="B1448">
        <v>178.7</v>
      </c>
      <c r="C1448" s="2">
        <f t="shared" si="23"/>
        <v>-3.5187797414069487E-2</v>
      </c>
    </row>
    <row r="1449" spans="1:3" x14ac:dyDescent="0.2">
      <c r="A1449" s="1">
        <v>43971</v>
      </c>
      <c r="B1449">
        <v>185.1</v>
      </c>
      <c r="C1449" s="2">
        <f t="shared" si="23"/>
        <v>4.3313549036740565E-3</v>
      </c>
    </row>
    <row r="1450" spans="1:3" x14ac:dyDescent="0.2">
      <c r="A1450" s="1">
        <v>43970</v>
      </c>
      <c r="B1450">
        <v>184.3</v>
      </c>
      <c r="C1450" s="2">
        <f t="shared" si="23"/>
        <v>-1.6947278506143335E-2</v>
      </c>
    </row>
    <row r="1451" spans="1:3" x14ac:dyDescent="0.2">
      <c r="A1451" s="1">
        <v>43969</v>
      </c>
      <c r="B1451">
        <v>187.45</v>
      </c>
      <c r="C1451" s="2">
        <f t="shared" si="23"/>
        <v>5.5386961962290135E-2</v>
      </c>
    </row>
    <row r="1452" spans="1:3" x14ac:dyDescent="0.2">
      <c r="A1452" s="1">
        <v>43966</v>
      </c>
      <c r="B1452">
        <v>177.35</v>
      </c>
      <c r="C1452" s="2">
        <f t="shared" si="23"/>
        <v>1.5627537814128952E-2</v>
      </c>
    </row>
    <row r="1453" spans="1:3" x14ac:dyDescent="0.2">
      <c r="A1453" s="1">
        <v>43965</v>
      </c>
      <c r="B1453">
        <v>174.6</v>
      </c>
      <c r="C1453" s="2">
        <f t="shared" si="23"/>
        <v>-3.0736946689382469E-2</v>
      </c>
    </row>
    <row r="1454" spans="1:3" x14ac:dyDescent="0.2">
      <c r="A1454" s="1">
        <v>43964</v>
      </c>
      <c r="B1454">
        <v>180.05</v>
      </c>
      <c r="C1454" s="2">
        <f t="shared" si="23"/>
        <v>-3.3318210223841606E-2</v>
      </c>
    </row>
    <row r="1455" spans="1:3" x14ac:dyDescent="0.2">
      <c r="A1455" s="1">
        <v>43963</v>
      </c>
      <c r="B1455">
        <v>186.15</v>
      </c>
      <c r="C1455" s="2">
        <f t="shared" si="23"/>
        <v>1.8819739389878305E-3</v>
      </c>
    </row>
    <row r="1456" spans="1:3" x14ac:dyDescent="0.2">
      <c r="A1456" s="1">
        <v>43962</v>
      </c>
      <c r="B1456">
        <v>185.8</v>
      </c>
      <c r="C1456" s="2">
        <f t="shared" si="23"/>
        <v>-6.4377904748484181E-3</v>
      </c>
    </row>
    <row r="1457" spans="1:3" x14ac:dyDescent="0.2">
      <c r="A1457" s="1">
        <v>43959</v>
      </c>
      <c r="B1457">
        <v>187</v>
      </c>
      <c r="C1457" s="2">
        <f t="shared" si="23"/>
        <v>1.2646475556014461E-2</v>
      </c>
    </row>
    <row r="1458" spans="1:3" x14ac:dyDescent="0.2">
      <c r="A1458" s="1">
        <v>43958</v>
      </c>
      <c r="B1458">
        <v>184.65</v>
      </c>
      <c r="C1458" s="2">
        <f t="shared" si="23"/>
        <v>-5.6703270600877908E-3</v>
      </c>
    </row>
    <row r="1459" spans="1:3" x14ac:dyDescent="0.2">
      <c r="A1459" s="1">
        <v>43957</v>
      </c>
      <c r="B1459">
        <v>185.7</v>
      </c>
      <c r="C1459" s="2">
        <f t="shared" si="23"/>
        <v>-2.6921523920852978E-4</v>
      </c>
    </row>
    <row r="1460" spans="1:3" x14ac:dyDescent="0.2">
      <c r="A1460" s="1">
        <v>43956</v>
      </c>
      <c r="B1460">
        <v>185.75</v>
      </c>
      <c r="C1460" s="2">
        <f t="shared" si="23"/>
        <v>5.2498241905490586E-2</v>
      </c>
    </row>
    <row r="1461" spans="1:3" x14ac:dyDescent="0.2">
      <c r="A1461" s="1">
        <v>43955</v>
      </c>
      <c r="B1461">
        <v>176.25</v>
      </c>
      <c r="C1461" s="2">
        <f t="shared" si="23"/>
        <v>-4.03112258022469E-2</v>
      </c>
    </row>
    <row r="1462" spans="1:3" x14ac:dyDescent="0.2">
      <c r="A1462" s="1">
        <v>43951</v>
      </c>
      <c r="B1462">
        <v>183.5</v>
      </c>
      <c r="C1462" s="2">
        <f t="shared" si="23"/>
        <v>-4.21508115242289E-2</v>
      </c>
    </row>
    <row r="1463" spans="1:3" x14ac:dyDescent="0.2">
      <c r="A1463" s="1">
        <v>43950</v>
      </c>
      <c r="B1463">
        <v>191.4</v>
      </c>
      <c r="C1463" s="2">
        <f t="shared" si="23"/>
        <v>5.7527281420671213E-2</v>
      </c>
    </row>
    <row r="1464" spans="1:3" x14ac:dyDescent="0.2">
      <c r="A1464" s="1">
        <v>43949</v>
      </c>
      <c r="B1464">
        <v>180.7</v>
      </c>
      <c r="C1464" s="2">
        <f t="shared" si="23"/>
        <v>-1.0733555643108777E-2</v>
      </c>
    </row>
    <row r="1465" spans="1:3" x14ac:dyDescent="0.2">
      <c r="A1465" s="1">
        <v>43948</v>
      </c>
      <c r="B1465">
        <v>182.65</v>
      </c>
      <c r="C1465" s="2">
        <f t="shared" si="23"/>
        <v>8.0636003448875129E-2</v>
      </c>
    </row>
    <row r="1466" spans="1:3" x14ac:dyDescent="0.2">
      <c r="A1466" s="1">
        <v>43945</v>
      </c>
      <c r="B1466">
        <v>168.5</v>
      </c>
      <c r="C1466" s="2">
        <f t="shared" si="23"/>
        <v>-1.4727806710243398E-2</v>
      </c>
    </row>
    <row r="1467" spans="1:3" x14ac:dyDescent="0.2">
      <c r="A1467" s="1">
        <v>43944</v>
      </c>
      <c r="B1467">
        <v>171</v>
      </c>
      <c r="C1467" s="2">
        <f t="shared" si="23"/>
        <v>1.2356732688905428E-2</v>
      </c>
    </row>
    <row r="1468" spans="1:3" x14ac:dyDescent="0.2">
      <c r="A1468" s="1">
        <v>43943</v>
      </c>
      <c r="B1468">
        <v>168.9</v>
      </c>
      <c r="C1468" s="2">
        <f t="shared" si="23"/>
        <v>2.3664426139164162E-2</v>
      </c>
    </row>
    <row r="1469" spans="1:3" x14ac:dyDescent="0.2">
      <c r="A1469" s="1">
        <v>43942</v>
      </c>
      <c r="B1469">
        <v>164.95</v>
      </c>
      <c r="C1469" s="2">
        <f t="shared" si="23"/>
        <v>-5.2838023685646981E-2</v>
      </c>
    </row>
    <row r="1470" spans="1:3" x14ac:dyDescent="0.2">
      <c r="A1470" s="1">
        <v>43941</v>
      </c>
      <c r="B1470">
        <v>173.9</v>
      </c>
      <c r="C1470" s="2">
        <f t="shared" si="23"/>
        <v>-1.992664851524174E-2</v>
      </c>
    </row>
    <row r="1471" spans="1:3" x14ac:dyDescent="0.2">
      <c r="A1471" s="1">
        <v>43938</v>
      </c>
      <c r="B1471">
        <v>177.4</v>
      </c>
      <c r="C1471" s="2">
        <f t="shared" si="23"/>
        <v>1.219354396077969E-2</v>
      </c>
    </row>
    <row r="1472" spans="1:3" x14ac:dyDescent="0.2">
      <c r="A1472" s="1">
        <v>43937</v>
      </c>
      <c r="B1472">
        <v>175.25</v>
      </c>
      <c r="C1472" s="2">
        <f t="shared" si="23"/>
        <v>-1.8094924021469842E-2</v>
      </c>
    </row>
    <row r="1473" spans="1:3" x14ac:dyDescent="0.2">
      <c r="A1473" s="1">
        <v>43936</v>
      </c>
      <c r="B1473">
        <v>178.45</v>
      </c>
      <c r="C1473" s="2">
        <f t="shared" si="23"/>
        <v>-5.2133512893779863E-2</v>
      </c>
    </row>
    <row r="1474" spans="1:3" x14ac:dyDescent="0.2">
      <c r="A1474" s="1">
        <v>43935</v>
      </c>
      <c r="B1474">
        <v>188</v>
      </c>
      <c r="C1474" s="2">
        <f t="shared" si="23"/>
        <v>-1.328903850053752E-3</v>
      </c>
    </row>
    <row r="1475" spans="1:3" x14ac:dyDescent="0.2">
      <c r="A1475" s="1">
        <v>43930</v>
      </c>
      <c r="B1475">
        <v>188.25</v>
      </c>
      <c r="C1475" s="2">
        <f t="shared" ref="C1475:C1538" si="24">+LN(B1475/B1476)</f>
        <v>9.6077600551731628E-3</v>
      </c>
    </row>
    <row r="1476" spans="1:3" x14ac:dyDescent="0.2">
      <c r="A1476" s="1">
        <v>43929</v>
      </c>
      <c r="B1476">
        <v>186.45</v>
      </c>
      <c r="C1476" s="2">
        <f t="shared" si="24"/>
        <v>-6.9481840194143283E-3</v>
      </c>
    </row>
    <row r="1477" spans="1:3" x14ac:dyDescent="0.2">
      <c r="A1477" s="1">
        <v>43928</v>
      </c>
      <c r="B1477">
        <v>187.75</v>
      </c>
      <c r="C1477" s="2">
        <f t="shared" si="24"/>
        <v>3.4958172883438735E-2</v>
      </c>
    </row>
    <row r="1478" spans="1:3" x14ac:dyDescent="0.2">
      <c r="A1478" s="1">
        <v>43927</v>
      </c>
      <c r="B1478">
        <v>181.3</v>
      </c>
      <c r="C1478" s="2">
        <f t="shared" si="24"/>
        <v>6.2004503365590019E-2</v>
      </c>
    </row>
    <row r="1479" spans="1:3" x14ac:dyDescent="0.2">
      <c r="A1479" s="1">
        <v>43924</v>
      </c>
      <c r="B1479">
        <v>170.4</v>
      </c>
      <c r="C1479" s="2">
        <f t="shared" si="24"/>
        <v>-1.6875582326345027E-2</v>
      </c>
    </row>
    <row r="1480" spans="1:3" x14ac:dyDescent="0.2">
      <c r="A1480" s="1">
        <v>43923</v>
      </c>
      <c r="B1480">
        <v>173.3</v>
      </c>
      <c r="C1480" s="2">
        <f t="shared" si="24"/>
        <v>2.1581473363757809E-2</v>
      </c>
    </row>
    <row r="1481" spans="1:3" x14ac:dyDescent="0.2">
      <c r="A1481" s="1">
        <v>43922</v>
      </c>
      <c r="B1481">
        <v>169.6</v>
      </c>
      <c r="C1481" s="2">
        <f t="shared" si="24"/>
        <v>-1.5504186535965312E-2</v>
      </c>
    </row>
    <row r="1482" spans="1:3" x14ac:dyDescent="0.2">
      <c r="A1482" s="1">
        <v>43921</v>
      </c>
      <c r="B1482">
        <v>172.25</v>
      </c>
      <c r="C1482" s="2">
        <f t="shared" si="24"/>
        <v>1.161777650278544E-3</v>
      </c>
    </row>
    <row r="1483" spans="1:3" x14ac:dyDescent="0.2">
      <c r="A1483" s="1">
        <v>43920</v>
      </c>
      <c r="B1483">
        <v>172.05</v>
      </c>
      <c r="C1483" s="2">
        <f t="shared" si="24"/>
        <v>-1.3566379231389846E-2</v>
      </c>
    </row>
    <row r="1484" spans="1:3" x14ac:dyDescent="0.2">
      <c r="A1484" s="1">
        <v>43917</v>
      </c>
      <c r="B1484">
        <v>174.4</v>
      </c>
      <c r="C1484" s="2">
        <f t="shared" si="24"/>
        <v>-8.8483522927148596E-3</v>
      </c>
    </row>
    <row r="1485" spans="1:3" x14ac:dyDescent="0.2">
      <c r="A1485" s="1">
        <v>43916</v>
      </c>
      <c r="B1485">
        <v>175.95</v>
      </c>
      <c r="C1485" s="2">
        <f t="shared" si="24"/>
        <v>2.5608208616736505E-3</v>
      </c>
    </row>
    <row r="1486" spans="1:3" x14ac:dyDescent="0.2">
      <c r="A1486" s="1">
        <v>43915</v>
      </c>
      <c r="B1486">
        <v>175.5</v>
      </c>
      <c r="C1486" s="2">
        <f t="shared" si="24"/>
        <v>7.3888842099158164E-2</v>
      </c>
    </row>
    <row r="1487" spans="1:3" x14ac:dyDescent="0.2">
      <c r="A1487" s="1">
        <v>43914</v>
      </c>
      <c r="B1487">
        <v>163</v>
      </c>
      <c r="C1487" s="2">
        <f t="shared" si="24"/>
        <v>8.5785135266385482E-2</v>
      </c>
    </row>
    <row r="1488" spans="1:3" x14ac:dyDescent="0.2">
      <c r="A1488" s="1">
        <v>43913</v>
      </c>
      <c r="B1488">
        <v>149.6</v>
      </c>
      <c r="C1488" s="2">
        <f t="shared" si="24"/>
        <v>-6.6583554299531764E-2</v>
      </c>
    </row>
    <row r="1489" spans="1:3" x14ac:dyDescent="0.2">
      <c r="A1489" s="1">
        <v>43910</v>
      </c>
      <c r="B1489">
        <v>159.9</v>
      </c>
      <c r="C1489" s="2">
        <f t="shared" si="24"/>
        <v>-5.5350095083164838E-2</v>
      </c>
    </row>
    <row r="1490" spans="1:3" x14ac:dyDescent="0.2">
      <c r="A1490" s="1">
        <v>43909</v>
      </c>
      <c r="B1490">
        <v>169</v>
      </c>
      <c r="C1490" s="2">
        <f t="shared" si="24"/>
        <v>2.0731534154140923E-3</v>
      </c>
    </row>
    <row r="1491" spans="1:3" x14ac:dyDescent="0.2">
      <c r="A1491" s="1">
        <v>43908</v>
      </c>
      <c r="B1491">
        <v>168.65</v>
      </c>
      <c r="C1491" s="2">
        <f t="shared" si="24"/>
        <v>1.2830252087160675E-2</v>
      </c>
    </row>
    <row r="1492" spans="1:3" x14ac:dyDescent="0.2">
      <c r="A1492" s="1">
        <v>43907</v>
      </c>
      <c r="B1492">
        <v>166.5</v>
      </c>
      <c r="C1492" s="2">
        <f t="shared" si="24"/>
        <v>5.2400276393531772E-2</v>
      </c>
    </row>
    <row r="1493" spans="1:3" x14ac:dyDescent="0.2">
      <c r="A1493" s="1">
        <v>43906</v>
      </c>
      <c r="B1493">
        <v>158</v>
      </c>
      <c r="C1493" s="2">
        <f t="shared" si="24"/>
        <v>-4.2440936490773185E-2</v>
      </c>
    </row>
    <row r="1494" spans="1:3" x14ac:dyDescent="0.2">
      <c r="A1494" s="1">
        <v>43903</v>
      </c>
      <c r="B1494">
        <v>164.85</v>
      </c>
      <c r="C1494" s="2">
        <f t="shared" si="24"/>
        <v>5.3898732112154561E-2</v>
      </c>
    </row>
    <row r="1495" spans="1:3" x14ac:dyDescent="0.2">
      <c r="A1495" s="1">
        <v>43902</v>
      </c>
      <c r="B1495">
        <v>156.19999999999999</v>
      </c>
      <c r="C1495" s="2">
        <f t="shared" si="24"/>
        <v>-0.12670597567457678</v>
      </c>
    </row>
    <row r="1496" spans="1:3" x14ac:dyDescent="0.2">
      <c r="A1496" s="1">
        <v>43901</v>
      </c>
      <c r="B1496">
        <v>177.3</v>
      </c>
      <c r="C1496" s="2">
        <f t="shared" si="24"/>
        <v>-1.5669039101748061E-2</v>
      </c>
    </row>
    <row r="1497" spans="1:3" x14ac:dyDescent="0.2">
      <c r="A1497" s="1">
        <v>43900</v>
      </c>
      <c r="B1497">
        <v>180.1</v>
      </c>
      <c r="C1497" s="2">
        <f t="shared" si="24"/>
        <v>-1.2415665072778814E-2</v>
      </c>
    </row>
    <row r="1498" spans="1:3" x14ac:dyDescent="0.2">
      <c r="A1498" s="1">
        <v>43899</v>
      </c>
      <c r="B1498">
        <v>182.35</v>
      </c>
      <c r="C1498" s="2">
        <f t="shared" si="24"/>
        <v>-8.5868232303081909E-2</v>
      </c>
    </row>
    <row r="1499" spans="1:3" x14ac:dyDescent="0.2">
      <c r="A1499" s="1">
        <v>43896</v>
      </c>
      <c r="B1499">
        <v>198.7</v>
      </c>
      <c r="C1499" s="2">
        <f t="shared" si="24"/>
        <v>-2.9749343109472678E-2</v>
      </c>
    </row>
    <row r="1500" spans="1:3" x14ac:dyDescent="0.2">
      <c r="A1500" s="1">
        <v>43895</v>
      </c>
      <c r="B1500">
        <v>204.7</v>
      </c>
      <c r="C1500" s="2">
        <f t="shared" si="24"/>
        <v>-3.5512368903392981E-2</v>
      </c>
    </row>
    <row r="1501" spans="1:3" x14ac:dyDescent="0.2">
      <c r="A1501" s="1">
        <v>43894</v>
      </c>
      <c r="B1501">
        <v>212.1</v>
      </c>
      <c r="C1501" s="2">
        <f t="shared" si="24"/>
        <v>-1.1251876797434919E-2</v>
      </c>
    </row>
    <row r="1502" spans="1:3" x14ac:dyDescent="0.2">
      <c r="A1502" s="1">
        <v>43893</v>
      </c>
      <c r="B1502">
        <v>214.5</v>
      </c>
      <c r="C1502" s="2">
        <f t="shared" si="24"/>
        <v>-4.6511711757308439E-3</v>
      </c>
    </row>
    <row r="1503" spans="1:3" x14ac:dyDescent="0.2">
      <c r="A1503" s="1">
        <v>43892</v>
      </c>
      <c r="B1503">
        <v>215.5</v>
      </c>
      <c r="C1503" s="2">
        <f t="shared" si="24"/>
        <v>-2.7803539690377586E-3</v>
      </c>
    </row>
    <row r="1504" spans="1:3" x14ac:dyDescent="0.2">
      <c r="A1504" s="1">
        <v>43889</v>
      </c>
      <c r="B1504">
        <v>216.1</v>
      </c>
      <c r="C1504" s="2">
        <f t="shared" si="24"/>
        <v>-2.2873824350560328E-2</v>
      </c>
    </row>
    <row r="1505" spans="1:3" x14ac:dyDescent="0.2">
      <c r="A1505" s="1">
        <v>43888</v>
      </c>
      <c r="B1505">
        <v>221.1</v>
      </c>
      <c r="C1505" s="2">
        <f t="shared" si="24"/>
        <v>-3.5106915690839083E-2</v>
      </c>
    </row>
    <row r="1506" spans="1:3" x14ac:dyDescent="0.2">
      <c r="A1506" s="1">
        <v>43887</v>
      </c>
      <c r="B1506">
        <v>229</v>
      </c>
      <c r="C1506" s="2">
        <f t="shared" si="24"/>
        <v>1.0094446040756365E-2</v>
      </c>
    </row>
    <row r="1507" spans="1:3" x14ac:dyDescent="0.2">
      <c r="A1507" s="1">
        <v>43886</v>
      </c>
      <c r="B1507">
        <v>226.7</v>
      </c>
      <c r="C1507" s="2">
        <f t="shared" si="24"/>
        <v>-2.6981619376812128E-2</v>
      </c>
    </row>
    <row r="1508" spans="1:3" x14ac:dyDescent="0.2">
      <c r="A1508" s="1">
        <v>43885</v>
      </c>
      <c r="B1508">
        <v>232.9</v>
      </c>
      <c r="C1508" s="2">
        <f t="shared" si="24"/>
        <v>-6.2012792304746836E-2</v>
      </c>
    </row>
    <row r="1509" spans="1:3" x14ac:dyDescent="0.2">
      <c r="A1509" s="1">
        <v>43882</v>
      </c>
      <c r="B1509">
        <v>247.8</v>
      </c>
      <c r="C1509" s="2">
        <f t="shared" si="24"/>
        <v>-1.9581045199106393E-2</v>
      </c>
    </row>
    <row r="1510" spans="1:3" x14ac:dyDescent="0.2">
      <c r="A1510" s="1">
        <v>43881</v>
      </c>
      <c r="B1510">
        <v>252.7</v>
      </c>
      <c r="C1510" s="2">
        <f t="shared" si="24"/>
        <v>-3.9494522110877029E-3</v>
      </c>
    </row>
    <row r="1511" spans="1:3" x14ac:dyDescent="0.2">
      <c r="A1511" s="1">
        <v>43880</v>
      </c>
      <c r="B1511">
        <v>253.7</v>
      </c>
      <c r="C1511" s="2">
        <f t="shared" si="24"/>
        <v>-1.1818004133004791E-3</v>
      </c>
    </row>
    <row r="1512" spans="1:3" x14ac:dyDescent="0.2">
      <c r="A1512" s="1">
        <v>43879</v>
      </c>
      <c r="B1512">
        <v>254</v>
      </c>
      <c r="C1512" s="2">
        <f t="shared" si="24"/>
        <v>-6.2794554848431359E-3</v>
      </c>
    </row>
    <row r="1513" spans="1:3" x14ac:dyDescent="0.2">
      <c r="A1513" s="1">
        <v>43878</v>
      </c>
      <c r="B1513">
        <v>255.6</v>
      </c>
      <c r="C1513" s="2">
        <f t="shared" si="24"/>
        <v>6.6732337927469E-3</v>
      </c>
    </row>
    <row r="1514" spans="1:3" x14ac:dyDescent="0.2">
      <c r="A1514" s="1">
        <v>43875</v>
      </c>
      <c r="B1514">
        <v>253.9</v>
      </c>
      <c r="C1514" s="2">
        <f t="shared" si="24"/>
        <v>-9.7982363358821174E-3</v>
      </c>
    </row>
    <row r="1515" spans="1:3" x14ac:dyDescent="0.2">
      <c r="A1515" s="1">
        <v>43874</v>
      </c>
      <c r="B1515">
        <v>256.39999999999998</v>
      </c>
      <c r="C1515" s="2">
        <f t="shared" si="24"/>
        <v>-3.115267316949423E-3</v>
      </c>
    </row>
    <row r="1516" spans="1:3" x14ac:dyDescent="0.2">
      <c r="A1516" s="1">
        <v>43873</v>
      </c>
      <c r="B1516">
        <v>257.2</v>
      </c>
      <c r="C1516" s="2">
        <f t="shared" si="24"/>
        <v>5.8491100663234062E-3</v>
      </c>
    </row>
    <row r="1517" spans="1:3" x14ac:dyDescent="0.2">
      <c r="A1517" s="1">
        <v>43872</v>
      </c>
      <c r="B1517">
        <v>255.7</v>
      </c>
      <c r="C1517" s="2">
        <f t="shared" si="24"/>
        <v>1.9747877132893176E-2</v>
      </c>
    </row>
    <row r="1518" spans="1:3" x14ac:dyDescent="0.2">
      <c r="A1518" s="1">
        <v>43871</v>
      </c>
      <c r="B1518">
        <v>250.7</v>
      </c>
      <c r="C1518" s="2">
        <f t="shared" si="24"/>
        <v>-5.1720823471756924E-3</v>
      </c>
    </row>
    <row r="1519" spans="1:3" x14ac:dyDescent="0.2">
      <c r="A1519" s="1">
        <v>43868</v>
      </c>
      <c r="B1519">
        <v>252</v>
      </c>
      <c r="C1519" s="2">
        <f t="shared" si="24"/>
        <v>-1.7699577099400975E-2</v>
      </c>
    </row>
    <row r="1520" spans="1:3" x14ac:dyDescent="0.2">
      <c r="A1520" s="1">
        <v>43867</v>
      </c>
      <c r="B1520">
        <v>256.5</v>
      </c>
      <c r="C1520" s="2">
        <f t="shared" si="24"/>
        <v>4.2977210123853323E-3</v>
      </c>
    </row>
    <row r="1521" spans="1:3" x14ac:dyDescent="0.2">
      <c r="A1521" s="1">
        <v>43866</v>
      </c>
      <c r="B1521">
        <v>255.4</v>
      </c>
      <c r="C1521" s="2">
        <f t="shared" si="24"/>
        <v>1.3005109404564872E-2</v>
      </c>
    </row>
    <row r="1522" spans="1:3" x14ac:dyDescent="0.2">
      <c r="A1522" s="1">
        <v>43865</v>
      </c>
      <c r="B1522">
        <v>252.1</v>
      </c>
      <c r="C1522" s="2">
        <f t="shared" si="24"/>
        <v>6.9814878647850243E-2</v>
      </c>
    </row>
    <row r="1523" spans="1:3" x14ac:dyDescent="0.2">
      <c r="A1523" s="1">
        <v>43864</v>
      </c>
      <c r="B1523">
        <v>235.1</v>
      </c>
      <c r="C1523" s="2">
        <f t="shared" si="24"/>
        <v>-2.4785977944631193E-2</v>
      </c>
    </row>
    <row r="1524" spans="1:3" x14ac:dyDescent="0.2">
      <c r="A1524" s="1">
        <v>43861</v>
      </c>
      <c r="B1524">
        <v>241</v>
      </c>
      <c r="C1524" s="2">
        <f t="shared" si="24"/>
        <v>-9.0872166013568692E-3</v>
      </c>
    </row>
    <row r="1525" spans="1:3" x14ac:dyDescent="0.2">
      <c r="A1525" s="1">
        <v>43860</v>
      </c>
      <c r="B1525">
        <v>243.2</v>
      </c>
      <c r="C1525" s="2">
        <f t="shared" si="24"/>
        <v>-7.3740604527151319E-3</v>
      </c>
    </row>
    <row r="1526" spans="1:3" x14ac:dyDescent="0.2">
      <c r="A1526" s="1">
        <v>43859</v>
      </c>
      <c r="B1526">
        <v>245</v>
      </c>
      <c r="C1526" s="2">
        <f t="shared" si="24"/>
        <v>-4.0807998933988925E-4</v>
      </c>
    </row>
    <row r="1527" spans="1:3" x14ac:dyDescent="0.2">
      <c r="A1527" s="1">
        <v>43858</v>
      </c>
      <c r="B1527">
        <v>245.1</v>
      </c>
      <c r="C1527" s="2">
        <f t="shared" si="24"/>
        <v>1.438282447340704E-2</v>
      </c>
    </row>
    <row r="1528" spans="1:3" x14ac:dyDescent="0.2">
      <c r="A1528" s="1">
        <v>43857</v>
      </c>
      <c r="B1528">
        <v>241.6</v>
      </c>
      <c r="C1528" s="2">
        <f t="shared" si="24"/>
        <v>-2.8963884748699029E-2</v>
      </c>
    </row>
    <row r="1529" spans="1:3" x14ac:dyDescent="0.2">
      <c r="A1529" s="1">
        <v>43854</v>
      </c>
      <c r="B1529">
        <v>248.7</v>
      </c>
      <c r="C1529" s="2">
        <f t="shared" si="24"/>
        <v>1.8259789132754691E-2</v>
      </c>
    </row>
    <row r="1530" spans="1:3" x14ac:dyDescent="0.2">
      <c r="A1530" s="1">
        <v>43853</v>
      </c>
      <c r="B1530">
        <v>244.2</v>
      </c>
      <c r="C1530" s="2">
        <f t="shared" si="24"/>
        <v>-1.1805551317960133E-2</v>
      </c>
    </row>
    <row r="1531" spans="1:3" x14ac:dyDescent="0.2">
      <c r="A1531" s="1">
        <v>43852</v>
      </c>
      <c r="B1531">
        <v>247.1</v>
      </c>
      <c r="C1531" s="2">
        <f t="shared" si="24"/>
        <v>-1.4862695764201329E-2</v>
      </c>
    </row>
    <row r="1532" spans="1:3" x14ac:dyDescent="0.2">
      <c r="A1532" s="1">
        <v>43851</v>
      </c>
      <c r="B1532">
        <v>250.8</v>
      </c>
      <c r="C1532" s="2">
        <f t="shared" si="24"/>
        <v>-6.3593219082923921E-3</v>
      </c>
    </row>
    <row r="1533" spans="1:3" x14ac:dyDescent="0.2">
      <c r="A1533" s="1">
        <v>43850</v>
      </c>
      <c r="B1533">
        <v>252.4</v>
      </c>
      <c r="C1533" s="2">
        <f t="shared" si="24"/>
        <v>3.5721411272642183E-3</v>
      </c>
    </row>
    <row r="1534" spans="1:3" x14ac:dyDescent="0.2">
      <c r="A1534" s="1">
        <v>43847</v>
      </c>
      <c r="B1534">
        <v>251.5</v>
      </c>
      <c r="C1534" s="2">
        <f t="shared" si="24"/>
        <v>6.3821516988872709E-3</v>
      </c>
    </row>
    <row r="1535" spans="1:3" x14ac:dyDescent="0.2">
      <c r="A1535" s="1">
        <v>43846</v>
      </c>
      <c r="B1535">
        <v>249.9</v>
      </c>
      <c r="C1535" s="2">
        <f t="shared" si="24"/>
        <v>2.5533302005164845E-2</v>
      </c>
    </row>
    <row r="1536" spans="1:3" x14ac:dyDescent="0.2">
      <c r="A1536" s="1">
        <v>43845</v>
      </c>
      <c r="B1536">
        <v>243.6</v>
      </c>
      <c r="C1536" s="2">
        <f t="shared" si="24"/>
        <v>2.4660924951934683E-3</v>
      </c>
    </row>
    <row r="1537" spans="1:3" x14ac:dyDescent="0.2">
      <c r="A1537" s="1">
        <v>43844</v>
      </c>
      <c r="B1537">
        <v>243</v>
      </c>
      <c r="C1537" s="2">
        <f t="shared" si="24"/>
        <v>1.5343448426220742E-2</v>
      </c>
    </row>
    <row r="1538" spans="1:3" x14ac:dyDescent="0.2">
      <c r="A1538" s="1">
        <v>43843</v>
      </c>
      <c r="B1538">
        <v>239.3</v>
      </c>
      <c r="C1538" s="2">
        <f t="shared" si="24"/>
        <v>7.5503714396318155E-3</v>
      </c>
    </row>
    <row r="1539" spans="1:3" x14ac:dyDescent="0.2">
      <c r="A1539" s="1">
        <v>43840</v>
      </c>
      <c r="B1539">
        <v>237.5</v>
      </c>
      <c r="C1539" s="2">
        <f t="shared" ref="C1539:C1602" si="25">+LN(B1539/B1540)</f>
        <v>-5.4587580437512103E-3</v>
      </c>
    </row>
    <row r="1540" spans="1:3" x14ac:dyDescent="0.2">
      <c r="A1540" s="1">
        <v>43839</v>
      </c>
      <c r="B1540">
        <v>238.8</v>
      </c>
      <c r="C1540" s="2">
        <f t="shared" si="25"/>
        <v>1.0524197325584777E-2</v>
      </c>
    </row>
    <row r="1541" spans="1:3" x14ac:dyDescent="0.2">
      <c r="A1541" s="1">
        <v>43838</v>
      </c>
      <c r="B1541">
        <v>236.3</v>
      </c>
      <c r="C1541" s="2">
        <f t="shared" si="25"/>
        <v>-1.2687673514241763E-3</v>
      </c>
    </row>
    <row r="1542" spans="1:3" x14ac:dyDescent="0.2">
      <c r="A1542" s="1">
        <v>43837</v>
      </c>
      <c r="B1542">
        <v>236.6</v>
      </c>
      <c r="C1542" s="2">
        <f t="shared" si="25"/>
        <v>-6.7397053769132778E-3</v>
      </c>
    </row>
    <row r="1543" spans="1:3" x14ac:dyDescent="0.2">
      <c r="A1543" s="1">
        <v>43833</v>
      </c>
      <c r="B1543">
        <v>238.2</v>
      </c>
      <c r="C1543" s="2">
        <f t="shared" si="25"/>
        <v>-1.1271252699625997E-2</v>
      </c>
    </row>
    <row r="1544" spans="1:3" x14ac:dyDescent="0.2">
      <c r="A1544" s="1">
        <v>43832</v>
      </c>
      <c r="B1544">
        <v>240.9</v>
      </c>
      <c r="C1544" s="2">
        <f t="shared" si="25"/>
        <v>2.0973923207196401E-2</v>
      </c>
    </row>
    <row r="1545" spans="1:3" x14ac:dyDescent="0.2">
      <c r="A1545" s="1">
        <v>43829</v>
      </c>
      <c r="B1545">
        <v>235.9</v>
      </c>
      <c r="C1545" s="2">
        <f t="shared" si="25"/>
        <v>-2.4702951767063018E-2</v>
      </c>
    </row>
    <row r="1546" spans="1:3" x14ac:dyDescent="0.2">
      <c r="A1546" s="1">
        <v>43826</v>
      </c>
      <c r="B1546">
        <v>241.8</v>
      </c>
      <c r="C1546" s="2">
        <f t="shared" si="25"/>
        <v>4.1365047125512916E-4</v>
      </c>
    </row>
    <row r="1547" spans="1:3" x14ac:dyDescent="0.2">
      <c r="A1547" s="1">
        <v>43822</v>
      </c>
      <c r="B1547">
        <v>241.7</v>
      </c>
      <c r="C1547" s="2">
        <f t="shared" si="25"/>
        <v>6.2253780635541031E-3</v>
      </c>
    </row>
    <row r="1548" spans="1:3" x14ac:dyDescent="0.2">
      <c r="A1548" s="1">
        <v>43819</v>
      </c>
      <c r="B1548">
        <v>240.2</v>
      </c>
      <c r="C1548" s="2">
        <f t="shared" si="25"/>
        <v>-2.494803788782906E-3</v>
      </c>
    </row>
    <row r="1549" spans="1:3" x14ac:dyDescent="0.2">
      <c r="A1549" s="1">
        <v>43818</v>
      </c>
      <c r="B1549">
        <v>240.8</v>
      </c>
      <c r="C1549" s="2">
        <f t="shared" si="25"/>
        <v>5.4132965836960036E-3</v>
      </c>
    </row>
    <row r="1550" spans="1:3" x14ac:dyDescent="0.2">
      <c r="A1550" s="1">
        <v>43817</v>
      </c>
      <c r="B1550">
        <v>239.5</v>
      </c>
      <c r="C1550" s="2">
        <f t="shared" si="25"/>
        <v>6.7029995420579752E-3</v>
      </c>
    </row>
    <row r="1551" spans="1:3" x14ac:dyDescent="0.2">
      <c r="A1551" s="1">
        <v>43816</v>
      </c>
      <c r="B1551">
        <v>237.9</v>
      </c>
      <c r="C1551" s="2">
        <f t="shared" si="25"/>
        <v>-2.9380923549037442E-3</v>
      </c>
    </row>
    <row r="1552" spans="1:3" x14ac:dyDescent="0.2">
      <c r="A1552" s="1">
        <v>43815</v>
      </c>
      <c r="B1552">
        <v>238.6</v>
      </c>
    </row>
    <row r="1553" spans="1:3" x14ac:dyDescent="0.2">
      <c r="A1553" s="1">
        <v>43812</v>
      </c>
      <c r="B1553">
        <v>233.2</v>
      </c>
      <c r="C1553" s="2">
        <f t="shared" si="25"/>
        <v>-7.6890596678217266E-3</v>
      </c>
    </row>
    <row r="1554" spans="1:3" x14ac:dyDescent="0.2">
      <c r="A1554" s="1">
        <v>43811</v>
      </c>
      <c r="B1554">
        <v>235</v>
      </c>
      <c r="C1554" s="2">
        <f t="shared" si="25"/>
        <v>1.2848142477849059E-2</v>
      </c>
    </row>
    <row r="1555" spans="1:3" x14ac:dyDescent="0.2">
      <c r="A1555" s="1">
        <v>43810</v>
      </c>
      <c r="B1555">
        <v>232</v>
      </c>
      <c r="C1555" s="2">
        <f t="shared" si="25"/>
        <v>-4.7301743754014341E-3</v>
      </c>
    </row>
    <row r="1556" spans="1:3" x14ac:dyDescent="0.2">
      <c r="A1556" s="1">
        <v>43809</v>
      </c>
      <c r="B1556">
        <v>233.1</v>
      </c>
      <c r="C1556" s="2">
        <f t="shared" si="25"/>
        <v>3.4379062653478107E-3</v>
      </c>
    </row>
    <row r="1557" spans="1:3" x14ac:dyDescent="0.2">
      <c r="A1557" s="1">
        <v>43808</v>
      </c>
      <c r="B1557">
        <v>232.3</v>
      </c>
      <c r="C1557" s="2">
        <f t="shared" si="25"/>
        <v>1.2922681100535742E-3</v>
      </c>
    </row>
    <row r="1558" spans="1:3" x14ac:dyDescent="0.2">
      <c r="A1558" s="1">
        <v>43805</v>
      </c>
      <c r="B1558">
        <v>232</v>
      </c>
      <c r="C1558" s="2">
        <f t="shared" si="25"/>
        <v>2.1574981400210927E-3</v>
      </c>
    </row>
    <row r="1559" spans="1:3" x14ac:dyDescent="0.2">
      <c r="A1559" s="1">
        <v>43804</v>
      </c>
      <c r="B1559">
        <v>231.5</v>
      </c>
      <c r="C1559" s="2">
        <f t="shared" si="25"/>
        <v>-7.3165809500484805E-3</v>
      </c>
    </row>
    <row r="1560" spans="1:3" x14ac:dyDescent="0.2">
      <c r="A1560" s="1">
        <v>43803</v>
      </c>
      <c r="B1560">
        <v>233.2</v>
      </c>
      <c r="C1560" s="2">
        <f t="shared" si="25"/>
        <v>1.251364764969764E-2</v>
      </c>
    </row>
    <row r="1561" spans="1:3" x14ac:dyDescent="0.2">
      <c r="A1561" s="1">
        <v>43802</v>
      </c>
      <c r="B1561">
        <v>230.3</v>
      </c>
      <c r="C1561" s="2">
        <f t="shared" si="25"/>
        <v>-3.467710453695508E-3</v>
      </c>
    </row>
    <row r="1562" spans="1:3" x14ac:dyDescent="0.2">
      <c r="A1562" s="1">
        <v>43801</v>
      </c>
      <c r="B1562">
        <v>231.1</v>
      </c>
      <c r="C1562" s="2">
        <f t="shared" si="25"/>
        <v>-1.9284934497096642E-2</v>
      </c>
    </row>
    <row r="1563" spans="1:3" x14ac:dyDescent="0.2">
      <c r="A1563" s="1">
        <v>43798</v>
      </c>
      <c r="B1563">
        <v>235.6</v>
      </c>
      <c r="C1563" s="2">
        <f t="shared" si="25"/>
        <v>-5.0804512324190637E-3</v>
      </c>
    </row>
    <row r="1564" spans="1:3" x14ac:dyDescent="0.2">
      <c r="A1564" s="1">
        <v>43797</v>
      </c>
      <c r="B1564">
        <v>236.8</v>
      </c>
      <c r="C1564" s="2">
        <f t="shared" si="25"/>
        <v>-2.1092604318673097E-3</v>
      </c>
    </row>
    <row r="1565" spans="1:3" x14ac:dyDescent="0.2">
      <c r="A1565" s="1">
        <v>43796</v>
      </c>
      <c r="B1565">
        <v>237.3</v>
      </c>
      <c r="C1565" s="2">
        <f t="shared" si="25"/>
        <v>3.3769555097301726E-3</v>
      </c>
    </row>
    <row r="1566" spans="1:3" x14ac:dyDescent="0.2">
      <c r="A1566" s="1">
        <v>43795</v>
      </c>
      <c r="B1566">
        <v>236.5</v>
      </c>
      <c r="C1566" s="2">
        <f t="shared" si="25"/>
        <v>8.0662717126125799E-3</v>
      </c>
    </row>
    <row r="1567" spans="1:3" x14ac:dyDescent="0.2">
      <c r="A1567" s="1">
        <v>43794</v>
      </c>
      <c r="B1567">
        <v>234.6</v>
      </c>
      <c r="C1567" s="2">
        <f t="shared" si="25"/>
        <v>2.5470835190639612E-2</v>
      </c>
    </row>
    <row r="1568" spans="1:3" x14ac:dyDescent="0.2">
      <c r="A1568" s="1">
        <v>43791</v>
      </c>
      <c r="B1568">
        <v>228.7</v>
      </c>
      <c r="C1568" s="2">
        <f t="shared" si="25"/>
        <v>-4.3715847690746761E-4</v>
      </c>
    </row>
    <row r="1569" spans="1:3" x14ac:dyDescent="0.2">
      <c r="A1569" s="1">
        <v>43790</v>
      </c>
      <c r="B1569">
        <v>228.8</v>
      </c>
      <c r="C1569" s="2">
        <f t="shared" si="25"/>
        <v>-6.534547320996684E-3</v>
      </c>
    </row>
    <row r="1570" spans="1:3" x14ac:dyDescent="0.2">
      <c r="A1570" s="1">
        <v>43789</v>
      </c>
      <c r="B1570">
        <v>230.3</v>
      </c>
      <c r="C1570" s="2">
        <f t="shared" si="25"/>
        <v>-5.1970666996491704E-3</v>
      </c>
    </row>
    <row r="1571" spans="1:3" x14ac:dyDescent="0.2">
      <c r="A1571" s="1">
        <v>43788</v>
      </c>
      <c r="B1571">
        <v>231.5</v>
      </c>
      <c r="C1571" s="2">
        <f t="shared" si="25"/>
        <v>-3.4497662500747347E-3</v>
      </c>
    </row>
    <row r="1572" spans="1:3" x14ac:dyDescent="0.2">
      <c r="A1572" s="1">
        <v>43787</v>
      </c>
      <c r="B1572">
        <v>232.3</v>
      </c>
      <c r="C1572" s="2">
        <f t="shared" si="25"/>
        <v>-5.1524373325884717E-3</v>
      </c>
    </row>
    <row r="1573" spans="1:3" x14ac:dyDescent="0.2">
      <c r="A1573" s="1">
        <v>43784</v>
      </c>
      <c r="B1573">
        <v>233.5</v>
      </c>
      <c r="C1573" s="2">
        <f t="shared" si="25"/>
        <v>7.3071462033007049E-3</v>
      </c>
    </row>
    <row r="1574" spans="1:3" x14ac:dyDescent="0.2">
      <c r="A1574" s="1">
        <v>43783</v>
      </c>
      <c r="B1574">
        <v>231.8</v>
      </c>
      <c r="C1574" s="2">
        <f t="shared" si="25"/>
        <v>3.0244136253163552E-3</v>
      </c>
    </row>
    <row r="1575" spans="1:3" x14ac:dyDescent="0.2">
      <c r="A1575" s="1">
        <v>43782</v>
      </c>
      <c r="B1575">
        <v>231.1</v>
      </c>
      <c r="C1575" s="2">
        <f t="shared" si="25"/>
        <v>-2.0981287745275062E-2</v>
      </c>
    </row>
    <row r="1576" spans="1:3" x14ac:dyDescent="0.2">
      <c r="A1576" s="1">
        <v>43781</v>
      </c>
      <c r="B1576">
        <v>236</v>
      </c>
      <c r="C1576" s="2">
        <f t="shared" si="25"/>
        <v>4.6719133607429509E-3</v>
      </c>
    </row>
    <row r="1577" spans="1:3" x14ac:dyDescent="0.2">
      <c r="A1577" s="1">
        <v>43780</v>
      </c>
      <c r="B1577">
        <v>234.9</v>
      </c>
      <c r="C1577" s="2">
        <f t="shared" si="25"/>
        <v>-1.1428695823622744E-2</v>
      </c>
    </row>
    <row r="1578" spans="1:3" x14ac:dyDescent="0.2">
      <c r="A1578" s="1">
        <v>43777</v>
      </c>
      <c r="B1578">
        <v>237.6</v>
      </c>
      <c r="C1578" s="2">
        <f t="shared" si="25"/>
        <v>8.4531357110581903E-3</v>
      </c>
    </row>
    <row r="1579" spans="1:3" x14ac:dyDescent="0.2">
      <c r="A1579" s="1">
        <v>43776</v>
      </c>
      <c r="B1579">
        <v>235.6</v>
      </c>
      <c r="C1579" s="2">
        <f t="shared" si="25"/>
        <v>2.6668247082161273E-2</v>
      </c>
    </row>
    <row r="1580" spans="1:3" x14ac:dyDescent="0.2">
      <c r="A1580" s="1">
        <v>43775</v>
      </c>
      <c r="B1580">
        <v>229.4</v>
      </c>
      <c r="C1580" s="2">
        <f t="shared" si="25"/>
        <v>-7.8159321029520421E-3</v>
      </c>
    </row>
    <row r="1581" spans="1:3" x14ac:dyDescent="0.2">
      <c r="A1581" s="1">
        <v>43774</v>
      </c>
      <c r="B1581">
        <v>231.2</v>
      </c>
      <c r="C1581" s="2">
        <f t="shared" si="25"/>
        <v>3.0322743615190536E-3</v>
      </c>
    </row>
    <row r="1582" spans="1:3" x14ac:dyDescent="0.2">
      <c r="A1582" s="1">
        <v>43773</v>
      </c>
      <c r="B1582">
        <v>230.5</v>
      </c>
      <c r="C1582" s="2">
        <f t="shared" si="25"/>
        <v>2.5929820132360375E-2</v>
      </c>
    </row>
    <row r="1583" spans="1:3" x14ac:dyDescent="0.2">
      <c r="A1583" s="1">
        <v>43770</v>
      </c>
      <c r="B1583">
        <v>224.6</v>
      </c>
      <c r="C1583" s="2">
        <f t="shared" si="25"/>
        <v>6.700940865855886E-3</v>
      </c>
    </row>
    <row r="1584" spans="1:3" x14ac:dyDescent="0.2">
      <c r="A1584" s="1">
        <v>43769</v>
      </c>
      <c r="B1584">
        <v>223.1</v>
      </c>
      <c r="C1584" s="2">
        <f t="shared" si="25"/>
        <v>-1.2029550277074932E-2</v>
      </c>
    </row>
    <row r="1585" spans="1:3" x14ac:dyDescent="0.2">
      <c r="A1585" s="1">
        <v>43768</v>
      </c>
      <c r="B1585">
        <v>225.8</v>
      </c>
      <c r="C1585" s="2">
        <f t="shared" si="25"/>
        <v>5.3286094112189319E-3</v>
      </c>
    </row>
    <row r="1586" spans="1:3" x14ac:dyDescent="0.2">
      <c r="A1586" s="1">
        <v>43767</v>
      </c>
      <c r="B1586">
        <v>224.6</v>
      </c>
      <c r="C1586" s="2">
        <f t="shared" si="25"/>
        <v>-1.1509644542653491E-2</v>
      </c>
    </row>
    <row r="1587" spans="1:3" x14ac:dyDescent="0.2">
      <c r="A1587" s="1">
        <v>43766</v>
      </c>
      <c r="B1587">
        <v>227.2</v>
      </c>
      <c r="C1587" s="2">
        <f t="shared" si="25"/>
        <v>1.9107446455173104E-2</v>
      </c>
    </row>
    <row r="1588" spans="1:3" x14ac:dyDescent="0.2">
      <c r="A1588" s="1">
        <v>43763</v>
      </c>
      <c r="B1588">
        <v>222.9</v>
      </c>
      <c r="C1588" s="2">
        <f t="shared" si="25"/>
        <v>-1.9107446455173073E-2</v>
      </c>
    </row>
    <row r="1589" spans="1:3" x14ac:dyDescent="0.2">
      <c r="A1589" s="1">
        <v>43762</v>
      </c>
      <c r="B1589">
        <v>227.2</v>
      </c>
      <c r="C1589" s="2">
        <f t="shared" si="25"/>
        <v>8.6371376967784283E-2</v>
      </c>
    </row>
    <row r="1590" spans="1:3" x14ac:dyDescent="0.2">
      <c r="A1590" s="1">
        <v>43761</v>
      </c>
      <c r="B1590">
        <v>208.4</v>
      </c>
      <c r="C1590" s="2">
        <f t="shared" si="25"/>
        <v>4.810014083784878E-3</v>
      </c>
    </row>
    <row r="1591" spans="1:3" x14ac:dyDescent="0.2">
      <c r="A1591" s="1">
        <v>43760</v>
      </c>
      <c r="B1591">
        <v>207.4</v>
      </c>
      <c r="C1591" s="2">
        <f t="shared" si="25"/>
        <v>-2.8887839058910091E-3</v>
      </c>
    </row>
    <row r="1592" spans="1:3" x14ac:dyDescent="0.2">
      <c r="A1592" s="1">
        <v>43759</v>
      </c>
      <c r="B1592">
        <v>208</v>
      </c>
      <c r="C1592" s="2">
        <f t="shared" si="25"/>
        <v>1.501602445646393E-2</v>
      </c>
    </row>
    <row r="1593" spans="1:3" x14ac:dyDescent="0.2">
      <c r="A1593" s="1">
        <v>43756</v>
      </c>
      <c r="B1593">
        <v>204.9</v>
      </c>
      <c r="C1593" s="2">
        <f t="shared" si="25"/>
        <v>1.4652017273279626E-3</v>
      </c>
    </row>
    <row r="1594" spans="1:3" x14ac:dyDescent="0.2">
      <c r="A1594" s="1">
        <v>43755</v>
      </c>
      <c r="B1594">
        <v>204.6</v>
      </c>
      <c r="C1594" s="2">
        <f t="shared" si="25"/>
        <v>-3.4154705073618824E-3</v>
      </c>
    </row>
    <row r="1595" spans="1:3" x14ac:dyDescent="0.2">
      <c r="A1595" s="1">
        <v>43754</v>
      </c>
      <c r="B1595">
        <v>205.3</v>
      </c>
      <c r="C1595" s="2">
        <f t="shared" si="25"/>
        <v>2.9268313576440975E-3</v>
      </c>
    </row>
    <row r="1596" spans="1:3" x14ac:dyDescent="0.2">
      <c r="A1596" s="1">
        <v>43753</v>
      </c>
      <c r="B1596">
        <v>204.7</v>
      </c>
      <c r="C1596" s="2">
        <f t="shared" si="25"/>
        <v>3.6060104934585335E-2</v>
      </c>
    </row>
    <row r="1597" spans="1:3" x14ac:dyDescent="0.2">
      <c r="A1597" s="1">
        <v>43752</v>
      </c>
      <c r="B1597">
        <v>197.45</v>
      </c>
      <c r="C1597" s="2">
        <f t="shared" si="25"/>
        <v>3.0433703429117854E-3</v>
      </c>
    </row>
    <row r="1598" spans="1:3" x14ac:dyDescent="0.2">
      <c r="A1598" s="1">
        <v>43749</v>
      </c>
      <c r="B1598">
        <v>196.85</v>
      </c>
      <c r="C1598" s="2">
        <f t="shared" si="25"/>
        <v>5.0929572779063147E-3</v>
      </c>
    </row>
    <row r="1599" spans="1:3" x14ac:dyDescent="0.2">
      <c r="A1599" s="1">
        <v>43748</v>
      </c>
      <c r="B1599">
        <v>195.85</v>
      </c>
      <c r="C1599" s="2">
        <f t="shared" si="25"/>
        <v>1.7252906384001305E-2</v>
      </c>
    </row>
    <row r="1600" spans="1:3" x14ac:dyDescent="0.2">
      <c r="A1600" s="1">
        <v>43747</v>
      </c>
      <c r="B1600">
        <v>192.5</v>
      </c>
      <c r="C1600" s="2">
        <f t="shared" si="25"/>
        <v>1.7820178063427096E-2</v>
      </c>
    </row>
    <row r="1601" spans="1:3" x14ac:dyDescent="0.2">
      <c r="A1601" s="1">
        <v>43746</v>
      </c>
      <c r="B1601">
        <v>189.1</v>
      </c>
      <c r="C1601" s="2">
        <f t="shared" si="25"/>
        <v>-5.0112197708460536E-3</v>
      </c>
    </row>
    <row r="1602" spans="1:3" x14ac:dyDescent="0.2">
      <c r="A1602" s="1">
        <v>43745</v>
      </c>
      <c r="B1602">
        <v>190.05</v>
      </c>
      <c r="C1602" s="2">
        <f t="shared" si="25"/>
        <v>5.804765639759798E-3</v>
      </c>
    </row>
    <row r="1603" spans="1:3" x14ac:dyDescent="0.2">
      <c r="A1603" s="1">
        <v>43742</v>
      </c>
      <c r="B1603">
        <v>188.95</v>
      </c>
      <c r="C1603" s="2">
        <f t="shared" ref="C1603:C1666" si="26">+LN(B1603/B1604)</f>
        <v>1.5735756082296735E-2</v>
      </c>
    </row>
    <row r="1604" spans="1:3" x14ac:dyDescent="0.2">
      <c r="A1604" s="1">
        <v>43741</v>
      </c>
      <c r="B1604">
        <v>186</v>
      </c>
      <c r="C1604" s="2">
        <f t="shared" si="26"/>
        <v>-1.2289761949905505E-2</v>
      </c>
    </row>
    <row r="1605" spans="1:3" x14ac:dyDescent="0.2">
      <c r="A1605" s="1">
        <v>43740</v>
      </c>
      <c r="B1605">
        <v>188.3</v>
      </c>
      <c r="C1605" s="2">
        <f t="shared" si="26"/>
        <v>-3.0079422151808595E-2</v>
      </c>
    </row>
    <row r="1606" spans="1:3" x14ac:dyDescent="0.2">
      <c r="A1606" s="1">
        <v>43739</v>
      </c>
      <c r="B1606">
        <v>194.05</v>
      </c>
      <c r="C1606" s="2">
        <f t="shared" si="26"/>
        <v>-1.2874985684790984E-3</v>
      </c>
    </row>
    <row r="1607" spans="1:3" x14ac:dyDescent="0.2">
      <c r="A1607" s="1">
        <v>43738</v>
      </c>
      <c r="B1607">
        <v>194.3</v>
      </c>
      <c r="C1607" s="2">
        <f t="shared" si="26"/>
        <v>1.556047993718725E-2</v>
      </c>
    </row>
    <row r="1608" spans="1:3" x14ac:dyDescent="0.2">
      <c r="A1608" s="1">
        <v>43735</v>
      </c>
      <c r="B1608">
        <v>191.3</v>
      </c>
      <c r="C1608" s="2">
        <f t="shared" si="26"/>
        <v>2.2199643166163314E-2</v>
      </c>
    </row>
    <row r="1609" spans="1:3" x14ac:dyDescent="0.2">
      <c r="A1609" s="1">
        <v>43734</v>
      </c>
      <c r="B1609">
        <v>187.1</v>
      </c>
      <c r="C1609" s="2">
        <f t="shared" si="26"/>
        <v>-1.0103781779598486E-2</v>
      </c>
    </row>
    <row r="1610" spans="1:3" x14ac:dyDescent="0.2">
      <c r="A1610" s="1">
        <v>43733</v>
      </c>
      <c r="B1610">
        <v>189</v>
      </c>
      <c r="C1610" s="2">
        <f t="shared" si="26"/>
        <v>-2.6420094628386965E-3</v>
      </c>
    </row>
    <row r="1611" spans="1:3" x14ac:dyDescent="0.2">
      <c r="A1611" s="1">
        <v>43732</v>
      </c>
      <c r="B1611">
        <v>189.5</v>
      </c>
      <c r="C1611" s="2">
        <f t="shared" si="26"/>
        <v>3.7007708110806873E-3</v>
      </c>
    </row>
    <row r="1612" spans="1:3" x14ac:dyDescent="0.2">
      <c r="A1612" s="1">
        <v>43731</v>
      </c>
      <c r="B1612">
        <v>188.8</v>
      </c>
      <c r="C1612" s="2">
        <f t="shared" si="26"/>
        <v>-1.4721611825359738E-2</v>
      </c>
    </row>
    <row r="1613" spans="1:3" x14ac:dyDescent="0.2">
      <c r="A1613" s="1">
        <v>43728</v>
      </c>
      <c r="B1613">
        <v>191.6</v>
      </c>
      <c r="C1613" s="2">
        <f t="shared" si="26"/>
        <v>8.6489859031255879E-3</v>
      </c>
    </row>
    <row r="1614" spans="1:3" x14ac:dyDescent="0.2">
      <c r="A1614" s="1">
        <v>43727</v>
      </c>
      <c r="B1614">
        <v>189.95</v>
      </c>
      <c r="C1614" s="2">
        <f t="shared" si="26"/>
        <v>4.4849039692226545E-3</v>
      </c>
    </row>
    <row r="1615" spans="1:3" x14ac:dyDescent="0.2">
      <c r="A1615" s="1">
        <v>43726</v>
      </c>
      <c r="B1615">
        <v>189.1</v>
      </c>
      <c r="C1615" s="2">
        <f t="shared" si="26"/>
        <v>-4.7757171295927284E-2</v>
      </c>
    </row>
    <row r="1616" spans="1:3" x14ac:dyDescent="0.2">
      <c r="A1616" s="1">
        <v>43725</v>
      </c>
      <c r="B1616">
        <v>198.35</v>
      </c>
      <c r="C1616" s="2">
        <f t="shared" si="26"/>
        <v>1.7661162658037816E-3</v>
      </c>
    </row>
    <row r="1617" spans="1:3" x14ac:dyDescent="0.2">
      <c r="A1617" s="1">
        <v>43724</v>
      </c>
      <c r="B1617">
        <v>198</v>
      </c>
      <c r="C1617" s="2">
        <f t="shared" si="26"/>
        <v>3.2882285856790528E-3</v>
      </c>
    </row>
    <row r="1618" spans="1:3" x14ac:dyDescent="0.2">
      <c r="A1618" s="1">
        <v>43721</v>
      </c>
      <c r="B1618">
        <v>197.35</v>
      </c>
      <c r="C1618" s="2">
        <f t="shared" si="26"/>
        <v>1.1466554479790506E-2</v>
      </c>
    </row>
    <row r="1619" spans="1:3" x14ac:dyDescent="0.2">
      <c r="A1619" s="1">
        <v>43720</v>
      </c>
      <c r="B1619">
        <v>195.1</v>
      </c>
      <c r="C1619" s="2">
        <f t="shared" si="26"/>
        <v>1.9930774922420281E-2</v>
      </c>
    </row>
    <row r="1620" spans="1:3" x14ac:dyDescent="0.2">
      <c r="A1620" s="1">
        <v>43719</v>
      </c>
      <c r="B1620">
        <v>191.25</v>
      </c>
      <c r="C1620" s="2">
        <f t="shared" si="26"/>
        <v>1.3158084577511201E-2</v>
      </c>
    </row>
    <row r="1621" spans="1:3" x14ac:dyDescent="0.2">
      <c r="A1621" s="1">
        <v>43718</v>
      </c>
      <c r="B1621">
        <v>188.75</v>
      </c>
      <c r="C1621" s="2">
        <f t="shared" si="26"/>
        <v>1.1992149045263752E-2</v>
      </c>
    </row>
    <row r="1622" spans="1:3" x14ac:dyDescent="0.2">
      <c r="A1622" s="1">
        <v>43717</v>
      </c>
      <c r="B1622">
        <v>186.5</v>
      </c>
      <c r="C1622" s="2">
        <f t="shared" si="26"/>
        <v>9.4276792555590457E-3</v>
      </c>
    </row>
    <row r="1623" spans="1:3" x14ac:dyDescent="0.2">
      <c r="A1623" s="1">
        <v>43714</v>
      </c>
      <c r="B1623">
        <v>184.75</v>
      </c>
      <c r="C1623" s="2">
        <f t="shared" si="26"/>
        <v>4.0678022193255271E-3</v>
      </c>
    </row>
    <row r="1624" spans="1:3" x14ac:dyDescent="0.2">
      <c r="A1624" s="1">
        <v>43713</v>
      </c>
      <c r="B1624">
        <v>184</v>
      </c>
      <c r="C1624" s="2">
        <f t="shared" si="26"/>
        <v>3.3714162937196222E-2</v>
      </c>
    </row>
    <row r="1625" spans="1:3" x14ac:dyDescent="0.2">
      <c r="A1625" s="1">
        <v>43712</v>
      </c>
      <c r="B1625">
        <v>177.9</v>
      </c>
      <c r="C1625" s="2">
        <f t="shared" si="26"/>
        <v>8.7509379897284419E-3</v>
      </c>
    </row>
    <row r="1626" spans="1:3" x14ac:dyDescent="0.2">
      <c r="A1626" s="1">
        <v>43711</v>
      </c>
      <c r="B1626">
        <v>176.35</v>
      </c>
      <c r="C1626" s="2">
        <f t="shared" si="26"/>
        <v>-7.626078478544635E-3</v>
      </c>
    </row>
    <row r="1627" spans="1:3" x14ac:dyDescent="0.2">
      <c r="A1627" s="1">
        <v>43710</v>
      </c>
      <c r="B1627">
        <v>177.7</v>
      </c>
      <c r="C1627" s="2">
        <f t="shared" si="26"/>
        <v>-1.6741462437577185E-2</v>
      </c>
    </row>
    <row r="1628" spans="1:3" x14ac:dyDescent="0.2">
      <c r="A1628" s="1">
        <v>43707</v>
      </c>
      <c r="B1628">
        <v>180.7</v>
      </c>
      <c r="C1628" s="2">
        <f t="shared" si="26"/>
        <v>1.5897699203718616E-2</v>
      </c>
    </row>
    <row r="1629" spans="1:3" x14ac:dyDescent="0.2">
      <c r="A1629" s="1">
        <v>43706</v>
      </c>
      <c r="B1629">
        <v>177.85</v>
      </c>
      <c r="C1629" s="2">
        <f t="shared" si="26"/>
        <v>3.6940492230784806E-2</v>
      </c>
    </row>
    <row r="1630" spans="1:3" x14ac:dyDescent="0.2">
      <c r="A1630" s="1">
        <v>43705</v>
      </c>
      <c r="B1630">
        <v>171.4</v>
      </c>
      <c r="C1630" s="2">
        <f t="shared" si="26"/>
        <v>2.6288900783692374E-3</v>
      </c>
    </row>
    <row r="1631" spans="1:3" x14ac:dyDescent="0.2">
      <c r="A1631" s="1">
        <v>43704</v>
      </c>
      <c r="B1631">
        <v>170.95</v>
      </c>
      <c r="C1631" s="2">
        <f t="shared" si="26"/>
        <v>1.1706176344107827E-3</v>
      </c>
    </row>
    <row r="1632" spans="1:3" x14ac:dyDescent="0.2">
      <c r="A1632" s="1">
        <v>43703</v>
      </c>
      <c r="B1632">
        <v>170.75</v>
      </c>
      <c r="C1632" s="2">
        <f t="shared" si="26"/>
        <v>-4.3827681550951984E-3</v>
      </c>
    </row>
    <row r="1633" spans="1:3" x14ac:dyDescent="0.2">
      <c r="A1633" s="1">
        <v>43700</v>
      </c>
      <c r="B1633">
        <v>171.5</v>
      </c>
      <c r="C1633" s="2">
        <f t="shared" si="26"/>
        <v>-1.4472032608534432E-2</v>
      </c>
    </row>
    <row r="1634" spans="1:3" x14ac:dyDescent="0.2">
      <c r="A1634" s="1">
        <v>43699</v>
      </c>
      <c r="B1634">
        <v>174</v>
      </c>
      <c r="C1634" s="2">
        <f t="shared" si="26"/>
        <v>1.4378147696274175E-3</v>
      </c>
    </row>
    <row r="1635" spans="1:3" x14ac:dyDescent="0.2">
      <c r="A1635" s="1">
        <v>43698</v>
      </c>
      <c r="B1635">
        <v>173.75</v>
      </c>
      <c r="C1635" s="2">
        <f t="shared" si="26"/>
        <v>4.325889947122661E-3</v>
      </c>
    </row>
    <row r="1636" spans="1:3" x14ac:dyDescent="0.2">
      <c r="A1636" s="1">
        <v>43697</v>
      </c>
      <c r="B1636">
        <v>173</v>
      </c>
      <c r="C1636" s="2">
        <f t="shared" si="26"/>
        <v>-6.0510197596690242E-3</v>
      </c>
    </row>
    <row r="1637" spans="1:3" x14ac:dyDescent="0.2">
      <c r="A1637" s="1">
        <v>43696</v>
      </c>
      <c r="B1637">
        <v>174.05</v>
      </c>
      <c r="C1637" s="2">
        <f t="shared" si="26"/>
        <v>9.525256027855207E-3</v>
      </c>
    </row>
    <row r="1638" spans="1:3" x14ac:dyDescent="0.2">
      <c r="A1638" s="1">
        <v>43693</v>
      </c>
      <c r="B1638">
        <v>172.4</v>
      </c>
      <c r="C1638" s="2">
        <f t="shared" si="26"/>
        <v>2.4663610690745227E-2</v>
      </c>
    </row>
    <row r="1639" spans="1:3" x14ac:dyDescent="0.2">
      <c r="A1639" s="1">
        <v>43692</v>
      </c>
      <c r="B1639">
        <v>168.2</v>
      </c>
      <c r="C1639" s="2">
        <f t="shared" si="26"/>
        <v>5.3651395460693665E-3</v>
      </c>
    </row>
    <row r="1640" spans="1:3" x14ac:dyDescent="0.2">
      <c r="A1640" s="1">
        <v>43691</v>
      </c>
      <c r="B1640">
        <v>167.3</v>
      </c>
      <c r="C1640" s="2">
        <f t="shared" si="26"/>
        <v>-1.4243564247402156E-2</v>
      </c>
    </row>
    <row r="1641" spans="1:3" x14ac:dyDescent="0.2">
      <c r="A1641" s="1">
        <v>43690</v>
      </c>
      <c r="B1641">
        <v>169.7</v>
      </c>
      <c r="C1641" s="2">
        <f t="shared" si="26"/>
        <v>7.0964224477640635E-3</v>
      </c>
    </row>
    <row r="1642" spans="1:3" x14ac:dyDescent="0.2">
      <c r="A1642" s="1">
        <v>43689</v>
      </c>
      <c r="B1642">
        <v>168.5</v>
      </c>
      <c r="C1642" s="2">
        <f t="shared" si="26"/>
        <v>7.1471417996380199E-3</v>
      </c>
    </row>
    <row r="1643" spans="1:3" x14ac:dyDescent="0.2">
      <c r="A1643" s="1">
        <v>43686</v>
      </c>
      <c r="B1643">
        <v>167.3</v>
      </c>
      <c r="C1643" s="2">
        <f t="shared" si="26"/>
        <v>-2.1874948509881434E-2</v>
      </c>
    </row>
    <row r="1644" spans="1:3" x14ac:dyDescent="0.2">
      <c r="A1644" s="1">
        <v>43685</v>
      </c>
      <c r="B1644">
        <v>171</v>
      </c>
      <c r="C1644" s="2">
        <f t="shared" si="26"/>
        <v>1.2060743342361003E-2</v>
      </c>
    </row>
    <row r="1645" spans="1:3" x14ac:dyDescent="0.2">
      <c r="A1645" s="1">
        <v>43684</v>
      </c>
      <c r="B1645">
        <v>168.95</v>
      </c>
      <c r="C1645" s="2">
        <f t="shared" si="26"/>
        <v>-8.5458012349165138E-3</v>
      </c>
    </row>
    <row r="1646" spans="1:3" x14ac:dyDescent="0.2">
      <c r="A1646" s="1">
        <v>43683</v>
      </c>
      <c r="B1646">
        <v>170.4</v>
      </c>
      <c r="C1646" s="2">
        <f t="shared" si="26"/>
        <v>-2.5493848826219759E-2</v>
      </c>
    </row>
    <row r="1647" spans="1:3" x14ac:dyDescent="0.2">
      <c r="A1647" s="1">
        <v>43682</v>
      </c>
      <c r="B1647">
        <v>174.8</v>
      </c>
      <c r="C1647" s="2">
        <f t="shared" si="26"/>
        <v>-1.5609796167661852E-2</v>
      </c>
    </row>
    <row r="1648" spans="1:3" x14ac:dyDescent="0.2">
      <c r="A1648" s="1">
        <v>43679</v>
      </c>
      <c r="B1648">
        <v>177.55</v>
      </c>
      <c r="C1648" s="2">
        <f t="shared" si="26"/>
        <v>-2.6949818251134093E-2</v>
      </c>
    </row>
    <row r="1649" spans="1:3" x14ac:dyDescent="0.2">
      <c r="A1649" s="1">
        <v>43678</v>
      </c>
      <c r="B1649">
        <v>182.4</v>
      </c>
      <c r="C1649" s="2">
        <f t="shared" si="26"/>
        <v>7.152712750863377E-3</v>
      </c>
    </row>
    <row r="1650" spans="1:3" x14ac:dyDescent="0.2">
      <c r="A1650" s="1">
        <v>43677</v>
      </c>
      <c r="B1650">
        <v>181.1</v>
      </c>
      <c r="C1650" s="2">
        <f t="shared" si="26"/>
        <v>-3.0323937778432637E-3</v>
      </c>
    </row>
    <row r="1651" spans="1:3" x14ac:dyDescent="0.2">
      <c r="A1651" s="1">
        <v>43676</v>
      </c>
      <c r="B1651">
        <v>181.65</v>
      </c>
      <c r="C1651" s="2">
        <f t="shared" si="26"/>
        <v>-1.040535127563234E-2</v>
      </c>
    </row>
    <row r="1652" spans="1:3" x14ac:dyDescent="0.2">
      <c r="A1652" s="1">
        <v>43675</v>
      </c>
      <c r="B1652">
        <v>183.55</v>
      </c>
      <c r="C1652" s="2">
        <f t="shared" si="26"/>
        <v>0</v>
      </c>
    </row>
    <row r="1653" spans="1:3" x14ac:dyDescent="0.2">
      <c r="A1653" s="1">
        <v>43672</v>
      </c>
      <c r="B1653">
        <v>183.55</v>
      </c>
      <c r="C1653" s="2">
        <f t="shared" si="26"/>
        <v>-9.4890233484707671E-3</v>
      </c>
    </row>
    <row r="1654" spans="1:3" x14ac:dyDescent="0.2">
      <c r="A1654" s="1">
        <v>43671</v>
      </c>
      <c r="B1654">
        <v>185.3</v>
      </c>
      <c r="C1654" s="2">
        <f t="shared" si="26"/>
        <v>-1.0735476158728699E-2</v>
      </c>
    </row>
    <row r="1655" spans="1:3" x14ac:dyDescent="0.2">
      <c r="A1655" s="1">
        <v>43670</v>
      </c>
      <c r="B1655">
        <v>187.3</v>
      </c>
      <c r="C1655" s="2">
        <f t="shared" si="26"/>
        <v>-1.299580682569644E-2</v>
      </c>
    </row>
    <row r="1656" spans="1:3" x14ac:dyDescent="0.2">
      <c r="A1656" s="1">
        <v>43669</v>
      </c>
      <c r="B1656">
        <v>189.75</v>
      </c>
      <c r="C1656" s="2">
        <f t="shared" si="26"/>
        <v>2.3461486678997966E-2</v>
      </c>
    </row>
    <row r="1657" spans="1:3" x14ac:dyDescent="0.2">
      <c r="A1657" s="1">
        <v>43668</v>
      </c>
      <c r="B1657">
        <v>185.35</v>
      </c>
      <c r="C1657" s="2">
        <f t="shared" si="26"/>
        <v>3.783788298169099E-3</v>
      </c>
    </row>
    <row r="1658" spans="1:3" x14ac:dyDescent="0.2">
      <c r="A1658" s="1">
        <v>43665</v>
      </c>
      <c r="B1658">
        <v>184.65</v>
      </c>
      <c r="C1658" s="2">
        <f t="shared" si="26"/>
        <v>4.6842427796493238E-2</v>
      </c>
    </row>
    <row r="1659" spans="1:3" x14ac:dyDescent="0.2">
      <c r="A1659" s="1">
        <v>43664</v>
      </c>
      <c r="B1659">
        <v>176.2</v>
      </c>
      <c r="C1659" s="2">
        <f t="shared" si="26"/>
        <v>-4.2772418108196424E-2</v>
      </c>
    </row>
    <row r="1660" spans="1:3" x14ac:dyDescent="0.2">
      <c r="A1660" s="1">
        <v>43663</v>
      </c>
      <c r="B1660">
        <v>183.9</v>
      </c>
      <c r="C1660" s="2">
        <f t="shared" si="26"/>
        <v>-0.10910553346805943</v>
      </c>
    </row>
    <row r="1661" spans="1:3" x14ac:dyDescent="0.2">
      <c r="A1661" s="1">
        <v>43662</v>
      </c>
      <c r="B1661">
        <v>205.1</v>
      </c>
      <c r="C1661" s="2">
        <f t="shared" si="26"/>
        <v>2.0690393257446246E-2</v>
      </c>
    </row>
    <row r="1662" spans="1:3" x14ac:dyDescent="0.2">
      <c r="A1662" s="1">
        <v>43661</v>
      </c>
      <c r="B1662">
        <v>200.9</v>
      </c>
      <c r="C1662" s="2">
        <f t="shared" si="26"/>
        <v>7.7451979935246615E-3</v>
      </c>
    </row>
    <row r="1663" spans="1:3" x14ac:dyDescent="0.2">
      <c r="A1663" s="1">
        <v>43658</v>
      </c>
      <c r="B1663">
        <v>199.35</v>
      </c>
      <c r="C1663" s="2">
        <f t="shared" si="26"/>
        <v>-7.5216250255416962E-4</v>
      </c>
    </row>
    <row r="1664" spans="1:3" x14ac:dyDescent="0.2">
      <c r="A1664" s="1">
        <v>43657</v>
      </c>
      <c r="B1664">
        <v>199.5</v>
      </c>
      <c r="C1664" s="2">
        <f t="shared" si="26"/>
        <v>-1.7528488274143605E-3</v>
      </c>
    </row>
    <row r="1665" spans="1:3" x14ac:dyDescent="0.2">
      <c r="A1665" s="1">
        <v>43656</v>
      </c>
      <c r="B1665">
        <v>199.85</v>
      </c>
      <c r="C1665" s="2">
        <f t="shared" si="26"/>
        <v>-1.2678852255977962E-2</v>
      </c>
    </row>
    <row r="1666" spans="1:3" x14ac:dyDescent="0.2">
      <c r="A1666" s="1">
        <v>43655</v>
      </c>
      <c r="B1666">
        <v>202.4</v>
      </c>
      <c r="C1666" s="2">
        <f t="shared" si="26"/>
        <v>-1.178795575204224E-2</v>
      </c>
    </row>
    <row r="1667" spans="1:3" x14ac:dyDescent="0.2">
      <c r="A1667" s="1">
        <v>43654</v>
      </c>
      <c r="B1667">
        <v>204.8</v>
      </c>
      <c r="C1667" s="2">
        <f t="shared" ref="C1667:C1730" si="27">+LN(B1667/B1668)</f>
        <v>-4.870930234596566E-3</v>
      </c>
    </row>
    <row r="1668" spans="1:3" x14ac:dyDescent="0.2">
      <c r="A1668" s="1">
        <v>43651</v>
      </c>
      <c r="B1668">
        <v>205.8</v>
      </c>
      <c r="C1668" s="2">
        <f t="shared" si="27"/>
        <v>3.8948442615410572E-3</v>
      </c>
    </row>
    <row r="1669" spans="1:3" x14ac:dyDescent="0.2">
      <c r="A1669" s="1">
        <v>43650</v>
      </c>
      <c r="B1669">
        <v>205</v>
      </c>
      <c r="C1669" s="2">
        <f t="shared" si="27"/>
        <v>9.7608597305545892E-4</v>
      </c>
    </row>
    <row r="1670" spans="1:3" x14ac:dyDescent="0.2">
      <c r="A1670" s="1">
        <v>43649</v>
      </c>
      <c r="B1670">
        <v>204.8</v>
      </c>
      <c r="C1670" s="2">
        <f t="shared" si="27"/>
        <v>4.8947723767282071E-3</v>
      </c>
    </row>
    <row r="1671" spans="1:3" x14ac:dyDescent="0.2">
      <c r="A1671" s="1">
        <v>43648</v>
      </c>
      <c r="B1671">
        <v>203.8</v>
      </c>
      <c r="C1671" s="2">
        <f t="shared" si="27"/>
        <v>-7.3332032362634436E-3</v>
      </c>
    </row>
    <row r="1672" spans="1:3" x14ac:dyDescent="0.2">
      <c r="A1672" s="1">
        <v>43647</v>
      </c>
      <c r="B1672">
        <v>205.3</v>
      </c>
      <c r="C1672" s="2">
        <f t="shared" si="27"/>
        <v>1.3238732210305068E-2</v>
      </c>
    </row>
    <row r="1673" spans="1:3" x14ac:dyDescent="0.2">
      <c r="A1673" s="1">
        <v>43644</v>
      </c>
      <c r="B1673">
        <v>202.6</v>
      </c>
      <c r="C1673" s="2">
        <f t="shared" si="27"/>
        <v>1.7928767090090645E-2</v>
      </c>
    </row>
    <row r="1674" spans="1:3" x14ac:dyDescent="0.2">
      <c r="A1674" s="1">
        <v>43643</v>
      </c>
      <c r="B1674">
        <v>199</v>
      </c>
      <c r="C1674" s="2">
        <f t="shared" si="27"/>
        <v>-3.7617599218916845E-3</v>
      </c>
    </row>
    <row r="1675" spans="1:3" x14ac:dyDescent="0.2">
      <c r="A1675" s="1">
        <v>43642</v>
      </c>
      <c r="B1675">
        <v>199.75</v>
      </c>
      <c r="C1675" s="2">
        <f t="shared" si="27"/>
        <v>-1.367330190020982E-2</v>
      </c>
    </row>
    <row r="1676" spans="1:3" x14ac:dyDescent="0.2">
      <c r="A1676" s="1">
        <v>43641</v>
      </c>
      <c r="B1676">
        <v>202.5</v>
      </c>
      <c r="C1676" s="2">
        <f t="shared" si="27"/>
        <v>4.4543503493803746E-3</v>
      </c>
    </row>
    <row r="1677" spans="1:3" x14ac:dyDescent="0.2">
      <c r="A1677" s="1">
        <v>43640</v>
      </c>
      <c r="B1677">
        <v>201.6</v>
      </c>
      <c r="C1677" s="2">
        <f t="shared" si="27"/>
        <v>-3.2693812069712842E-2</v>
      </c>
    </row>
    <row r="1678" spans="1:3" x14ac:dyDescent="0.2">
      <c r="A1678" s="1">
        <v>43636</v>
      </c>
      <c r="B1678">
        <v>208.3</v>
      </c>
      <c r="C1678" s="2">
        <f t="shared" si="27"/>
        <v>2.0859354422710065E-2</v>
      </c>
    </row>
    <row r="1679" spans="1:3" x14ac:dyDescent="0.2">
      <c r="A1679" s="1">
        <v>43635</v>
      </c>
      <c r="B1679">
        <v>204</v>
      </c>
      <c r="C1679" s="2">
        <f t="shared" si="27"/>
        <v>2.453988961566787E-3</v>
      </c>
    </row>
    <row r="1680" spans="1:3" x14ac:dyDescent="0.2">
      <c r="A1680" s="1">
        <v>43634</v>
      </c>
      <c r="B1680">
        <v>203.5</v>
      </c>
      <c r="C1680" s="2">
        <f t="shared" si="27"/>
        <v>1.3356617065075427E-2</v>
      </c>
    </row>
    <row r="1681" spans="1:3" x14ac:dyDescent="0.2">
      <c r="A1681" s="1">
        <v>43633</v>
      </c>
      <c r="B1681">
        <v>200.8</v>
      </c>
    </row>
    <row r="1682" spans="1:3" x14ac:dyDescent="0.2">
      <c r="A1682" s="1">
        <v>43630</v>
      </c>
      <c r="B1682">
        <v>200.1</v>
      </c>
      <c r="C1682" s="2">
        <f t="shared" si="27"/>
        <v>-1.3403030127340497E-2</v>
      </c>
    </row>
    <row r="1683" spans="1:3" x14ac:dyDescent="0.2">
      <c r="A1683" s="1">
        <v>43629</v>
      </c>
      <c r="B1683">
        <v>202.8</v>
      </c>
      <c r="C1683" s="2">
        <f t="shared" si="27"/>
        <v>4.9431637975195092E-3</v>
      </c>
    </row>
    <row r="1684" spans="1:3" x14ac:dyDescent="0.2">
      <c r="A1684" s="1">
        <v>43628</v>
      </c>
      <c r="B1684">
        <v>201.8</v>
      </c>
      <c r="C1684" s="2">
        <f t="shared" si="27"/>
        <v>-4.9431637975195421E-3</v>
      </c>
    </row>
    <row r="1685" spans="1:3" x14ac:dyDescent="0.2">
      <c r="A1685" s="1">
        <v>43627</v>
      </c>
      <c r="B1685">
        <v>202.8</v>
      </c>
      <c r="C1685" s="2">
        <f t="shared" si="27"/>
        <v>1.4152936424200841E-2</v>
      </c>
    </row>
    <row r="1686" spans="1:3" x14ac:dyDescent="0.2">
      <c r="A1686" s="1">
        <v>43626</v>
      </c>
      <c r="B1686">
        <v>199.95</v>
      </c>
      <c r="C1686" s="2">
        <f t="shared" si="27"/>
        <v>2.0025037980843869E-3</v>
      </c>
    </row>
    <row r="1687" spans="1:3" x14ac:dyDescent="0.2">
      <c r="A1687" s="1">
        <v>43623</v>
      </c>
      <c r="B1687">
        <v>199.55</v>
      </c>
      <c r="C1687" s="2">
        <f t="shared" si="27"/>
        <v>1.2861102756754445E-2</v>
      </c>
    </row>
    <row r="1688" spans="1:3" x14ac:dyDescent="0.2">
      <c r="A1688" s="1">
        <v>43621</v>
      </c>
      <c r="B1688">
        <v>197</v>
      </c>
      <c r="C1688" s="2">
        <f t="shared" si="27"/>
        <v>-5.063301956546762E-3</v>
      </c>
    </row>
    <row r="1689" spans="1:3" x14ac:dyDescent="0.2">
      <c r="A1689" s="1">
        <v>43620</v>
      </c>
      <c r="B1689">
        <v>198</v>
      </c>
      <c r="C1689" s="2">
        <f t="shared" si="27"/>
        <v>7.8590846900666051E-3</v>
      </c>
    </row>
    <row r="1690" spans="1:3" x14ac:dyDescent="0.2">
      <c r="A1690" s="1">
        <v>43619</v>
      </c>
      <c r="B1690">
        <v>196.45</v>
      </c>
      <c r="C1690" s="2">
        <f t="shared" si="27"/>
        <v>7.6648305758624021E-3</v>
      </c>
    </row>
    <row r="1691" spans="1:3" x14ac:dyDescent="0.2">
      <c r="A1691" s="1">
        <v>43616</v>
      </c>
      <c r="B1691">
        <v>194.95</v>
      </c>
      <c r="C1691" s="2">
        <f t="shared" si="27"/>
        <v>-3.6019508980969034E-2</v>
      </c>
    </row>
    <row r="1692" spans="1:3" x14ac:dyDescent="0.2">
      <c r="A1692" s="1">
        <v>43614</v>
      </c>
      <c r="B1692">
        <v>202.1</v>
      </c>
      <c r="C1692" s="2">
        <f t="shared" si="27"/>
        <v>4.9492700837056643E-4</v>
      </c>
    </row>
    <row r="1693" spans="1:3" x14ac:dyDescent="0.2">
      <c r="A1693" s="1">
        <v>43613</v>
      </c>
      <c r="B1693">
        <v>202</v>
      </c>
      <c r="C1693" s="2">
        <f t="shared" si="27"/>
        <v>-4.4455494305642934E-3</v>
      </c>
    </row>
    <row r="1694" spans="1:3" x14ac:dyDescent="0.2">
      <c r="A1694" s="1">
        <v>43612</v>
      </c>
      <c r="B1694">
        <v>202.9</v>
      </c>
      <c r="C1694" s="2">
        <f t="shared" si="27"/>
        <v>-4.9164307486404442E-3</v>
      </c>
    </row>
    <row r="1695" spans="1:3" x14ac:dyDescent="0.2">
      <c r="A1695" s="1">
        <v>43609</v>
      </c>
      <c r="B1695">
        <v>203.9</v>
      </c>
      <c r="C1695" s="2">
        <f t="shared" si="27"/>
        <v>-3.9158150868342416E-3</v>
      </c>
    </row>
    <row r="1696" spans="1:3" x14ac:dyDescent="0.2">
      <c r="A1696" s="1">
        <v>43608</v>
      </c>
      <c r="B1696">
        <v>204.7</v>
      </c>
      <c r="C1696" s="2">
        <f t="shared" si="27"/>
        <v>-3.4096940500062296E-2</v>
      </c>
    </row>
    <row r="1697" spans="1:3" x14ac:dyDescent="0.2">
      <c r="A1697" s="1">
        <v>43607</v>
      </c>
      <c r="B1697">
        <v>211.8</v>
      </c>
      <c r="C1697" s="2">
        <f t="shared" si="27"/>
        <v>1.8903597311687712E-3</v>
      </c>
    </row>
    <row r="1698" spans="1:3" x14ac:dyDescent="0.2">
      <c r="A1698" s="1">
        <v>43606</v>
      </c>
      <c r="B1698">
        <v>211.4</v>
      </c>
      <c r="C1698" s="2">
        <f t="shared" si="27"/>
        <v>1.0939467001549356E-2</v>
      </c>
    </row>
    <row r="1699" spans="1:3" x14ac:dyDescent="0.2">
      <c r="A1699" s="1">
        <v>43605</v>
      </c>
      <c r="B1699">
        <v>209.1</v>
      </c>
      <c r="C1699" s="2">
        <f t="shared" si="27"/>
        <v>-6.6730466878482837E-3</v>
      </c>
    </row>
    <row r="1700" spans="1:3" x14ac:dyDescent="0.2">
      <c r="A1700" s="1">
        <v>43602</v>
      </c>
      <c r="B1700">
        <v>210.5</v>
      </c>
      <c r="C1700" s="2">
        <f t="shared" si="27"/>
        <v>-1.1806512586988952E-2</v>
      </c>
    </row>
    <row r="1701" spans="1:3" x14ac:dyDescent="0.2">
      <c r="A1701" s="1">
        <v>43601</v>
      </c>
      <c r="B1701">
        <v>213</v>
      </c>
      <c r="C1701" s="2">
        <f t="shared" si="27"/>
        <v>2.0873623142753137E-2</v>
      </c>
    </row>
    <row r="1702" spans="1:3" x14ac:dyDescent="0.2">
      <c r="A1702" s="1">
        <v>43600</v>
      </c>
      <c r="B1702">
        <v>208.6</v>
      </c>
      <c r="C1702" s="2">
        <f t="shared" si="27"/>
        <v>-9.5831344181170194E-4</v>
      </c>
    </row>
    <row r="1703" spans="1:3" x14ac:dyDescent="0.2">
      <c r="A1703" s="1">
        <v>43599</v>
      </c>
      <c r="B1703">
        <v>208.8</v>
      </c>
      <c r="C1703" s="2">
        <f t="shared" si="27"/>
        <v>9.1412712569862529E-3</v>
      </c>
    </row>
    <row r="1704" spans="1:3" x14ac:dyDescent="0.2">
      <c r="A1704" s="1">
        <v>43598</v>
      </c>
      <c r="B1704">
        <v>206.9</v>
      </c>
      <c r="C1704" s="2">
        <f t="shared" si="27"/>
        <v>-1.3442353156376829E-2</v>
      </c>
    </row>
    <row r="1705" spans="1:3" x14ac:dyDescent="0.2">
      <c r="A1705" s="1">
        <v>43595</v>
      </c>
      <c r="B1705">
        <v>209.7</v>
      </c>
      <c r="C1705" s="2">
        <f t="shared" si="27"/>
        <v>3.3436859430633105E-3</v>
      </c>
    </row>
    <row r="1706" spans="1:3" x14ac:dyDescent="0.2">
      <c r="A1706" s="1">
        <v>43594</v>
      </c>
      <c r="B1706">
        <v>209</v>
      </c>
      <c r="C1706" s="2">
        <f t="shared" si="27"/>
        <v>-2.0834086902842025E-2</v>
      </c>
    </row>
    <row r="1707" spans="1:3" x14ac:dyDescent="0.2">
      <c r="A1707" s="1">
        <v>43593</v>
      </c>
      <c r="B1707">
        <v>213.4</v>
      </c>
      <c r="C1707" s="2">
        <f t="shared" si="27"/>
        <v>-4.6849380102623119E-4</v>
      </c>
    </row>
    <row r="1708" spans="1:3" x14ac:dyDescent="0.2">
      <c r="A1708" s="1">
        <v>43592</v>
      </c>
      <c r="B1708">
        <v>213.5</v>
      </c>
      <c r="C1708" s="2">
        <f t="shared" si="27"/>
        <v>-2.0399409281894997E-2</v>
      </c>
    </row>
    <row r="1709" spans="1:3" x14ac:dyDescent="0.2">
      <c r="A1709" s="1">
        <v>43591</v>
      </c>
      <c r="B1709">
        <v>217.9</v>
      </c>
      <c r="C1709" s="2">
        <f t="shared" si="27"/>
        <v>-1.1861452936326499E-2</v>
      </c>
    </row>
    <row r="1710" spans="1:3" x14ac:dyDescent="0.2">
      <c r="A1710" s="1">
        <v>43588</v>
      </c>
      <c r="B1710">
        <v>220.5</v>
      </c>
      <c r="C1710" s="2">
        <f t="shared" si="27"/>
        <v>1.0485621487930362E-2</v>
      </c>
    </row>
    <row r="1711" spans="1:3" x14ac:dyDescent="0.2">
      <c r="A1711" s="1">
        <v>43587</v>
      </c>
      <c r="B1711">
        <v>218.2</v>
      </c>
      <c r="C1711" s="2">
        <f t="shared" si="27"/>
        <v>-1.0032003879789086E-2</v>
      </c>
    </row>
    <row r="1712" spans="1:3" x14ac:dyDescent="0.2">
      <c r="A1712" s="1">
        <v>43585</v>
      </c>
      <c r="B1712">
        <v>220.4</v>
      </c>
      <c r="C1712" s="2">
        <f t="shared" si="27"/>
        <v>0</v>
      </c>
    </row>
    <row r="1713" spans="1:3" x14ac:dyDescent="0.2">
      <c r="A1713" s="1">
        <v>43584</v>
      </c>
      <c r="B1713">
        <v>220.4</v>
      </c>
      <c r="C1713" s="2">
        <f t="shared" si="27"/>
        <v>2.7260353092384017E-3</v>
      </c>
    </row>
    <row r="1714" spans="1:3" x14ac:dyDescent="0.2">
      <c r="A1714" s="1">
        <v>43581</v>
      </c>
      <c r="B1714">
        <v>219.8</v>
      </c>
      <c r="C1714" s="2">
        <f t="shared" si="27"/>
        <v>-4.539272433419222E-3</v>
      </c>
    </row>
    <row r="1715" spans="1:3" x14ac:dyDescent="0.2">
      <c r="A1715" s="1">
        <v>43580</v>
      </c>
      <c r="B1715">
        <v>220.8</v>
      </c>
      <c r="C1715" s="2">
        <f t="shared" si="27"/>
        <v>-1.795380361659582E-2</v>
      </c>
    </row>
    <row r="1716" spans="1:3" x14ac:dyDescent="0.2">
      <c r="A1716" s="1">
        <v>43579</v>
      </c>
      <c r="B1716">
        <v>224.8</v>
      </c>
      <c r="C1716" s="2">
        <f t="shared" si="27"/>
        <v>-2.9368755506752702E-2</v>
      </c>
    </row>
    <row r="1717" spans="1:3" x14ac:dyDescent="0.2">
      <c r="A1717" s="1">
        <v>43578</v>
      </c>
      <c r="B1717">
        <v>231.5</v>
      </c>
      <c r="C1717" s="2">
        <f t="shared" si="27"/>
        <v>5.6313772385066015E-3</v>
      </c>
    </row>
    <row r="1718" spans="1:3" x14ac:dyDescent="0.2">
      <c r="A1718" s="1">
        <v>43573</v>
      </c>
      <c r="B1718">
        <v>230.2</v>
      </c>
      <c r="C1718" s="2">
        <f t="shared" si="27"/>
        <v>3.0454667871822657E-3</v>
      </c>
    </row>
    <row r="1719" spans="1:3" x14ac:dyDescent="0.2">
      <c r="A1719" s="1">
        <v>43572</v>
      </c>
      <c r="B1719">
        <v>229.5</v>
      </c>
      <c r="C1719" s="2">
        <f t="shared" si="27"/>
        <v>1.3080446600153889E-3</v>
      </c>
    </row>
    <row r="1720" spans="1:3" x14ac:dyDescent="0.2">
      <c r="A1720" s="1">
        <v>43571</v>
      </c>
      <c r="B1720">
        <v>229.2</v>
      </c>
      <c r="C1720" s="2">
        <f t="shared" si="27"/>
        <v>1.8494582636164311E-2</v>
      </c>
    </row>
    <row r="1721" spans="1:3" x14ac:dyDescent="0.2">
      <c r="A1721" s="1">
        <v>43570</v>
      </c>
      <c r="B1721">
        <v>225</v>
      </c>
      <c r="C1721" s="2">
        <f t="shared" si="27"/>
        <v>4.0080213975388678E-3</v>
      </c>
    </row>
    <row r="1722" spans="1:3" x14ac:dyDescent="0.2">
      <c r="A1722" s="1">
        <v>43567</v>
      </c>
      <c r="B1722">
        <v>224.1</v>
      </c>
      <c r="C1722" s="2">
        <f t="shared" si="27"/>
        <v>2.7138707599298019E-2</v>
      </c>
    </row>
    <row r="1723" spans="1:3" x14ac:dyDescent="0.2">
      <c r="A1723" s="1">
        <v>43566</v>
      </c>
      <c r="B1723">
        <v>218.1</v>
      </c>
      <c r="C1723" s="2">
        <f t="shared" si="27"/>
        <v>2.2951582257957201E-3</v>
      </c>
    </row>
    <row r="1724" spans="1:3" x14ac:dyDescent="0.2">
      <c r="A1724" s="1">
        <v>43565</v>
      </c>
      <c r="B1724">
        <v>217.6</v>
      </c>
      <c r="C1724" s="2">
        <f t="shared" si="27"/>
        <v>8.7699615866769567E-3</v>
      </c>
    </row>
    <row r="1725" spans="1:3" x14ac:dyDescent="0.2">
      <c r="A1725" s="1">
        <v>43564</v>
      </c>
      <c r="B1725">
        <v>215.7</v>
      </c>
      <c r="C1725" s="2">
        <f t="shared" si="27"/>
        <v>-1.1981710160787586E-2</v>
      </c>
    </row>
    <row r="1726" spans="1:3" x14ac:dyDescent="0.2">
      <c r="A1726" s="1">
        <v>43563</v>
      </c>
      <c r="B1726">
        <v>218.3</v>
      </c>
      <c r="C1726" s="2">
        <f t="shared" si="27"/>
        <v>-1.8306641268238128E-3</v>
      </c>
    </row>
    <row r="1727" spans="1:3" x14ac:dyDescent="0.2">
      <c r="A1727" s="1">
        <v>43560</v>
      </c>
      <c r="B1727">
        <v>218.7</v>
      </c>
      <c r="C1727" s="2">
        <f t="shared" si="27"/>
        <v>8.2645098498934314E-3</v>
      </c>
    </row>
    <row r="1728" spans="1:3" x14ac:dyDescent="0.2">
      <c r="A1728" s="1">
        <v>43559</v>
      </c>
      <c r="B1728">
        <v>216.9</v>
      </c>
      <c r="C1728" s="2">
        <f t="shared" si="27"/>
        <v>-5.5172553747546288E-3</v>
      </c>
    </row>
    <row r="1729" spans="1:3" x14ac:dyDescent="0.2">
      <c r="A1729" s="1">
        <v>43558</v>
      </c>
      <c r="B1729">
        <v>218.1</v>
      </c>
      <c r="C1729" s="2">
        <f t="shared" si="27"/>
        <v>2.3661507498158228E-2</v>
      </c>
    </row>
    <row r="1730" spans="1:3" x14ac:dyDescent="0.2">
      <c r="A1730" s="1">
        <v>43557</v>
      </c>
      <c r="B1730">
        <v>213</v>
      </c>
      <c r="C1730" s="2">
        <f t="shared" si="27"/>
        <v>-8.8806379390396345E-3</v>
      </c>
    </row>
    <row r="1731" spans="1:3" x14ac:dyDescent="0.2">
      <c r="A1731" s="1">
        <v>43556</v>
      </c>
      <c r="B1731">
        <v>214.9</v>
      </c>
      <c r="C1731" s="2">
        <f t="shared" ref="C1731:C1794" si="28">+LN(B1731/B1732)</f>
        <v>7.0044647808117384E-3</v>
      </c>
    </row>
    <row r="1732" spans="1:3" x14ac:dyDescent="0.2">
      <c r="A1732" s="1">
        <v>43553</v>
      </c>
      <c r="B1732">
        <v>213.4</v>
      </c>
      <c r="C1732" s="2">
        <f t="shared" si="28"/>
        <v>1.98776066768852E-2</v>
      </c>
    </row>
    <row r="1733" spans="1:3" x14ac:dyDescent="0.2">
      <c r="A1733" s="1">
        <v>43552</v>
      </c>
      <c r="B1733">
        <v>209.2</v>
      </c>
      <c r="C1733" s="2">
        <f t="shared" si="28"/>
        <v>2.5170738346551355E-2</v>
      </c>
    </row>
    <row r="1734" spans="1:3" x14ac:dyDescent="0.2">
      <c r="A1734" s="1">
        <v>43551</v>
      </c>
      <c r="B1734">
        <v>204</v>
      </c>
      <c r="C1734" s="2">
        <f t="shared" si="28"/>
        <v>5.899722127188322E-3</v>
      </c>
    </row>
    <row r="1735" spans="1:3" x14ac:dyDescent="0.2">
      <c r="A1735" s="1">
        <v>43550</v>
      </c>
      <c r="B1735">
        <v>202.8</v>
      </c>
      <c r="C1735" s="2">
        <f t="shared" si="28"/>
        <v>-9.8570732475918824E-4</v>
      </c>
    </row>
    <row r="1736" spans="1:3" x14ac:dyDescent="0.2">
      <c r="A1736" s="1">
        <v>43549</v>
      </c>
      <c r="B1736">
        <v>203</v>
      </c>
      <c r="C1736" s="2">
        <f t="shared" si="28"/>
        <v>1.338973637001472E-2</v>
      </c>
    </row>
    <row r="1737" spans="1:3" x14ac:dyDescent="0.2">
      <c r="A1737" s="1">
        <v>43546</v>
      </c>
      <c r="B1737">
        <v>200.3</v>
      </c>
      <c r="C1737" s="2">
        <f t="shared" si="28"/>
        <v>-8.9463817378026365E-3</v>
      </c>
    </row>
    <row r="1738" spans="1:3" x14ac:dyDescent="0.2">
      <c r="A1738" s="1">
        <v>43545</v>
      </c>
      <c r="B1738">
        <v>202.1</v>
      </c>
      <c r="C1738" s="2">
        <f t="shared" si="28"/>
        <v>4.9492700837056643E-4</v>
      </c>
    </row>
    <row r="1739" spans="1:3" x14ac:dyDescent="0.2">
      <c r="A1739" s="1">
        <v>43544</v>
      </c>
      <c r="B1739">
        <v>202</v>
      </c>
      <c r="C1739" s="2">
        <f t="shared" si="28"/>
        <v>-1.0342372414594295E-2</v>
      </c>
    </row>
    <row r="1740" spans="1:3" x14ac:dyDescent="0.2">
      <c r="A1740" s="1">
        <v>43543</v>
      </c>
      <c r="B1740">
        <v>204.1</v>
      </c>
      <c r="C1740" s="2">
        <f t="shared" si="28"/>
        <v>2.4802858745648401E-2</v>
      </c>
    </row>
    <row r="1741" spans="1:3" x14ac:dyDescent="0.2">
      <c r="A1741" s="1">
        <v>43542</v>
      </c>
      <c r="B1741">
        <v>199.1</v>
      </c>
    </row>
    <row r="1742" spans="1:3" x14ac:dyDescent="0.2">
      <c r="A1742" s="1">
        <v>43539</v>
      </c>
      <c r="B1742">
        <v>201.1</v>
      </c>
      <c r="C1742" s="2">
        <f t="shared" si="28"/>
        <v>1.1754543244164991E-2</v>
      </c>
    </row>
    <row r="1743" spans="1:3" x14ac:dyDescent="0.2">
      <c r="A1743" s="1">
        <v>43538</v>
      </c>
      <c r="B1743">
        <v>198.75</v>
      </c>
      <c r="C1743" s="2">
        <f t="shared" si="28"/>
        <v>1.2658396871923465E-2</v>
      </c>
    </row>
    <row r="1744" spans="1:3" x14ac:dyDescent="0.2">
      <c r="A1744" s="1">
        <v>43537</v>
      </c>
      <c r="B1744">
        <v>196.25</v>
      </c>
      <c r="C1744" s="2">
        <f t="shared" si="28"/>
        <v>5.6208630358938931E-3</v>
      </c>
    </row>
    <row r="1745" spans="1:3" x14ac:dyDescent="0.2">
      <c r="A1745" s="1">
        <v>43536</v>
      </c>
      <c r="B1745">
        <v>195.15</v>
      </c>
      <c r="C1745" s="2">
        <f t="shared" si="28"/>
        <v>4.6225043788672296E-3</v>
      </c>
    </row>
    <row r="1746" spans="1:3" x14ac:dyDescent="0.2">
      <c r="A1746" s="1">
        <v>43535</v>
      </c>
      <c r="B1746">
        <v>194.25</v>
      </c>
      <c r="C1746" s="2">
        <f t="shared" si="28"/>
        <v>8.5304898837317792E-3</v>
      </c>
    </row>
    <row r="1747" spans="1:3" x14ac:dyDescent="0.2">
      <c r="A1747" s="1">
        <v>43532</v>
      </c>
      <c r="B1747">
        <v>192.6</v>
      </c>
      <c r="C1747" s="2">
        <f t="shared" si="28"/>
        <v>-1.5456258236691802E-2</v>
      </c>
    </row>
    <row r="1748" spans="1:3" x14ac:dyDescent="0.2">
      <c r="A1748" s="1">
        <v>43531</v>
      </c>
      <c r="B1748">
        <v>195.6</v>
      </c>
      <c r="C1748" s="2">
        <f t="shared" si="28"/>
        <v>-1.7233067123775443E-2</v>
      </c>
    </row>
    <row r="1749" spans="1:3" x14ac:dyDescent="0.2">
      <c r="A1749" s="1">
        <v>43530</v>
      </c>
      <c r="B1749">
        <v>199</v>
      </c>
      <c r="C1749" s="2">
        <f t="shared" si="28"/>
        <v>-1.8422228733461887E-2</v>
      </c>
    </row>
    <row r="1750" spans="1:3" x14ac:dyDescent="0.2">
      <c r="A1750" s="1">
        <v>43529</v>
      </c>
      <c r="B1750">
        <v>202.7</v>
      </c>
      <c r="C1750" s="2">
        <f t="shared" si="28"/>
        <v>-9.329800059571746E-3</v>
      </c>
    </row>
    <row r="1751" spans="1:3" x14ac:dyDescent="0.2">
      <c r="A1751" s="1">
        <v>43528</v>
      </c>
      <c r="B1751">
        <v>204.6</v>
      </c>
      <c r="C1751" s="2">
        <f t="shared" si="28"/>
        <v>1.1305109343826246E-2</v>
      </c>
    </row>
    <row r="1752" spans="1:3" x14ac:dyDescent="0.2">
      <c r="A1752" s="1">
        <v>43525</v>
      </c>
      <c r="B1752">
        <v>202.3</v>
      </c>
      <c r="C1752" s="2">
        <f t="shared" si="28"/>
        <v>1.4840467724950225E-3</v>
      </c>
    </row>
    <row r="1753" spans="1:3" x14ac:dyDescent="0.2">
      <c r="A1753" s="1">
        <v>43524</v>
      </c>
      <c r="B1753">
        <v>202</v>
      </c>
      <c r="C1753" s="2">
        <f t="shared" si="28"/>
        <v>0</v>
      </c>
    </row>
    <row r="1754" spans="1:3" x14ac:dyDescent="0.2">
      <c r="A1754" s="1">
        <v>43523</v>
      </c>
      <c r="B1754">
        <v>202</v>
      </c>
      <c r="C1754" s="2">
        <f t="shared" si="28"/>
        <v>-1.2300278081651676E-2</v>
      </c>
    </row>
    <row r="1755" spans="1:3" x14ac:dyDescent="0.2">
      <c r="A1755" s="1">
        <v>43522</v>
      </c>
      <c r="B1755">
        <v>204.5</v>
      </c>
      <c r="C1755" s="2">
        <f t="shared" si="28"/>
        <v>-3.4171378137580186E-3</v>
      </c>
    </row>
    <row r="1756" spans="1:3" x14ac:dyDescent="0.2">
      <c r="A1756" s="1">
        <v>43521</v>
      </c>
      <c r="B1756">
        <v>205.2</v>
      </c>
      <c r="C1756" s="2">
        <f t="shared" si="28"/>
        <v>-1.5474196582597478E-2</v>
      </c>
    </row>
    <row r="1757" spans="1:3" x14ac:dyDescent="0.2">
      <c r="A1757" s="1">
        <v>43518</v>
      </c>
      <c r="B1757">
        <v>208.4</v>
      </c>
      <c r="C1757" s="2">
        <f t="shared" si="28"/>
        <v>1.1097821982798519E-2</v>
      </c>
    </row>
    <row r="1758" spans="1:3" x14ac:dyDescent="0.2">
      <c r="A1758" s="1">
        <v>43517</v>
      </c>
      <c r="B1758">
        <v>206.1</v>
      </c>
      <c r="C1758" s="2">
        <f t="shared" si="28"/>
        <v>9.7087386266942843E-4</v>
      </c>
    </row>
    <row r="1759" spans="1:3" x14ac:dyDescent="0.2">
      <c r="A1759" s="1">
        <v>43516</v>
      </c>
      <c r="B1759">
        <v>205.9</v>
      </c>
      <c r="C1759" s="2">
        <f t="shared" si="28"/>
        <v>2.1601232647006162E-2</v>
      </c>
    </row>
    <row r="1760" spans="1:3" x14ac:dyDescent="0.2">
      <c r="A1760" s="1">
        <v>43515</v>
      </c>
      <c r="B1760">
        <v>201.5</v>
      </c>
      <c r="C1760" s="2">
        <f t="shared" si="28"/>
        <v>9.9304874099185323E-4</v>
      </c>
    </row>
    <row r="1761" spans="1:3" x14ac:dyDescent="0.2">
      <c r="A1761" s="1">
        <v>43514</v>
      </c>
      <c r="B1761">
        <v>201.3</v>
      </c>
      <c r="C1761" s="2">
        <f t="shared" si="28"/>
        <v>1.1994146785819242E-2</v>
      </c>
    </row>
    <row r="1762" spans="1:3" x14ac:dyDescent="0.2">
      <c r="A1762" s="1">
        <v>43511</v>
      </c>
      <c r="B1762">
        <v>198.9</v>
      </c>
      <c r="C1762" s="2">
        <f t="shared" si="28"/>
        <v>-1.5071592905712516E-3</v>
      </c>
    </row>
    <row r="1763" spans="1:3" x14ac:dyDescent="0.2">
      <c r="A1763" s="1">
        <v>43510</v>
      </c>
      <c r="B1763">
        <v>199.2</v>
      </c>
      <c r="C1763" s="2">
        <f t="shared" si="28"/>
        <v>6.0423144559626617E-3</v>
      </c>
    </row>
    <row r="1764" spans="1:3" x14ac:dyDescent="0.2">
      <c r="A1764" s="1">
        <v>43509</v>
      </c>
      <c r="B1764">
        <v>198</v>
      </c>
      <c r="C1764" s="2">
        <f t="shared" si="28"/>
        <v>2.1956460281585086E-2</v>
      </c>
    </row>
    <row r="1765" spans="1:3" x14ac:dyDescent="0.2">
      <c r="A1765" s="1">
        <v>43508</v>
      </c>
      <c r="B1765">
        <v>193.7</v>
      </c>
      <c r="C1765" s="2">
        <f t="shared" si="28"/>
        <v>-2.3204857647262066E-3</v>
      </c>
    </row>
    <row r="1766" spans="1:3" x14ac:dyDescent="0.2">
      <c r="A1766" s="1">
        <v>43507</v>
      </c>
      <c r="B1766">
        <v>194.15</v>
      </c>
      <c r="C1766" s="2">
        <f t="shared" si="28"/>
        <v>1.2438615930310825E-2</v>
      </c>
    </row>
    <row r="1767" spans="1:3" x14ac:dyDescent="0.2">
      <c r="A1767" s="1">
        <v>43504</v>
      </c>
      <c r="B1767">
        <v>191.75</v>
      </c>
      <c r="C1767" s="2">
        <f t="shared" si="28"/>
        <v>1.206730278275585E-2</v>
      </c>
    </row>
    <row r="1768" spans="1:3" x14ac:dyDescent="0.2">
      <c r="A1768" s="1">
        <v>43503</v>
      </c>
      <c r="B1768">
        <v>189.45</v>
      </c>
      <c r="C1768" s="2">
        <f t="shared" si="28"/>
        <v>-3.3989521765907464E-2</v>
      </c>
    </row>
    <row r="1769" spans="1:3" x14ac:dyDescent="0.2">
      <c r="A1769" s="1">
        <v>43502</v>
      </c>
      <c r="B1769">
        <v>196</v>
      </c>
      <c r="C1769" s="2">
        <f t="shared" si="28"/>
        <v>3.3218377294375648E-3</v>
      </c>
    </row>
    <row r="1770" spans="1:3" x14ac:dyDescent="0.2">
      <c r="A1770" s="1">
        <v>43501</v>
      </c>
      <c r="B1770">
        <v>195.35</v>
      </c>
      <c r="C1770" s="2">
        <f t="shared" si="28"/>
        <v>-6.5146219737776553E-2</v>
      </c>
    </row>
    <row r="1771" spans="1:3" x14ac:dyDescent="0.2">
      <c r="A1771" s="1">
        <v>43500</v>
      </c>
      <c r="B1771">
        <v>208.5</v>
      </c>
      <c r="C1771" s="2">
        <f t="shared" si="28"/>
        <v>2.4009615375382679E-3</v>
      </c>
    </row>
    <row r="1772" spans="1:3" x14ac:dyDescent="0.2">
      <c r="A1772" s="1">
        <v>43497</v>
      </c>
      <c r="B1772">
        <v>208</v>
      </c>
      <c r="C1772" s="2">
        <f t="shared" si="28"/>
        <v>1.5504186535965254E-2</v>
      </c>
    </row>
    <row r="1773" spans="1:3" x14ac:dyDescent="0.2">
      <c r="A1773" s="1">
        <v>43496</v>
      </c>
      <c r="B1773">
        <v>204.8</v>
      </c>
      <c r="C1773" s="2">
        <f t="shared" si="28"/>
        <v>0</v>
      </c>
    </row>
    <row r="1774" spans="1:3" x14ac:dyDescent="0.2">
      <c r="A1774" s="1">
        <v>43495</v>
      </c>
      <c r="B1774">
        <v>204.8</v>
      </c>
      <c r="C1774" s="2">
        <f t="shared" si="28"/>
        <v>1.2282148991652843E-2</v>
      </c>
    </row>
    <row r="1775" spans="1:3" x14ac:dyDescent="0.2">
      <c r="A1775" s="1">
        <v>43494</v>
      </c>
      <c r="B1775">
        <v>202.3</v>
      </c>
      <c r="C1775" s="2">
        <f t="shared" si="28"/>
        <v>1.6949558313773205E-2</v>
      </c>
    </row>
    <row r="1776" spans="1:3" x14ac:dyDescent="0.2">
      <c r="A1776" s="1">
        <v>43493</v>
      </c>
      <c r="B1776">
        <v>198.9</v>
      </c>
      <c r="C1776" s="2">
        <f t="shared" si="28"/>
        <v>-6.5146810211936419E-3</v>
      </c>
    </row>
    <row r="1777" spans="1:3" x14ac:dyDescent="0.2">
      <c r="A1777" s="1">
        <v>43490</v>
      </c>
      <c r="B1777">
        <v>200.2</v>
      </c>
      <c r="C1777" s="2">
        <f t="shared" si="28"/>
        <v>1.9163470960754617E-2</v>
      </c>
    </row>
    <row r="1778" spans="1:3" x14ac:dyDescent="0.2">
      <c r="A1778" s="1">
        <v>43489</v>
      </c>
      <c r="B1778">
        <v>196.4</v>
      </c>
      <c r="C1778" s="2">
        <f t="shared" si="28"/>
        <v>5.8726072005700989E-3</v>
      </c>
    </row>
    <row r="1779" spans="1:3" x14ac:dyDescent="0.2">
      <c r="A1779" s="1">
        <v>43488</v>
      </c>
      <c r="B1779">
        <v>195.25</v>
      </c>
      <c r="C1779" s="2">
        <f t="shared" si="28"/>
        <v>-4.5988839357662039E-3</v>
      </c>
    </row>
    <row r="1780" spans="1:3" x14ac:dyDescent="0.2">
      <c r="A1780" s="1">
        <v>43487</v>
      </c>
      <c r="B1780">
        <v>196.15</v>
      </c>
      <c r="C1780" s="2">
        <f t="shared" si="28"/>
        <v>-9.639851412364106E-3</v>
      </c>
    </row>
    <row r="1781" spans="1:3" x14ac:dyDescent="0.2">
      <c r="A1781" s="1">
        <v>43486</v>
      </c>
      <c r="B1781">
        <v>198.05</v>
      </c>
      <c r="C1781" s="2">
        <f t="shared" si="28"/>
        <v>-1.6773456216536236E-2</v>
      </c>
    </row>
    <row r="1782" spans="1:3" x14ac:dyDescent="0.2">
      <c r="A1782" s="1">
        <v>43483</v>
      </c>
      <c r="B1782">
        <v>201.4</v>
      </c>
      <c r="C1782" s="2">
        <f t="shared" si="28"/>
        <v>2.2343090867547075E-2</v>
      </c>
    </row>
    <row r="1783" spans="1:3" x14ac:dyDescent="0.2">
      <c r="A1783" s="1">
        <v>43482</v>
      </c>
      <c r="B1783">
        <v>196.95</v>
      </c>
      <c r="C1783" s="2">
        <f t="shared" si="28"/>
        <v>1.2774828815158599E-2</v>
      </c>
    </row>
    <row r="1784" spans="1:3" x14ac:dyDescent="0.2">
      <c r="A1784" s="1">
        <v>43481</v>
      </c>
      <c r="B1784">
        <v>194.45</v>
      </c>
      <c r="C1784" s="2">
        <f t="shared" si="28"/>
        <v>-4.3617772808771174E-3</v>
      </c>
    </row>
    <row r="1785" spans="1:3" x14ac:dyDescent="0.2">
      <c r="A1785" s="1">
        <v>43480</v>
      </c>
      <c r="B1785">
        <v>195.3</v>
      </c>
      <c r="C1785" s="2">
        <f t="shared" si="28"/>
        <v>5.9057817049569051E-3</v>
      </c>
    </row>
    <row r="1786" spans="1:3" x14ac:dyDescent="0.2">
      <c r="A1786" s="1">
        <v>43479</v>
      </c>
      <c r="B1786">
        <v>194.15</v>
      </c>
      <c r="C1786" s="2">
        <f t="shared" si="28"/>
        <v>-1.8878111653756947E-2</v>
      </c>
    </row>
    <row r="1787" spans="1:3" x14ac:dyDescent="0.2">
      <c r="A1787" s="1">
        <v>43476</v>
      </c>
      <c r="B1787">
        <v>197.85</v>
      </c>
      <c r="C1787" s="2">
        <f t="shared" si="28"/>
        <v>3.0372081054496547E-3</v>
      </c>
    </row>
    <row r="1788" spans="1:3" x14ac:dyDescent="0.2">
      <c r="A1788" s="1">
        <v>43475</v>
      </c>
      <c r="B1788">
        <v>197.25</v>
      </c>
      <c r="C1788" s="2">
        <f t="shared" si="28"/>
        <v>-2.5345330258612581E-4</v>
      </c>
    </row>
    <row r="1789" spans="1:3" x14ac:dyDescent="0.2">
      <c r="A1789" s="1">
        <v>43474</v>
      </c>
      <c r="B1789">
        <v>197.3</v>
      </c>
      <c r="C1789" s="2">
        <f t="shared" si="28"/>
        <v>2.7915257310571827E-3</v>
      </c>
    </row>
    <row r="1790" spans="1:3" x14ac:dyDescent="0.2">
      <c r="A1790" s="1">
        <v>43473</v>
      </c>
      <c r="B1790">
        <v>196.75</v>
      </c>
      <c r="C1790" s="2">
        <f t="shared" si="28"/>
        <v>1.3560397122548133E-2</v>
      </c>
    </row>
    <row r="1791" spans="1:3" x14ac:dyDescent="0.2">
      <c r="A1791" s="1">
        <v>43472</v>
      </c>
      <c r="B1791">
        <v>194.1</v>
      </c>
      <c r="C1791" s="2">
        <f t="shared" si="28"/>
        <v>1.0617735383050626E-2</v>
      </c>
    </row>
    <row r="1792" spans="1:3" x14ac:dyDescent="0.2">
      <c r="A1792" s="1">
        <v>43469</v>
      </c>
      <c r="B1792">
        <v>192.05</v>
      </c>
      <c r="C1792" s="2">
        <f t="shared" si="28"/>
        <v>4.1190890116136206E-2</v>
      </c>
    </row>
    <row r="1793" spans="1:3" x14ac:dyDescent="0.2">
      <c r="A1793" s="1">
        <v>43468</v>
      </c>
      <c r="B1793">
        <v>184.3</v>
      </c>
      <c r="C1793" s="2">
        <f t="shared" si="28"/>
        <v>-2.0940362475501489E-2</v>
      </c>
    </row>
    <row r="1794" spans="1:3" x14ac:dyDescent="0.2">
      <c r="A1794" s="1">
        <v>43467</v>
      </c>
      <c r="B1794">
        <v>188.2</v>
      </c>
      <c r="C1794" s="2">
        <f t="shared" si="28"/>
        <v>-7.6750409836287871E-3</v>
      </c>
    </row>
    <row r="1795" spans="1:3" x14ac:dyDescent="0.2">
      <c r="A1795" s="1">
        <v>43462</v>
      </c>
      <c r="B1795">
        <v>189.65</v>
      </c>
      <c r="C1795" s="2">
        <f t="shared" ref="C1795:C1858" si="29">+LN(B1795/B1796)</f>
        <v>4.2272189764420544E-3</v>
      </c>
    </row>
    <row r="1796" spans="1:3" x14ac:dyDescent="0.2">
      <c r="A1796" s="1">
        <v>43461</v>
      </c>
      <c r="B1796">
        <v>188.85</v>
      </c>
      <c r="C1796" s="2">
        <f t="shared" si="29"/>
        <v>1.8550422704003888E-3</v>
      </c>
    </row>
    <row r="1797" spans="1:3" x14ac:dyDescent="0.2">
      <c r="A1797" s="1">
        <v>43455</v>
      </c>
      <c r="B1797">
        <v>188.5</v>
      </c>
      <c r="C1797" s="2">
        <f t="shared" si="29"/>
        <v>-7.9260652724207157E-3</v>
      </c>
    </row>
    <row r="1798" spans="1:3" x14ac:dyDescent="0.2">
      <c r="A1798" s="1">
        <v>43454</v>
      </c>
      <c r="B1798">
        <v>190</v>
      </c>
      <c r="C1798" s="2">
        <f t="shared" si="29"/>
        <v>-3.1345656577854597E-2</v>
      </c>
    </row>
    <row r="1799" spans="1:3" x14ac:dyDescent="0.2">
      <c r="A1799" s="1">
        <v>43453</v>
      </c>
      <c r="B1799">
        <v>196.05</v>
      </c>
      <c r="C1799" s="2">
        <f t="shared" si="29"/>
        <v>5.1020409270033026E-4</v>
      </c>
    </row>
    <row r="1800" spans="1:3" x14ac:dyDescent="0.2">
      <c r="A1800" s="1">
        <v>43452</v>
      </c>
      <c r="B1800">
        <v>195.95</v>
      </c>
      <c r="C1800" s="2">
        <f t="shared" si="29"/>
        <v>1.1807118684879291E-2</v>
      </c>
    </row>
    <row r="1801" spans="1:3" x14ac:dyDescent="0.2">
      <c r="A1801" s="1">
        <v>43451</v>
      </c>
      <c r="B1801">
        <v>193.65</v>
      </c>
      <c r="C1801" s="2">
        <f t="shared" si="29"/>
        <v>-4.636793469801441E-3</v>
      </c>
    </row>
    <row r="1802" spans="1:3" x14ac:dyDescent="0.2">
      <c r="A1802" s="1">
        <v>43448</v>
      </c>
      <c r="B1802">
        <v>194.55</v>
      </c>
      <c r="C1802" s="2">
        <f t="shared" si="29"/>
        <v>-1.3529242737972309E-2</v>
      </c>
    </row>
    <row r="1803" spans="1:3" x14ac:dyDescent="0.2">
      <c r="A1803" s="1">
        <v>43447</v>
      </c>
      <c r="B1803">
        <v>197.2</v>
      </c>
      <c r="C1803" s="2">
        <f t="shared" si="29"/>
        <v>-8.0808520539387835E-3</v>
      </c>
    </row>
    <row r="1804" spans="1:3" x14ac:dyDescent="0.2">
      <c r="A1804" s="1">
        <v>43446</v>
      </c>
      <c r="B1804">
        <v>198.8</v>
      </c>
      <c r="C1804" s="2">
        <f t="shared" si="29"/>
        <v>1.9299735658726967E-2</v>
      </c>
    </row>
    <row r="1805" spans="1:3" x14ac:dyDescent="0.2">
      <c r="A1805" s="1">
        <v>43445</v>
      </c>
      <c r="B1805">
        <v>195</v>
      </c>
    </row>
    <row r="1806" spans="1:3" x14ac:dyDescent="0.2">
      <c r="A1806" s="1">
        <v>43444</v>
      </c>
      <c r="B1806">
        <v>190.35</v>
      </c>
      <c r="C1806" s="2">
        <f t="shared" si="29"/>
        <v>-4.7169898781389101E-3</v>
      </c>
    </row>
    <row r="1807" spans="1:3" x14ac:dyDescent="0.2">
      <c r="A1807" s="1">
        <v>43441</v>
      </c>
      <c r="B1807">
        <v>191.25</v>
      </c>
      <c r="C1807" s="2">
        <f t="shared" si="29"/>
        <v>1.3688026296325614E-2</v>
      </c>
    </row>
    <row r="1808" spans="1:3" x14ac:dyDescent="0.2">
      <c r="A1808" s="1">
        <v>43440</v>
      </c>
      <c r="B1808">
        <v>188.65</v>
      </c>
      <c r="C1808" s="2">
        <f t="shared" si="29"/>
        <v>-3.5411145828644304E-2</v>
      </c>
    </row>
    <row r="1809" spans="1:3" x14ac:dyDescent="0.2">
      <c r="A1809" s="1">
        <v>43439</v>
      </c>
      <c r="B1809">
        <v>195.45</v>
      </c>
      <c r="C1809" s="2">
        <f t="shared" si="29"/>
        <v>-1.5232586990110533E-2</v>
      </c>
    </row>
    <row r="1810" spans="1:3" x14ac:dyDescent="0.2">
      <c r="A1810" s="1">
        <v>43438</v>
      </c>
      <c r="B1810">
        <v>198.45</v>
      </c>
      <c r="C1810" s="2">
        <f t="shared" si="29"/>
        <v>-2.0135924246252267E-3</v>
      </c>
    </row>
    <row r="1811" spans="1:3" x14ac:dyDescent="0.2">
      <c r="A1811" s="1">
        <v>43437</v>
      </c>
      <c r="B1811">
        <v>198.85</v>
      </c>
      <c r="C1811" s="2">
        <f t="shared" si="29"/>
        <v>1.5457041557289488E-2</v>
      </c>
    </row>
    <row r="1812" spans="1:3" x14ac:dyDescent="0.2">
      <c r="A1812" s="1">
        <v>43434</v>
      </c>
      <c r="B1812">
        <v>195.8</v>
      </c>
      <c r="C1812" s="2">
        <f t="shared" si="29"/>
        <v>9.7511678478039623E-3</v>
      </c>
    </row>
    <row r="1813" spans="1:3" x14ac:dyDescent="0.2">
      <c r="A1813" s="1">
        <v>43433</v>
      </c>
      <c r="B1813">
        <v>193.9</v>
      </c>
      <c r="C1813" s="2">
        <f t="shared" si="29"/>
        <v>1.6378892084039681E-2</v>
      </c>
    </row>
    <row r="1814" spans="1:3" x14ac:dyDescent="0.2">
      <c r="A1814" s="1">
        <v>43432</v>
      </c>
      <c r="B1814">
        <v>190.75</v>
      </c>
      <c r="C1814" s="2">
        <f t="shared" si="29"/>
        <v>2.6215755819300923E-4</v>
      </c>
    </row>
    <row r="1815" spans="1:3" x14ac:dyDescent="0.2">
      <c r="A1815" s="1">
        <v>43431</v>
      </c>
      <c r="B1815">
        <v>190.7</v>
      </c>
      <c r="C1815" s="2">
        <f t="shared" si="29"/>
        <v>-3.7565518088161928E-2</v>
      </c>
    </row>
    <row r="1816" spans="1:3" x14ac:dyDescent="0.2">
      <c r="A1816" s="1">
        <v>43430</v>
      </c>
      <c r="B1816">
        <v>198</v>
      </c>
      <c r="C1816" s="2">
        <f t="shared" si="29"/>
        <v>2.7651531330510164E-2</v>
      </c>
    </row>
    <row r="1817" spans="1:3" x14ac:dyDescent="0.2">
      <c r="A1817" s="1">
        <v>43427</v>
      </c>
      <c r="B1817">
        <v>192.6</v>
      </c>
      <c r="C1817" s="2">
        <f t="shared" si="29"/>
        <v>-5.1907605629554216E-4</v>
      </c>
    </row>
    <row r="1818" spans="1:3" x14ac:dyDescent="0.2">
      <c r="A1818" s="1">
        <v>43426</v>
      </c>
      <c r="B1818">
        <v>192.7</v>
      </c>
      <c r="C1818" s="2">
        <f t="shared" si="29"/>
        <v>-2.1053409197832492E-2</v>
      </c>
    </row>
    <row r="1819" spans="1:3" x14ac:dyDescent="0.2">
      <c r="A1819" s="1">
        <v>43425</v>
      </c>
      <c r="B1819">
        <v>196.8</v>
      </c>
      <c r="C1819" s="2">
        <f t="shared" si="29"/>
        <v>3.3083119625914709E-3</v>
      </c>
    </row>
    <row r="1820" spans="1:3" x14ac:dyDescent="0.2">
      <c r="A1820" s="1">
        <v>43424</v>
      </c>
      <c r="B1820">
        <v>196.15</v>
      </c>
      <c r="C1820" s="2">
        <f t="shared" si="29"/>
        <v>-9.3873580389736422E-3</v>
      </c>
    </row>
    <row r="1821" spans="1:3" x14ac:dyDescent="0.2">
      <c r="A1821" s="1">
        <v>43423</v>
      </c>
      <c r="B1821">
        <v>198</v>
      </c>
      <c r="C1821" s="2">
        <f t="shared" si="29"/>
        <v>-1.801850550267825E-2</v>
      </c>
    </row>
    <row r="1822" spans="1:3" x14ac:dyDescent="0.2">
      <c r="A1822" s="1">
        <v>43420</v>
      </c>
      <c r="B1822">
        <v>201.6</v>
      </c>
      <c r="C1822" s="2">
        <f t="shared" si="29"/>
        <v>3.4782643763247925E-3</v>
      </c>
    </row>
    <row r="1823" spans="1:3" x14ac:dyDescent="0.2">
      <c r="A1823" s="1">
        <v>43419</v>
      </c>
      <c r="B1823">
        <v>200.9</v>
      </c>
      <c r="C1823" s="2">
        <f t="shared" si="29"/>
        <v>-6.9444723528110461E-3</v>
      </c>
    </row>
    <row r="1824" spans="1:3" x14ac:dyDescent="0.2">
      <c r="A1824" s="1">
        <v>43418</v>
      </c>
      <c r="B1824">
        <v>202.3</v>
      </c>
      <c r="C1824" s="2">
        <f t="shared" si="29"/>
        <v>-4.3527180448311255E-2</v>
      </c>
    </row>
    <row r="1825" spans="1:3" x14ac:dyDescent="0.2">
      <c r="A1825" s="1">
        <v>43417</v>
      </c>
      <c r="B1825">
        <v>211.3</v>
      </c>
      <c r="C1825" s="2">
        <f t="shared" si="29"/>
        <v>-2.846005006509808E-2</v>
      </c>
    </row>
    <row r="1826" spans="1:3" x14ac:dyDescent="0.2">
      <c r="A1826" s="1">
        <v>43416</v>
      </c>
      <c r="B1826">
        <v>217.4</v>
      </c>
      <c r="C1826" s="2">
        <f t="shared" si="29"/>
        <v>-6.4190958607171283E-3</v>
      </c>
    </row>
    <row r="1827" spans="1:3" x14ac:dyDescent="0.2">
      <c r="A1827" s="1">
        <v>43413</v>
      </c>
      <c r="B1827">
        <v>218.8</v>
      </c>
      <c r="C1827" s="2">
        <f t="shared" si="29"/>
        <v>-9.0992438551141461E-3</v>
      </c>
    </row>
    <row r="1828" spans="1:3" x14ac:dyDescent="0.2">
      <c r="A1828" s="1">
        <v>43412</v>
      </c>
      <c r="B1828">
        <v>220.8</v>
      </c>
      <c r="C1828" s="2">
        <f t="shared" si="29"/>
        <v>0</v>
      </c>
    </row>
    <row r="1829" spans="1:3" x14ac:dyDescent="0.2">
      <c r="A1829" s="1">
        <v>43411</v>
      </c>
      <c r="B1829">
        <v>220.8</v>
      </c>
      <c r="C1829" s="2">
        <f t="shared" si="29"/>
        <v>-1.215409965068317E-2</v>
      </c>
    </row>
    <row r="1830" spans="1:3" x14ac:dyDescent="0.2">
      <c r="A1830" s="1">
        <v>43410</v>
      </c>
      <c r="B1830">
        <v>223.5</v>
      </c>
      <c r="C1830" s="2">
        <f t="shared" si="29"/>
        <v>-1.2891932275404326E-2</v>
      </c>
    </row>
    <row r="1831" spans="1:3" x14ac:dyDescent="0.2">
      <c r="A1831" s="1">
        <v>43409</v>
      </c>
      <c r="B1831">
        <v>226.4</v>
      </c>
      <c r="C1831" s="2">
        <f t="shared" si="29"/>
        <v>-2.7016893755536113E-2</v>
      </c>
    </row>
    <row r="1832" spans="1:3" x14ac:dyDescent="0.2">
      <c r="A1832" s="1">
        <v>43406</v>
      </c>
      <c r="B1832">
        <v>232.6</v>
      </c>
      <c r="C1832" s="2">
        <f t="shared" si="29"/>
        <v>1.9536110794221601E-2</v>
      </c>
    </row>
    <row r="1833" spans="1:3" x14ac:dyDescent="0.2">
      <c r="A1833" s="1">
        <v>43405</v>
      </c>
      <c r="B1833">
        <v>228.1</v>
      </c>
      <c r="C1833" s="2">
        <f t="shared" si="29"/>
        <v>-2.4254112254469919E-2</v>
      </c>
    </row>
    <row r="1834" spans="1:3" x14ac:dyDescent="0.2">
      <c r="A1834" s="1">
        <v>43404</v>
      </c>
      <c r="B1834">
        <v>233.7</v>
      </c>
      <c r="C1834" s="2">
        <f t="shared" si="29"/>
        <v>2.996966969121509E-2</v>
      </c>
    </row>
    <row r="1835" spans="1:3" x14ac:dyDescent="0.2">
      <c r="A1835" s="1">
        <v>43403</v>
      </c>
      <c r="B1835">
        <v>226.8</v>
      </c>
      <c r="C1835" s="2">
        <f t="shared" si="29"/>
        <v>-6.1538655743781116E-3</v>
      </c>
    </row>
    <row r="1836" spans="1:3" x14ac:dyDescent="0.2">
      <c r="A1836" s="1">
        <v>43402</v>
      </c>
      <c r="B1836">
        <v>228.2</v>
      </c>
      <c r="C1836" s="2">
        <f t="shared" si="29"/>
        <v>9.6874381556893794E-3</v>
      </c>
    </row>
    <row r="1837" spans="1:3" x14ac:dyDescent="0.2">
      <c r="A1837" s="1">
        <v>43399</v>
      </c>
      <c r="B1837">
        <v>226</v>
      </c>
      <c r="C1837" s="2">
        <f t="shared" si="29"/>
        <v>-7.493973797407987E-3</v>
      </c>
    </row>
    <row r="1838" spans="1:3" x14ac:dyDescent="0.2">
      <c r="A1838" s="1">
        <v>43398</v>
      </c>
      <c r="B1838">
        <v>227.7</v>
      </c>
      <c r="C1838" s="2">
        <f t="shared" si="29"/>
        <v>5.4604134034851745E-2</v>
      </c>
    </row>
    <row r="1839" spans="1:3" x14ac:dyDescent="0.2">
      <c r="A1839" s="1">
        <v>43397</v>
      </c>
      <c r="B1839">
        <v>215.6</v>
      </c>
      <c r="C1839" s="2">
        <f t="shared" si="29"/>
        <v>-9.2721378919225015E-4</v>
      </c>
    </row>
    <row r="1840" spans="1:3" x14ac:dyDescent="0.2">
      <c r="A1840" s="1">
        <v>43396</v>
      </c>
      <c r="B1840">
        <v>215.8</v>
      </c>
      <c r="C1840" s="2">
        <f t="shared" si="29"/>
        <v>-3.8632388702128297E-2</v>
      </c>
    </row>
    <row r="1841" spans="1:3" x14ac:dyDescent="0.2">
      <c r="A1841" s="1">
        <v>43395</v>
      </c>
      <c r="B1841">
        <v>224.3</v>
      </c>
      <c r="C1841" s="2">
        <f t="shared" si="29"/>
        <v>2.67857303007886E-3</v>
      </c>
    </row>
    <row r="1842" spans="1:3" x14ac:dyDescent="0.2">
      <c r="A1842" s="1">
        <v>43392</v>
      </c>
      <c r="B1842">
        <v>223.7</v>
      </c>
      <c r="C1842" s="2">
        <f t="shared" si="29"/>
        <v>-2.8208128545236279E-2</v>
      </c>
    </row>
    <row r="1843" spans="1:3" x14ac:dyDescent="0.2">
      <c r="A1843" s="1">
        <v>43391</v>
      </c>
      <c r="B1843">
        <v>230.1</v>
      </c>
      <c r="C1843" s="2">
        <f t="shared" si="29"/>
        <v>1.3046316266647274E-3</v>
      </c>
    </row>
    <row r="1844" spans="1:3" x14ac:dyDescent="0.2">
      <c r="A1844" s="1">
        <v>43390</v>
      </c>
      <c r="B1844">
        <v>229.8</v>
      </c>
      <c r="C1844" s="2">
        <f t="shared" si="29"/>
        <v>9.6196631624795477E-3</v>
      </c>
    </row>
    <row r="1845" spans="1:3" x14ac:dyDescent="0.2">
      <c r="A1845" s="1">
        <v>43389</v>
      </c>
      <c r="B1845">
        <v>227.6</v>
      </c>
      <c r="C1845" s="2">
        <f t="shared" si="29"/>
        <v>3.3507713719759802E-2</v>
      </c>
    </row>
    <row r="1846" spans="1:3" x14ac:dyDescent="0.2">
      <c r="A1846" s="1">
        <v>43388</v>
      </c>
      <c r="B1846">
        <v>220.1</v>
      </c>
      <c r="C1846" s="2">
        <f t="shared" si="29"/>
        <v>-4.5330993309846074E-3</v>
      </c>
    </row>
    <row r="1847" spans="1:3" x14ac:dyDescent="0.2">
      <c r="A1847" s="1">
        <v>43385</v>
      </c>
      <c r="B1847">
        <v>221.1</v>
      </c>
      <c r="C1847" s="2">
        <f t="shared" si="29"/>
        <v>-1.5705954440942197E-2</v>
      </c>
    </row>
    <row r="1848" spans="1:3" x14ac:dyDescent="0.2">
      <c r="A1848" s="1">
        <v>43384</v>
      </c>
      <c r="B1848">
        <v>224.6</v>
      </c>
      <c r="C1848" s="2">
        <f t="shared" si="29"/>
        <v>-3.2847270976048573E-2</v>
      </c>
    </row>
    <row r="1849" spans="1:3" x14ac:dyDescent="0.2">
      <c r="A1849" s="1">
        <v>43383</v>
      </c>
      <c r="B1849">
        <v>232.1</v>
      </c>
      <c r="C1849" s="2">
        <f t="shared" si="29"/>
        <v>-3.2219828159947339E-2</v>
      </c>
    </row>
    <row r="1850" spans="1:3" x14ac:dyDescent="0.2">
      <c r="A1850" s="1">
        <v>43382</v>
      </c>
      <c r="B1850">
        <v>239.7</v>
      </c>
      <c r="C1850" s="2">
        <f t="shared" si="29"/>
        <v>1.0484474316768268E-2</v>
      </c>
    </row>
    <row r="1851" spans="1:3" x14ac:dyDescent="0.2">
      <c r="A1851" s="1">
        <v>43381</v>
      </c>
      <c r="B1851">
        <v>237.2</v>
      </c>
      <c r="C1851" s="2">
        <f t="shared" si="29"/>
        <v>-3.5614530008364183E-2</v>
      </c>
    </row>
    <row r="1852" spans="1:3" x14ac:dyDescent="0.2">
      <c r="A1852" s="1">
        <v>43378</v>
      </c>
      <c r="B1852">
        <v>245.8</v>
      </c>
      <c r="C1852" s="2">
        <f t="shared" si="29"/>
        <v>-4.0675209021245954E-4</v>
      </c>
    </row>
    <row r="1853" spans="1:3" x14ac:dyDescent="0.2">
      <c r="A1853" s="1">
        <v>43377</v>
      </c>
      <c r="B1853">
        <v>245.9</v>
      </c>
      <c r="C1853" s="2">
        <f t="shared" si="29"/>
        <v>-4.4633874058303451E-3</v>
      </c>
    </row>
    <row r="1854" spans="1:3" x14ac:dyDescent="0.2">
      <c r="A1854" s="1">
        <v>43376</v>
      </c>
      <c r="B1854">
        <v>247</v>
      </c>
      <c r="C1854" s="2">
        <f t="shared" si="29"/>
        <v>2.2933027964546077E-2</v>
      </c>
    </row>
    <row r="1855" spans="1:3" x14ac:dyDescent="0.2">
      <c r="A1855" s="1">
        <v>43375</v>
      </c>
      <c r="B1855">
        <v>241.4</v>
      </c>
      <c r="C1855" s="2">
        <f t="shared" si="29"/>
        <v>-4.1339455317282257E-3</v>
      </c>
    </row>
    <row r="1856" spans="1:3" x14ac:dyDescent="0.2">
      <c r="A1856" s="1">
        <v>43374</v>
      </c>
      <c r="B1856">
        <v>242.4</v>
      </c>
      <c r="C1856" s="2">
        <f t="shared" si="29"/>
        <v>5.7923207045043707E-3</v>
      </c>
    </row>
    <row r="1857" spans="1:3" x14ac:dyDescent="0.2">
      <c r="A1857" s="1">
        <v>43371</v>
      </c>
      <c r="B1857">
        <v>241</v>
      </c>
      <c r="C1857" s="2">
        <f t="shared" si="29"/>
        <v>-1.8092598786156038E-2</v>
      </c>
    </row>
    <row r="1858" spans="1:3" x14ac:dyDescent="0.2">
      <c r="A1858" s="1">
        <v>43370</v>
      </c>
      <c r="B1858">
        <v>245.4</v>
      </c>
      <c r="C1858" s="2">
        <f t="shared" si="29"/>
        <v>2.4479816386400372E-3</v>
      </c>
    </row>
    <row r="1859" spans="1:3" x14ac:dyDescent="0.2">
      <c r="A1859" s="1">
        <v>43369</v>
      </c>
      <c r="B1859">
        <v>244.8</v>
      </c>
      <c r="C1859" s="2">
        <f t="shared" ref="C1859:C1922" si="30">+LN(B1859/B1860)</f>
        <v>5.3246081155265143E-3</v>
      </c>
    </row>
    <row r="1860" spans="1:3" x14ac:dyDescent="0.2">
      <c r="A1860" s="1">
        <v>43368</v>
      </c>
      <c r="B1860">
        <v>243.5</v>
      </c>
      <c r="C1860" s="2">
        <f t="shared" si="30"/>
        <v>-1.2312745245267123E-3</v>
      </c>
    </row>
    <row r="1861" spans="1:3" x14ac:dyDescent="0.2">
      <c r="A1861" s="1">
        <v>43367</v>
      </c>
      <c r="B1861">
        <v>243.8</v>
      </c>
      <c r="C1861" s="2">
        <f t="shared" si="30"/>
        <v>-1.7483673650584106E-2</v>
      </c>
    </row>
    <row r="1862" spans="1:3" x14ac:dyDescent="0.2">
      <c r="A1862" s="1">
        <v>43364</v>
      </c>
      <c r="B1862">
        <v>248.1</v>
      </c>
      <c r="C1862" s="2">
        <f t="shared" si="30"/>
        <v>2.448102675374245E-2</v>
      </c>
    </row>
    <row r="1863" spans="1:3" x14ac:dyDescent="0.2">
      <c r="A1863" s="1">
        <v>43363</v>
      </c>
      <c r="B1863">
        <v>242.1</v>
      </c>
      <c r="C1863" s="2">
        <f t="shared" si="30"/>
        <v>2.3402656012025017E-2</v>
      </c>
    </row>
    <row r="1864" spans="1:3" x14ac:dyDescent="0.2">
      <c r="A1864" s="1">
        <v>43362</v>
      </c>
      <c r="B1864">
        <v>236.5</v>
      </c>
      <c r="C1864" s="2">
        <f t="shared" si="30"/>
        <v>1.0627092574286193E-2</v>
      </c>
    </row>
    <row r="1865" spans="1:3" x14ac:dyDescent="0.2">
      <c r="A1865" s="1">
        <v>43361</v>
      </c>
      <c r="B1865">
        <v>234</v>
      </c>
      <c r="C1865" s="2">
        <f t="shared" si="30"/>
        <v>-1.1472401162236807E-2</v>
      </c>
    </row>
    <row r="1866" spans="1:3" x14ac:dyDescent="0.2">
      <c r="A1866" s="1">
        <v>43360</v>
      </c>
      <c r="B1866">
        <v>236.7</v>
      </c>
      <c r="C1866" s="2">
        <f t="shared" si="30"/>
        <v>-5.8972369728788263E-3</v>
      </c>
    </row>
    <row r="1867" spans="1:3" x14ac:dyDescent="0.2">
      <c r="A1867" s="1">
        <v>43357</v>
      </c>
      <c r="B1867">
        <v>238.1</v>
      </c>
      <c r="C1867" s="2">
        <f t="shared" si="30"/>
        <v>1.4808817273442061E-2</v>
      </c>
    </row>
    <row r="1868" spans="1:3" x14ac:dyDescent="0.2">
      <c r="A1868" s="1">
        <v>43356</v>
      </c>
      <c r="B1868">
        <v>234.6</v>
      </c>
    </row>
    <row r="1869" spans="1:3" x14ac:dyDescent="0.2">
      <c r="A1869" s="1">
        <v>43355</v>
      </c>
      <c r="B1869">
        <v>234.7</v>
      </c>
      <c r="C1869" s="2">
        <f t="shared" si="30"/>
        <v>-8.5178880788934811E-4</v>
      </c>
    </row>
    <row r="1870" spans="1:3" x14ac:dyDescent="0.2">
      <c r="A1870" s="1">
        <v>43354</v>
      </c>
      <c r="B1870">
        <v>234.9</v>
      </c>
      <c r="C1870" s="2">
        <f t="shared" si="30"/>
        <v>6.8347126374827981E-3</v>
      </c>
    </row>
    <row r="1871" spans="1:3" x14ac:dyDescent="0.2">
      <c r="A1871" s="1">
        <v>43353</v>
      </c>
      <c r="B1871">
        <v>233.3</v>
      </c>
      <c r="C1871" s="2">
        <f t="shared" si="30"/>
        <v>-3.850272136232593E-3</v>
      </c>
    </row>
    <row r="1872" spans="1:3" x14ac:dyDescent="0.2">
      <c r="A1872" s="1">
        <v>43350</v>
      </c>
      <c r="B1872">
        <v>234.2</v>
      </c>
      <c r="C1872" s="2">
        <f t="shared" si="30"/>
        <v>-1.8613058500198742E-2</v>
      </c>
    </row>
    <row r="1873" spans="1:3" x14ac:dyDescent="0.2">
      <c r="A1873" s="1">
        <v>43349</v>
      </c>
      <c r="B1873">
        <v>238.6</v>
      </c>
      <c r="C1873" s="2">
        <f t="shared" si="30"/>
        <v>-1.0008423826839334E-2</v>
      </c>
    </row>
    <row r="1874" spans="1:3" x14ac:dyDescent="0.2">
      <c r="A1874" s="1">
        <v>43348</v>
      </c>
      <c r="B1874">
        <v>241</v>
      </c>
      <c r="C1874" s="2">
        <f t="shared" si="30"/>
        <v>-1.2440391403311449E-3</v>
      </c>
    </row>
    <row r="1875" spans="1:3" x14ac:dyDescent="0.2">
      <c r="A1875" s="1">
        <v>43347</v>
      </c>
      <c r="B1875">
        <v>241.3</v>
      </c>
      <c r="C1875" s="2">
        <f t="shared" si="30"/>
        <v>-3.7228584880057668E-3</v>
      </c>
    </row>
    <row r="1876" spans="1:3" x14ac:dyDescent="0.2">
      <c r="A1876" s="1">
        <v>43346</v>
      </c>
      <c r="B1876">
        <v>242.2</v>
      </c>
      <c r="C1876" s="2">
        <f t="shared" si="30"/>
        <v>-1.1902459415075083E-2</v>
      </c>
    </row>
    <row r="1877" spans="1:3" x14ac:dyDescent="0.2">
      <c r="A1877" s="1">
        <v>43343</v>
      </c>
      <c r="B1877">
        <v>245.1</v>
      </c>
      <c r="C1877" s="2">
        <f t="shared" si="30"/>
        <v>-9.7442914746781635E-3</v>
      </c>
    </row>
    <row r="1878" spans="1:3" x14ac:dyDescent="0.2">
      <c r="A1878" s="1">
        <v>43342</v>
      </c>
      <c r="B1878">
        <v>247.5</v>
      </c>
      <c r="C1878" s="2">
        <f t="shared" si="30"/>
        <v>3.6429912785010087E-3</v>
      </c>
    </row>
    <row r="1879" spans="1:3" x14ac:dyDescent="0.2">
      <c r="A1879" s="1">
        <v>43341</v>
      </c>
      <c r="B1879">
        <v>246.6</v>
      </c>
      <c r="C1879" s="2">
        <f t="shared" si="30"/>
        <v>1.1419373683072732E-2</v>
      </c>
    </row>
    <row r="1880" spans="1:3" x14ac:dyDescent="0.2">
      <c r="A1880" s="1">
        <v>43340</v>
      </c>
      <c r="B1880">
        <v>243.8</v>
      </c>
      <c r="C1880" s="2">
        <f t="shared" si="30"/>
        <v>1.3628127501355225E-2</v>
      </c>
    </row>
    <row r="1881" spans="1:3" x14ac:dyDescent="0.2">
      <c r="A1881" s="1">
        <v>43339</v>
      </c>
      <c r="B1881">
        <v>240.5</v>
      </c>
      <c r="C1881" s="2">
        <f t="shared" si="30"/>
        <v>6.2565376143051375E-3</v>
      </c>
    </row>
    <row r="1882" spans="1:3" x14ac:dyDescent="0.2">
      <c r="A1882" s="1">
        <v>43336</v>
      </c>
      <c r="B1882">
        <v>239</v>
      </c>
      <c r="C1882" s="2">
        <f t="shared" si="30"/>
        <v>-4.5919512956968016E-3</v>
      </c>
    </row>
    <row r="1883" spans="1:3" x14ac:dyDescent="0.2">
      <c r="A1883" s="1">
        <v>43335</v>
      </c>
      <c r="B1883">
        <v>240.1</v>
      </c>
      <c r="C1883" s="2">
        <f t="shared" si="30"/>
        <v>1.2502606337936289E-3</v>
      </c>
    </row>
    <row r="1884" spans="1:3" x14ac:dyDescent="0.2">
      <c r="A1884" s="1">
        <v>43334</v>
      </c>
      <c r="B1884">
        <v>239.8</v>
      </c>
      <c r="C1884" s="2">
        <f t="shared" si="30"/>
        <v>2.9233681291349388E-3</v>
      </c>
    </row>
    <row r="1885" spans="1:3" x14ac:dyDescent="0.2">
      <c r="A1885" s="1">
        <v>43333</v>
      </c>
      <c r="B1885">
        <v>239.1</v>
      </c>
      <c r="C1885" s="2">
        <f t="shared" si="30"/>
        <v>-4.5900351816041286E-3</v>
      </c>
    </row>
    <row r="1886" spans="1:3" x14ac:dyDescent="0.2">
      <c r="A1886" s="1">
        <v>43332</v>
      </c>
      <c r="B1886">
        <v>240.2</v>
      </c>
      <c r="C1886" s="2">
        <f t="shared" si="30"/>
        <v>7.5219744546884751E-3</v>
      </c>
    </row>
    <row r="1887" spans="1:3" x14ac:dyDescent="0.2">
      <c r="A1887" s="1">
        <v>43329</v>
      </c>
      <c r="B1887">
        <v>238.4</v>
      </c>
      <c r="C1887" s="2">
        <f t="shared" si="30"/>
        <v>4.2034530156269227E-3</v>
      </c>
    </row>
    <row r="1888" spans="1:3" x14ac:dyDescent="0.2">
      <c r="A1888" s="1">
        <v>43328</v>
      </c>
      <c r="B1888">
        <v>237.4</v>
      </c>
      <c r="C1888" s="2">
        <f t="shared" si="30"/>
        <v>1.5708240630755561E-2</v>
      </c>
    </row>
    <row r="1889" spans="1:3" x14ac:dyDescent="0.2">
      <c r="A1889" s="1">
        <v>43327</v>
      </c>
      <c r="B1889">
        <v>233.7</v>
      </c>
      <c r="C1889" s="2">
        <f t="shared" si="30"/>
        <v>-3.5725589574179657E-2</v>
      </c>
    </row>
    <row r="1890" spans="1:3" x14ac:dyDescent="0.2">
      <c r="A1890" s="1">
        <v>43326</v>
      </c>
      <c r="B1890">
        <v>242.2</v>
      </c>
      <c r="C1890" s="2">
        <f t="shared" si="30"/>
        <v>-4.1279670348829897E-4</v>
      </c>
    </row>
    <row r="1891" spans="1:3" x14ac:dyDescent="0.2">
      <c r="A1891" s="1">
        <v>43325</v>
      </c>
      <c r="B1891">
        <v>242.3</v>
      </c>
      <c r="C1891" s="2">
        <f t="shared" si="30"/>
        <v>-4.1186219669968986E-3</v>
      </c>
    </row>
    <row r="1892" spans="1:3" x14ac:dyDescent="0.2">
      <c r="A1892" s="1">
        <v>43322</v>
      </c>
      <c r="B1892">
        <v>243.3</v>
      </c>
      <c r="C1892" s="2">
        <f t="shared" si="30"/>
        <v>-8.1867014749666834E-3</v>
      </c>
    </row>
    <row r="1893" spans="1:3" x14ac:dyDescent="0.2">
      <c r="A1893" s="1">
        <v>43321</v>
      </c>
      <c r="B1893">
        <v>245.3</v>
      </c>
      <c r="C1893" s="2">
        <f t="shared" si="30"/>
        <v>4.0849730007488259E-3</v>
      </c>
    </row>
    <row r="1894" spans="1:3" x14ac:dyDescent="0.2">
      <c r="A1894" s="1">
        <v>43320</v>
      </c>
      <c r="B1894">
        <v>244.3</v>
      </c>
      <c r="C1894" s="2">
        <f t="shared" si="30"/>
        <v>3.6907977102680696E-3</v>
      </c>
    </row>
    <row r="1895" spans="1:3" x14ac:dyDescent="0.2">
      <c r="A1895" s="1">
        <v>43319</v>
      </c>
      <c r="B1895">
        <v>243.4</v>
      </c>
      <c r="C1895" s="2">
        <f t="shared" si="30"/>
        <v>8.2508718899955962E-3</v>
      </c>
    </row>
    <row r="1896" spans="1:3" x14ac:dyDescent="0.2">
      <c r="A1896" s="1">
        <v>43318</v>
      </c>
      <c r="B1896">
        <v>241.4</v>
      </c>
      <c r="C1896" s="2">
        <f t="shared" si="30"/>
        <v>-8.6616338592133378E-3</v>
      </c>
    </row>
    <row r="1897" spans="1:3" x14ac:dyDescent="0.2">
      <c r="A1897" s="1">
        <v>43315</v>
      </c>
      <c r="B1897">
        <v>243.5</v>
      </c>
      <c r="C1897" s="2">
        <f t="shared" si="30"/>
        <v>4.940314700164419E-3</v>
      </c>
    </row>
    <row r="1898" spans="1:3" x14ac:dyDescent="0.2">
      <c r="A1898" s="1">
        <v>43314</v>
      </c>
      <c r="B1898">
        <v>242.3</v>
      </c>
      <c r="C1898" s="2">
        <f t="shared" si="30"/>
        <v>-6.1715892246910964E-3</v>
      </c>
    </row>
    <row r="1899" spans="1:3" x14ac:dyDescent="0.2">
      <c r="A1899" s="1">
        <v>43313</v>
      </c>
      <c r="B1899">
        <v>243.8</v>
      </c>
      <c r="C1899" s="2">
        <f t="shared" si="30"/>
        <v>8.650929337733813E-3</v>
      </c>
    </row>
    <row r="1900" spans="1:3" x14ac:dyDescent="0.2">
      <c r="A1900" s="1">
        <v>43312</v>
      </c>
      <c r="B1900">
        <v>241.7</v>
      </c>
      <c r="C1900" s="2">
        <f t="shared" si="30"/>
        <v>-7.8302481263046488E-3</v>
      </c>
    </row>
    <row r="1901" spans="1:3" x14ac:dyDescent="0.2">
      <c r="A1901" s="1">
        <v>43311</v>
      </c>
      <c r="B1901">
        <v>243.6</v>
      </c>
      <c r="C1901" s="2">
        <f t="shared" si="30"/>
        <v>2.8776998276151956E-3</v>
      </c>
    </row>
    <row r="1902" spans="1:3" x14ac:dyDescent="0.2">
      <c r="A1902" s="1">
        <v>43308</v>
      </c>
      <c r="B1902">
        <v>242.9</v>
      </c>
      <c r="C1902" s="2">
        <f t="shared" si="30"/>
        <v>-4.1084692137477296E-3</v>
      </c>
    </row>
    <row r="1903" spans="1:3" x14ac:dyDescent="0.2">
      <c r="A1903" s="1">
        <v>43307</v>
      </c>
      <c r="B1903">
        <v>243.9</v>
      </c>
      <c r="C1903" s="2">
        <f t="shared" si="30"/>
        <v>1.7787438980580352E-2</v>
      </c>
    </row>
    <row r="1904" spans="1:3" x14ac:dyDescent="0.2">
      <c r="A1904" s="1">
        <v>43306</v>
      </c>
      <c r="B1904">
        <v>239.6</v>
      </c>
      <c r="C1904" s="2">
        <f t="shared" si="30"/>
        <v>-2.0846369859132121E-3</v>
      </c>
    </row>
    <row r="1905" spans="1:3" x14ac:dyDescent="0.2">
      <c r="A1905" s="1">
        <v>43305</v>
      </c>
      <c r="B1905">
        <v>240.1</v>
      </c>
      <c r="C1905" s="2">
        <f t="shared" si="30"/>
        <v>4.5919512956967765E-3</v>
      </c>
    </row>
    <row r="1906" spans="1:3" x14ac:dyDescent="0.2">
      <c r="A1906" s="1">
        <v>43304</v>
      </c>
      <c r="B1906">
        <v>239</v>
      </c>
      <c r="C1906" s="2">
        <f t="shared" si="30"/>
        <v>-1.2544429828170501E-3</v>
      </c>
    </row>
    <row r="1907" spans="1:3" x14ac:dyDescent="0.2">
      <c r="A1907" s="1">
        <v>43301</v>
      </c>
      <c r="B1907">
        <v>239.3</v>
      </c>
      <c r="C1907" s="2">
        <f t="shared" si="30"/>
        <v>8.361204500485622E-4</v>
      </c>
    </row>
    <row r="1908" spans="1:3" x14ac:dyDescent="0.2">
      <c r="A1908" s="1">
        <v>43300</v>
      </c>
      <c r="B1908">
        <v>239.1</v>
      </c>
      <c r="C1908" s="2">
        <f t="shared" si="30"/>
        <v>-3.7570488777122881E-3</v>
      </c>
    </row>
    <row r="1909" spans="1:3" x14ac:dyDescent="0.2">
      <c r="A1909" s="1">
        <v>43299</v>
      </c>
      <c r="B1909">
        <v>240</v>
      </c>
      <c r="C1909" s="2">
        <f t="shared" si="30"/>
        <v>2.920928427663698E-3</v>
      </c>
    </row>
    <row r="1910" spans="1:3" x14ac:dyDescent="0.2">
      <c r="A1910" s="1">
        <v>43298</v>
      </c>
      <c r="B1910">
        <v>239.3</v>
      </c>
      <c r="C1910" s="2">
        <f t="shared" si="30"/>
        <v>4.00735631451919E-2</v>
      </c>
    </row>
    <row r="1911" spans="1:3" x14ac:dyDescent="0.2">
      <c r="A1911" s="1">
        <v>43297</v>
      </c>
      <c r="B1911">
        <v>229.9</v>
      </c>
      <c r="C1911" s="2">
        <f t="shared" si="30"/>
        <v>7.729167430164649E-2</v>
      </c>
    </row>
    <row r="1912" spans="1:3" x14ac:dyDescent="0.2">
      <c r="A1912" s="1">
        <v>43294</v>
      </c>
      <c r="B1912">
        <v>212.8</v>
      </c>
      <c r="C1912" s="2">
        <f t="shared" si="30"/>
        <v>1.5151805020602246E-2</v>
      </c>
    </row>
    <row r="1913" spans="1:3" x14ac:dyDescent="0.2">
      <c r="A1913" s="1">
        <v>43293</v>
      </c>
      <c r="B1913">
        <v>209.6</v>
      </c>
      <c r="C1913" s="2">
        <f t="shared" si="30"/>
        <v>1.3932485759164483E-2</v>
      </c>
    </row>
    <row r="1914" spans="1:3" x14ac:dyDescent="0.2">
      <c r="A1914" s="1">
        <v>43292</v>
      </c>
      <c r="B1914">
        <v>206.7</v>
      </c>
      <c r="C1914" s="2">
        <f t="shared" si="30"/>
        <v>-1.3455272674469946E-2</v>
      </c>
    </row>
    <row r="1915" spans="1:3" x14ac:dyDescent="0.2">
      <c r="A1915" s="1">
        <v>43291</v>
      </c>
      <c r="B1915">
        <v>209.5</v>
      </c>
      <c r="C1915" s="2">
        <f t="shared" si="30"/>
        <v>7.6665444982252423E-3</v>
      </c>
    </row>
    <row r="1916" spans="1:3" x14ac:dyDescent="0.2">
      <c r="A1916" s="1">
        <v>43290</v>
      </c>
      <c r="B1916">
        <v>207.9</v>
      </c>
      <c r="C1916" s="2">
        <f t="shared" si="30"/>
        <v>1.6489219381110858E-2</v>
      </c>
    </row>
    <row r="1917" spans="1:3" x14ac:dyDescent="0.2">
      <c r="A1917" s="1">
        <v>43287</v>
      </c>
      <c r="B1917">
        <v>204.5</v>
      </c>
      <c r="C1917" s="2">
        <f t="shared" si="30"/>
        <v>-1.2150817782512691E-2</v>
      </c>
    </row>
    <row r="1918" spans="1:3" x14ac:dyDescent="0.2">
      <c r="A1918" s="1">
        <v>43286</v>
      </c>
      <c r="B1918">
        <v>207</v>
      </c>
      <c r="C1918" s="2">
        <f t="shared" si="30"/>
        <v>-2.8943580263645261E-3</v>
      </c>
    </row>
    <row r="1919" spans="1:3" x14ac:dyDescent="0.2">
      <c r="A1919" s="1">
        <v>43285</v>
      </c>
      <c r="B1919">
        <v>207.6</v>
      </c>
      <c r="C1919" s="2">
        <f t="shared" si="30"/>
        <v>-1.7665773330277558E-2</v>
      </c>
    </row>
    <row r="1920" spans="1:3" x14ac:dyDescent="0.2">
      <c r="A1920" s="1">
        <v>43284</v>
      </c>
      <c r="B1920">
        <v>211.3</v>
      </c>
      <c r="C1920" s="2">
        <f t="shared" si="30"/>
        <v>1.2860382055338918E-2</v>
      </c>
    </row>
    <row r="1921" spans="1:3" x14ac:dyDescent="0.2">
      <c r="A1921" s="1">
        <v>43283</v>
      </c>
      <c r="B1921">
        <v>208.6</v>
      </c>
      <c r="C1921" s="2">
        <f t="shared" si="30"/>
        <v>-1.89939233411755E-2</v>
      </c>
    </row>
    <row r="1922" spans="1:3" x14ac:dyDescent="0.2">
      <c r="A1922" s="1">
        <v>43280</v>
      </c>
      <c r="B1922">
        <v>212.6</v>
      </c>
      <c r="C1922" s="2">
        <f t="shared" si="30"/>
        <v>1.5643836455893526E-2</v>
      </c>
    </row>
    <row r="1923" spans="1:3" x14ac:dyDescent="0.2">
      <c r="A1923" s="1">
        <v>43279</v>
      </c>
      <c r="B1923">
        <v>209.3</v>
      </c>
      <c r="C1923" s="2">
        <f t="shared" ref="C1923:C1986" si="31">+LN(B1923/B1924)</f>
        <v>-1.5173358912517386E-2</v>
      </c>
    </row>
    <row r="1924" spans="1:3" x14ac:dyDescent="0.2">
      <c r="A1924" s="1">
        <v>43278</v>
      </c>
      <c r="B1924">
        <v>212.5</v>
      </c>
      <c r="C1924" s="2">
        <f t="shared" si="31"/>
        <v>1.8523445797799507E-2</v>
      </c>
    </row>
    <row r="1925" spans="1:3" x14ac:dyDescent="0.2">
      <c r="A1925" s="1">
        <v>43277</v>
      </c>
      <c r="B1925">
        <v>208.6</v>
      </c>
      <c r="C1925" s="2">
        <f t="shared" si="31"/>
        <v>-8.591938296882826E-3</v>
      </c>
    </row>
    <row r="1926" spans="1:3" x14ac:dyDescent="0.2">
      <c r="A1926" s="1">
        <v>43276</v>
      </c>
      <c r="B1926">
        <v>210.4</v>
      </c>
      <c r="C1926" s="2">
        <f t="shared" si="31"/>
        <v>-2.1162322784909923E-2</v>
      </c>
    </row>
    <row r="1927" spans="1:3" x14ac:dyDescent="0.2">
      <c r="A1927" s="1">
        <v>43272</v>
      </c>
      <c r="B1927">
        <v>214.9</v>
      </c>
      <c r="C1927" s="2">
        <f t="shared" si="31"/>
        <v>-1.432225914062425E-2</v>
      </c>
    </row>
    <row r="1928" spans="1:3" x14ac:dyDescent="0.2">
      <c r="A1928" s="1">
        <v>43271</v>
      </c>
      <c r="B1928">
        <v>218</v>
      </c>
      <c r="C1928" s="2">
        <f t="shared" si="31"/>
        <v>4.1369859048427894E-3</v>
      </c>
    </row>
    <row r="1929" spans="1:3" x14ac:dyDescent="0.2">
      <c r="A1929" s="1">
        <v>43270</v>
      </c>
      <c r="B1929">
        <v>217.1</v>
      </c>
      <c r="C1929" s="2">
        <f t="shared" si="31"/>
        <v>-1.3723911648169817E-2</v>
      </c>
    </row>
    <row r="1930" spans="1:3" x14ac:dyDescent="0.2">
      <c r="A1930" s="1">
        <v>43269</v>
      </c>
      <c r="B1930">
        <v>220.1</v>
      </c>
      <c r="C1930" s="2">
        <f t="shared" si="31"/>
        <v>-1.3986241974739839E-2</v>
      </c>
    </row>
    <row r="1931" spans="1:3" x14ac:dyDescent="0.2">
      <c r="A1931" s="1">
        <v>43266</v>
      </c>
      <c r="B1931">
        <v>223.2</v>
      </c>
      <c r="C1931" s="2">
        <f t="shared" si="31"/>
        <v>-5.8074766751531415E-3</v>
      </c>
    </row>
    <row r="1932" spans="1:3" x14ac:dyDescent="0.2">
      <c r="A1932" s="1">
        <v>43265</v>
      </c>
      <c r="B1932">
        <v>224.5</v>
      </c>
      <c r="C1932" s="2">
        <f t="shared" si="31"/>
        <v>5.3595483361967245E-3</v>
      </c>
    </row>
    <row r="1933" spans="1:3" x14ac:dyDescent="0.2">
      <c r="A1933" s="1">
        <v>43264</v>
      </c>
      <c r="B1933">
        <v>223.3</v>
      </c>
      <c r="C1933" s="2">
        <f t="shared" si="31"/>
        <v>8.5451385715757527E-3</v>
      </c>
    </row>
    <row r="1934" spans="1:3" x14ac:dyDescent="0.2">
      <c r="A1934" s="1">
        <v>43263</v>
      </c>
      <c r="B1934">
        <v>221.4</v>
      </c>
    </row>
    <row r="1935" spans="1:3" x14ac:dyDescent="0.2">
      <c r="A1935" s="1">
        <v>43262</v>
      </c>
      <c r="B1935">
        <v>223.9</v>
      </c>
      <c r="C1935" s="2">
        <f t="shared" si="31"/>
        <v>-8.9285720217210766E-4</v>
      </c>
    </row>
    <row r="1936" spans="1:3" x14ac:dyDescent="0.2">
      <c r="A1936" s="1">
        <v>43259</v>
      </c>
      <c r="B1936">
        <v>224.1</v>
      </c>
      <c r="C1936" s="2">
        <f t="shared" si="31"/>
        <v>4.024150299725548E-3</v>
      </c>
    </row>
    <row r="1937" spans="1:3" x14ac:dyDescent="0.2">
      <c r="A1937" s="1">
        <v>43258</v>
      </c>
      <c r="B1937">
        <v>223.2</v>
      </c>
      <c r="C1937" s="2">
        <f t="shared" si="31"/>
        <v>-3.1312930975533971E-3</v>
      </c>
    </row>
    <row r="1938" spans="1:3" x14ac:dyDescent="0.2">
      <c r="A1938" s="1">
        <v>43256</v>
      </c>
      <c r="B1938">
        <v>223.9</v>
      </c>
      <c r="C1938" s="2">
        <f t="shared" si="31"/>
        <v>0</v>
      </c>
    </row>
    <row r="1939" spans="1:3" x14ac:dyDescent="0.2">
      <c r="A1939" s="1">
        <v>43255</v>
      </c>
      <c r="B1939">
        <v>223.9</v>
      </c>
      <c r="C1939" s="2">
        <f t="shared" si="31"/>
        <v>-2.2306500438320793E-3</v>
      </c>
    </row>
    <row r="1940" spans="1:3" x14ac:dyDescent="0.2">
      <c r="A1940" s="1">
        <v>43252</v>
      </c>
      <c r="B1940">
        <v>224.4</v>
      </c>
      <c r="C1940" s="2">
        <f t="shared" si="31"/>
        <v>1.8893949359961828E-2</v>
      </c>
    </row>
    <row r="1941" spans="1:3" x14ac:dyDescent="0.2">
      <c r="A1941" s="1">
        <v>43251</v>
      </c>
      <c r="B1941">
        <v>220.2</v>
      </c>
      <c r="C1941" s="2">
        <f t="shared" si="31"/>
        <v>-2.7210901143607247E-3</v>
      </c>
    </row>
    <row r="1942" spans="1:3" x14ac:dyDescent="0.2">
      <c r="A1942" s="1">
        <v>43250</v>
      </c>
      <c r="B1942">
        <v>220.8</v>
      </c>
      <c r="C1942" s="2">
        <f t="shared" si="31"/>
        <v>-7.2202479734870201E-3</v>
      </c>
    </row>
    <row r="1943" spans="1:3" x14ac:dyDescent="0.2">
      <c r="A1943" s="1">
        <v>43249</v>
      </c>
      <c r="B1943">
        <v>222.4</v>
      </c>
      <c r="C1943" s="2">
        <f t="shared" si="31"/>
        <v>-3.1425390620594827E-3</v>
      </c>
    </row>
    <row r="1944" spans="1:3" x14ac:dyDescent="0.2">
      <c r="A1944" s="1">
        <v>43248</v>
      </c>
      <c r="B1944">
        <v>223.1</v>
      </c>
      <c r="C1944" s="2">
        <f t="shared" si="31"/>
        <v>0</v>
      </c>
    </row>
    <row r="1945" spans="1:3" x14ac:dyDescent="0.2">
      <c r="A1945" s="1">
        <v>43245</v>
      </c>
      <c r="B1945">
        <v>223.1</v>
      </c>
      <c r="C1945" s="2">
        <f t="shared" si="31"/>
        <v>-8.4803007659333355E-3</v>
      </c>
    </row>
    <row r="1946" spans="1:3" x14ac:dyDescent="0.2">
      <c r="A1946" s="1">
        <v>43244</v>
      </c>
      <c r="B1946">
        <v>225</v>
      </c>
      <c r="C1946" s="2">
        <f t="shared" si="31"/>
        <v>-1.3324452337787119E-3</v>
      </c>
    </row>
    <row r="1947" spans="1:3" x14ac:dyDescent="0.2">
      <c r="A1947" s="1">
        <v>43243</v>
      </c>
      <c r="B1947">
        <v>225.3</v>
      </c>
      <c r="C1947" s="2">
        <f t="shared" si="31"/>
        <v>-2.7147026088089946E-2</v>
      </c>
    </row>
    <row r="1948" spans="1:3" x14ac:dyDescent="0.2">
      <c r="A1948" s="1">
        <v>43242</v>
      </c>
      <c r="B1948">
        <v>231.5</v>
      </c>
      <c r="C1948" s="2">
        <f t="shared" si="31"/>
        <v>-6.4585800394118195E-3</v>
      </c>
    </row>
    <row r="1949" spans="1:3" x14ac:dyDescent="0.2">
      <c r="A1949" s="1">
        <v>43241</v>
      </c>
      <c r="B1949">
        <v>233</v>
      </c>
      <c r="C1949" s="2">
        <f t="shared" si="31"/>
        <v>2.148228538289605E-3</v>
      </c>
    </row>
    <row r="1950" spans="1:3" x14ac:dyDescent="0.2">
      <c r="A1950" s="1">
        <v>43238</v>
      </c>
      <c r="B1950">
        <v>232.5</v>
      </c>
      <c r="C1950" s="2">
        <f t="shared" si="31"/>
        <v>7.7720598477031095E-3</v>
      </c>
    </row>
    <row r="1951" spans="1:3" x14ac:dyDescent="0.2">
      <c r="A1951" s="1">
        <v>43237</v>
      </c>
      <c r="B1951">
        <v>230.7</v>
      </c>
      <c r="C1951" s="2">
        <f t="shared" si="31"/>
        <v>7.396161625468251E-3</v>
      </c>
    </row>
    <row r="1952" spans="1:3" x14ac:dyDescent="0.2">
      <c r="A1952" s="1">
        <v>43236</v>
      </c>
      <c r="B1952">
        <v>229</v>
      </c>
      <c r="C1952" s="2">
        <f t="shared" si="31"/>
        <v>2.6235257723844106E-3</v>
      </c>
    </row>
    <row r="1953" spans="1:3" x14ac:dyDescent="0.2">
      <c r="A1953" s="1">
        <v>43235</v>
      </c>
      <c r="B1953">
        <v>228.4</v>
      </c>
      <c r="C1953" s="2">
        <f t="shared" si="31"/>
        <v>1.7528488274143868E-3</v>
      </c>
    </row>
    <row r="1954" spans="1:3" x14ac:dyDescent="0.2">
      <c r="A1954" s="1">
        <v>43234</v>
      </c>
      <c r="B1954">
        <v>228</v>
      </c>
      <c r="C1954" s="2">
        <f t="shared" si="31"/>
        <v>3.0748980959431301E-3</v>
      </c>
    </row>
    <row r="1955" spans="1:3" x14ac:dyDescent="0.2">
      <c r="A1955" s="1">
        <v>43231</v>
      </c>
      <c r="B1955">
        <v>227.3</v>
      </c>
      <c r="C1955" s="2">
        <f t="shared" si="31"/>
        <v>-8.3242539820868426E-3</v>
      </c>
    </row>
    <row r="1956" spans="1:3" x14ac:dyDescent="0.2">
      <c r="A1956" s="1">
        <v>43229</v>
      </c>
      <c r="B1956">
        <v>229.2</v>
      </c>
      <c r="C1956" s="2">
        <f t="shared" si="31"/>
        <v>-1.3080446600153414E-3</v>
      </c>
    </row>
    <row r="1957" spans="1:3" x14ac:dyDescent="0.2">
      <c r="A1957" s="1">
        <v>43228</v>
      </c>
      <c r="B1957">
        <v>229.5</v>
      </c>
      <c r="C1957" s="2">
        <f t="shared" si="31"/>
        <v>1.2275471987116501E-2</v>
      </c>
    </row>
    <row r="1958" spans="1:3" x14ac:dyDescent="0.2">
      <c r="A1958" s="1">
        <v>43227</v>
      </c>
      <c r="B1958">
        <v>226.7</v>
      </c>
      <c r="C1958" s="2">
        <f t="shared" si="31"/>
        <v>1.198150565844347E-2</v>
      </c>
    </row>
    <row r="1959" spans="1:3" x14ac:dyDescent="0.2">
      <c r="A1959" s="1">
        <v>43224</v>
      </c>
      <c r="B1959">
        <v>224</v>
      </c>
      <c r="C1959" s="2">
        <f t="shared" si="31"/>
        <v>9.4192219164915582E-3</v>
      </c>
    </row>
    <row r="1960" spans="1:3" x14ac:dyDescent="0.2">
      <c r="A1960" s="1">
        <v>43223</v>
      </c>
      <c r="B1960">
        <v>221.9</v>
      </c>
      <c r="C1960" s="2">
        <f t="shared" si="31"/>
        <v>-3.5987443247735801E-3</v>
      </c>
    </row>
    <row r="1961" spans="1:3" x14ac:dyDescent="0.2">
      <c r="A1961" s="1">
        <v>43222</v>
      </c>
      <c r="B1961">
        <v>222.7</v>
      </c>
      <c r="C1961" s="2">
        <f t="shared" si="31"/>
        <v>2.2707606022820116E-2</v>
      </c>
    </row>
    <row r="1962" spans="1:3" x14ac:dyDescent="0.2">
      <c r="A1962" s="1">
        <v>43220</v>
      </c>
      <c r="B1962">
        <v>217.7</v>
      </c>
      <c r="C1962" s="2">
        <f t="shared" si="31"/>
        <v>-1.3770945485873242E-3</v>
      </c>
    </row>
    <row r="1963" spans="1:3" x14ac:dyDescent="0.2">
      <c r="A1963" s="1">
        <v>43217</v>
      </c>
      <c r="B1963">
        <v>218</v>
      </c>
      <c r="C1963" s="2">
        <f t="shared" si="31"/>
        <v>6.9045153465444858E-3</v>
      </c>
    </row>
    <row r="1964" spans="1:3" x14ac:dyDescent="0.2">
      <c r="A1964" s="1">
        <v>43216</v>
      </c>
      <c r="B1964">
        <v>216.5</v>
      </c>
      <c r="C1964" s="2">
        <f t="shared" si="31"/>
        <v>5.0937827202564177E-3</v>
      </c>
    </row>
    <row r="1965" spans="1:3" x14ac:dyDescent="0.2">
      <c r="A1965" s="1">
        <v>43215</v>
      </c>
      <c r="B1965">
        <v>215.4</v>
      </c>
      <c r="C1965" s="2">
        <f t="shared" si="31"/>
        <v>-1.3831479148461737E-2</v>
      </c>
    </row>
    <row r="1966" spans="1:3" x14ac:dyDescent="0.2">
      <c r="A1966" s="1">
        <v>43214</v>
      </c>
      <c r="B1966">
        <v>218.4</v>
      </c>
      <c r="C1966" s="2">
        <f t="shared" si="31"/>
        <v>-1.7699577099400975E-2</v>
      </c>
    </row>
    <row r="1967" spans="1:3" x14ac:dyDescent="0.2">
      <c r="A1967" s="1">
        <v>43213</v>
      </c>
      <c r="B1967">
        <v>222.3</v>
      </c>
      <c r="C1967" s="2">
        <f t="shared" si="31"/>
        <v>6.1693569005339961E-2</v>
      </c>
    </row>
    <row r="1968" spans="1:3" x14ac:dyDescent="0.2">
      <c r="A1968" s="1">
        <v>43210</v>
      </c>
      <c r="B1968">
        <v>209</v>
      </c>
      <c r="C1968" s="2">
        <f t="shared" si="31"/>
        <v>5.2770571008438193E-3</v>
      </c>
    </row>
    <row r="1969" spans="1:3" x14ac:dyDescent="0.2">
      <c r="A1969" s="1">
        <v>43209</v>
      </c>
      <c r="B1969">
        <v>207.9</v>
      </c>
      <c r="C1969" s="2">
        <f t="shared" si="31"/>
        <v>7.725774786761141E-3</v>
      </c>
    </row>
    <row r="1970" spans="1:3" x14ac:dyDescent="0.2">
      <c r="A1970" s="1">
        <v>43208</v>
      </c>
      <c r="B1970">
        <v>206.3</v>
      </c>
      <c r="C1970" s="2">
        <f t="shared" si="31"/>
        <v>-4.8461353020153031E-4</v>
      </c>
    </row>
    <row r="1971" spans="1:3" x14ac:dyDescent="0.2">
      <c r="A1971" s="1">
        <v>43207</v>
      </c>
      <c r="B1971">
        <v>206.4</v>
      </c>
      <c r="C1971" s="2">
        <f t="shared" si="31"/>
        <v>2.1053409197832482E-2</v>
      </c>
    </row>
    <row r="1972" spans="1:3" x14ac:dyDescent="0.2">
      <c r="A1972" s="1">
        <v>43206</v>
      </c>
      <c r="B1972">
        <v>202.1</v>
      </c>
      <c r="C1972" s="2">
        <f t="shared" si="31"/>
        <v>0</v>
      </c>
    </row>
    <row r="1973" spans="1:3" x14ac:dyDescent="0.2">
      <c r="A1973" s="1">
        <v>43203</v>
      </c>
      <c r="B1973">
        <v>202.1</v>
      </c>
      <c r="C1973" s="2">
        <f t="shared" si="31"/>
        <v>2.0495593715040058E-2</v>
      </c>
    </row>
    <row r="1974" spans="1:3" x14ac:dyDescent="0.2">
      <c r="A1974" s="1">
        <v>43202</v>
      </c>
      <c r="B1974">
        <v>198</v>
      </c>
      <c r="C1974" s="2">
        <f t="shared" si="31"/>
        <v>1.3474209193455773E-2</v>
      </c>
    </row>
    <row r="1975" spans="1:3" x14ac:dyDescent="0.2">
      <c r="A1975" s="1">
        <v>43201</v>
      </c>
      <c r="B1975">
        <v>195.35</v>
      </c>
      <c r="C1975" s="2">
        <f t="shared" si="31"/>
        <v>-1.1451963812687796E-2</v>
      </c>
    </row>
    <row r="1976" spans="1:3" x14ac:dyDescent="0.2">
      <c r="A1976" s="1">
        <v>43200</v>
      </c>
      <c r="B1976">
        <v>197.6</v>
      </c>
      <c r="C1976" s="2">
        <f t="shared" si="31"/>
        <v>7.1102381825048121E-3</v>
      </c>
    </row>
    <row r="1977" spans="1:3" x14ac:dyDescent="0.2">
      <c r="A1977" s="1">
        <v>43199</v>
      </c>
      <c r="B1977">
        <v>196.2</v>
      </c>
      <c r="C1977" s="2">
        <f t="shared" si="31"/>
        <v>-3.8153422856522312E-3</v>
      </c>
    </row>
    <row r="1978" spans="1:3" x14ac:dyDescent="0.2">
      <c r="A1978" s="1">
        <v>43196</v>
      </c>
      <c r="B1978">
        <v>196.95</v>
      </c>
      <c r="C1978" s="2">
        <f t="shared" si="31"/>
        <v>-8.3428621941573477E-3</v>
      </c>
    </row>
    <row r="1979" spans="1:3" x14ac:dyDescent="0.2">
      <c r="A1979" s="1">
        <v>43195</v>
      </c>
      <c r="B1979">
        <v>198.6</v>
      </c>
      <c r="C1979" s="2">
        <f t="shared" si="31"/>
        <v>3.1196597883233378E-2</v>
      </c>
    </row>
    <row r="1980" spans="1:3" x14ac:dyDescent="0.2">
      <c r="A1980" s="1">
        <v>43194</v>
      </c>
      <c r="B1980">
        <v>192.5</v>
      </c>
      <c r="C1980" s="2">
        <f t="shared" si="31"/>
        <v>-1.1620531023018759E-2</v>
      </c>
    </row>
    <row r="1981" spans="1:3" x14ac:dyDescent="0.2">
      <c r="A1981" s="1">
        <v>43193</v>
      </c>
      <c r="B1981">
        <v>194.75</v>
      </c>
      <c r="C1981" s="2">
        <f t="shared" si="31"/>
        <v>-1.2248175572778588E-2</v>
      </c>
    </row>
    <row r="1982" spans="1:3" x14ac:dyDescent="0.2">
      <c r="A1982" s="1">
        <v>43188</v>
      </c>
      <c r="B1982">
        <v>197.15</v>
      </c>
      <c r="C1982" s="2">
        <f t="shared" si="31"/>
        <v>1.8428983299979055E-2</v>
      </c>
    </row>
    <row r="1983" spans="1:3" x14ac:dyDescent="0.2">
      <c r="A1983" s="1">
        <v>43187</v>
      </c>
      <c r="B1983">
        <v>193.55</v>
      </c>
      <c r="C1983" s="2">
        <f t="shared" si="31"/>
        <v>-4.6391835780990997E-3</v>
      </c>
    </row>
    <row r="1984" spans="1:3" x14ac:dyDescent="0.2">
      <c r="A1984" s="1">
        <v>43186</v>
      </c>
      <c r="B1984">
        <v>194.45</v>
      </c>
      <c r="C1984" s="2">
        <f t="shared" si="31"/>
        <v>1.8163446930231156E-2</v>
      </c>
    </row>
    <row r="1985" spans="1:3" x14ac:dyDescent="0.2">
      <c r="A1985" s="1">
        <v>43185</v>
      </c>
      <c r="B1985">
        <v>190.95</v>
      </c>
      <c r="C1985" s="2">
        <f t="shared" si="31"/>
        <v>-1.1196575762943571E-2</v>
      </c>
    </row>
    <row r="1986" spans="1:3" x14ac:dyDescent="0.2">
      <c r="A1986" s="1">
        <v>43182</v>
      </c>
      <c r="B1986">
        <v>193.1</v>
      </c>
      <c r="C1986" s="2">
        <f t="shared" si="31"/>
        <v>5.1800052958311891E-4</v>
      </c>
    </row>
    <row r="1987" spans="1:3" x14ac:dyDescent="0.2">
      <c r="A1987" s="1">
        <v>43181</v>
      </c>
      <c r="B1987">
        <v>193</v>
      </c>
      <c r="C1987" s="2">
        <f t="shared" ref="C1987:C2050" si="32">+LN(B1987/B1988)</f>
        <v>-1.6699167757632256E-2</v>
      </c>
    </row>
    <row r="1988" spans="1:3" x14ac:dyDescent="0.2">
      <c r="A1988" s="1">
        <v>43180</v>
      </c>
      <c r="B1988">
        <v>196.25</v>
      </c>
      <c r="C1988" s="2">
        <f t="shared" si="32"/>
        <v>-7.6403925784772635E-4</v>
      </c>
    </row>
    <row r="1989" spans="1:3" x14ac:dyDescent="0.2">
      <c r="A1989" s="1">
        <v>43179</v>
      </c>
      <c r="B1989">
        <v>196.4</v>
      </c>
      <c r="C1989" s="2">
        <f t="shared" si="32"/>
        <v>1.3068731803427339E-2</v>
      </c>
    </row>
    <row r="1990" spans="1:3" x14ac:dyDescent="0.2">
      <c r="A1990" s="1">
        <v>43178</v>
      </c>
      <c r="B1990">
        <v>193.85</v>
      </c>
      <c r="C1990" s="2">
        <f t="shared" si="32"/>
        <v>-1.0009065979471944E-2</v>
      </c>
    </row>
    <row r="1991" spans="1:3" x14ac:dyDescent="0.2">
      <c r="A1991" s="1">
        <v>43175</v>
      </c>
      <c r="B1991">
        <v>195.8</v>
      </c>
      <c r="C1991" s="2">
        <f t="shared" si="32"/>
        <v>-1.0415437735023236E-2</v>
      </c>
    </row>
    <row r="1992" spans="1:3" x14ac:dyDescent="0.2">
      <c r="A1992" s="1">
        <v>43174</v>
      </c>
      <c r="B1992">
        <v>197.85</v>
      </c>
      <c r="C1992" s="2">
        <f t="shared" si="32"/>
        <v>1.3740674204809273E-2</v>
      </c>
    </row>
    <row r="1993" spans="1:3" x14ac:dyDescent="0.2">
      <c r="A1993" s="1">
        <v>43173</v>
      </c>
      <c r="B1993">
        <v>195.15</v>
      </c>
      <c r="C1993" s="2">
        <f t="shared" si="32"/>
        <v>5.1255767395850475E-4</v>
      </c>
    </row>
    <row r="1994" spans="1:3" x14ac:dyDescent="0.2">
      <c r="A1994" s="1">
        <v>43172</v>
      </c>
      <c r="B1994">
        <v>195.05</v>
      </c>
      <c r="C1994" s="2">
        <f t="shared" si="32"/>
        <v>-1.1976191046715649E-2</v>
      </c>
    </row>
    <row r="1995" spans="1:3" x14ac:dyDescent="0.2">
      <c r="A1995" s="1">
        <v>43171</v>
      </c>
      <c r="B1995">
        <v>197.4</v>
      </c>
    </row>
    <row r="1996" spans="1:3" x14ac:dyDescent="0.2">
      <c r="A1996" s="1">
        <v>43168</v>
      </c>
      <c r="B1996">
        <v>197.2</v>
      </c>
      <c r="C1996" s="2">
        <f t="shared" si="32"/>
        <v>1.1475326739928767E-2</v>
      </c>
    </row>
    <row r="1997" spans="1:3" x14ac:dyDescent="0.2">
      <c r="A1997" s="1">
        <v>43167</v>
      </c>
      <c r="B1997">
        <v>194.95</v>
      </c>
      <c r="C1997" s="2">
        <f t="shared" si="32"/>
        <v>1.52477434008248E-2</v>
      </c>
    </row>
    <row r="1998" spans="1:3" x14ac:dyDescent="0.2">
      <c r="A1998" s="1">
        <v>43166</v>
      </c>
      <c r="B1998">
        <v>192</v>
      </c>
      <c r="C1998" s="2">
        <f t="shared" si="32"/>
        <v>6.5317018632150593E-3</v>
      </c>
    </row>
    <row r="1999" spans="1:3" x14ac:dyDescent="0.2">
      <c r="A1999" s="1">
        <v>43165</v>
      </c>
      <c r="B1999">
        <v>190.75</v>
      </c>
      <c r="C1999" s="2">
        <f t="shared" si="32"/>
        <v>1.8365478073013304E-3</v>
      </c>
    </row>
    <row r="2000" spans="1:3" x14ac:dyDescent="0.2">
      <c r="A2000" s="1">
        <v>43164</v>
      </c>
      <c r="B2000">
        <v>190.4</v>
      </c>
      <c r="C2000" s="2">
        <f t="shared" si="32"/>
        <v>8.4388686458646035E-3</v>
      </c>
    </row>
    <row r="2001" spans="1:3" x14ac:dyDescent="0.2">
      <c r="A2001" s="1">
        <v>43161</v>
      </c>
      <c r="B2001">
        <v>188.8</v>
      </c>
      <c r="C2001" s="2">
        <f t="shared" si="32"/>
        <v>-3.8955847571015043E-2</v>
      </c>
    </row>
    <row r="2002" spans="1:3" x14ac:dyDescent="0.2">
      <c r="A2002" s="1">
        <v>43160</v>
      </c>
      <c r="B2002">
        <v>196.3</v>
      </c>
      <c r="C2002" s="2">
        <f t="shared" si="32"/>
        <v>-2.0172141389357218E-2</v>
      </c>
    </row>
    <row r="2003" spans="1:3" x14ac:dyDescent="0.2">
      <c r="A2003" s="1">
        <v>43159</v>
      </c>
      <c r="B2003">
        <v>200.3</v>
      </c>
      <c r="C2003" s="2">
        <f t="shared" si="32"/>
        <v>-5.9731387149650926E-3</v>
      </c>
    </row>
    <row r="2004" spans="1:3" x14ac:dyDescent="0.2">
      <c r="A2004" s="1">
        <v>43158</v>
      </c>
      <c r="B2004">
        <v>201.5</v>
      </c>
      <c r="C2004" s="2">
        <f t="shared" si="32"/>
        <v>-1.9831439320541324E-3</v>
      </c>
    </row>
    <row r="2005" spans="1:3" x14ac:dyDescent="0.2">
      <c r="A2005" s="1">
        <v>43157</v>
      </c>
      <c r="B2005">
        <v>201.9</v>
      </c>
      <c r="C2005" s="2">
        <f t="shared" si="32"/>
        <v>8.4556584376715913E-3</v>
      </c>
    </row>
    <row r="2006" spans="1:3" x14ac:dyDescent="0.2">
      <c r="A2006" s="1">
        <v>43154</v>
      </c>
      <c r="B2006">
        <v>200.2</v>
      </c>
      <c r="C2006" s="2">
        <f t="shared" si="32"/>
        <v>-1.4973798655037282E-3</v>
      </c>
    </row>
    <row r="2007" spans="1:3" x14ac:dyDescent="0.2">
      <c r="A2007" s="1">
        <v>43153</v>
      </c>
      <c r="B2007">
        <v>200.5</v>
      </c>
      <c r="C2007" s="2">
        <f t="shared" si="32"/>
        <v>1.9970051569361295E-3</v>
      </c>
    </row>
    <row r="2008" spans="1:3" x14ac:dyDescent="0.2">
      <c r="A2008" s="1">
        <v>43152</v>
      </c>
      <c r="B2008">
        <v>200.1</v>
      </c>
      <c r="C2008" s="2">
        <f t="shared" si="32"/>
        <v>-7.964203370478283E-3</v>
      </c>
    </row>
    <row r="2009" spans="1:3" x14ac:dyDescent="0.2">
      <c r="A2009" s="1">
        <v>43151</v>
      </c>
      <c r="B2009">
        <v>201.7</v>
      </c>
      <c r="C2009" s="2">
        <f t="shared" si="32"/>
        <v>2.5355946082347432E-2</v>
      </c>
    </row>
    <row r="2010" spans="1:3" x14ac:dyDescent="0.2">
      <c r="A2010" s="1">
        <v>43150</v>
      </c>
      <c r="B2010">
        <v>196.65</v>
      </c>
      <c r="C2010" s="2">
        <f t="shared" si="32"/>
        <v>-6.588974674320955E-3</v>
      </c>
    </row>
    <row r="2011" spans="1:3" x14ac:dyDescent="0.2">
      <c r="A2011" s="1">
        <v>43147</v>
      </c>
      <c r="B2011">
        <v>197.95</v>
      </c>
      <c r="C2011" s="2">
        <f t="shared" si="32"/>
        <v>2.5290858194812632E-3</v>
      </c>
    </row>
    <row r="2012" spans="1:3" x14ac:dyDescent="0.2">
      <c r="A2012" s="1">
        <v>43146</v>
      </c>
      <c r="B2012">
        <v>197.45</v>
      </c>
      <c r="C2012" s="2">
        <f t="shared" si="32"/>
        <v>9.9250083072378783E-3</v>
      </c>
    </row>
    <row r="2013" spans="1:3" x14ac:dyDescent="0.2">
      <c r="A2013" s="1">
        <v>43145</v>
      </c>
      <c r="B2013">
        <v>195.5</v>
      </c>
      <c r="C2013" s="2">
        <f t="shared" si="32"/>
        <v>6.1570230420259628E-3</v>
      </c>
    </row>
    <row r="2014" spans="1:3" x14ac:dyDescent="0.2">
      <c r="A2014" s="1">
        <v>43144</v>
      </c>
      <c r="B2014">
        <v>194.3</v>
      </c>
      <c r="C2014" s="2">
        <f t="shared" si="32"/>
        <v>-1.1767851329671635E-2</v>
      </c>
    </row>
    <row r="2015" spans="1:3" x14ac:dyDescent="0.2">
      <c r="A2015" s="1">
        <v>43143</v>
      </c>
      <c r="B2015">
        <v>196.6</v>
      </c>
      <c r="C2015" s="2">
        <f t="shared" si="32"/>
        <v>1.5893695243229547E-2</v>
      </c>
    </row>
    <row r="2016" spans="1:3" x14ac:dyDescent="0.2">
      <c r="A2016" s="1">
        <v>43140</v>
      </c>
      <c r="B2016">
        <v>193.5</v>
      </c>
      <c r="C2016" s="2">
        <f t="shared" si="32"/>
        <v>-1.4875883450529001E-2</v>
      </c>
    </row>
    <row r="2017" spans="1:3" x14ac:dyDescent="0.2">
      <c r="A2017" s="1">
        <v>43139</v>
      </c>
      <c r="B2017">
        <v>196.4</v>
      </c>
      <c r="C2017" s="2">
        <f t="shared" si="32"/>
        <v>-2.6132140276847942E-2</v>
      </c>
    </row>
    <row r="2018" spans="1:3" x14ac:dyDescent="0.2">
      <c r="A2018" s="1">
        <v>43138</v>
      </c>
      <c r="B2018">
        <v>201.6</v>
      </c>
      <c r="C2018" s="2">
        <f t="shared" si="32"/>
        <v>3.0980943958249688E-2</v>
      </c>
    </row>
    <row r="2019" spans="1:3" x14ac:dyDescent="0.2">
      <c r="A2019" s="1">
        <v>43137</v>
      </c>
      <c r="B2019">
        <v>195.45</v>
      </c>
      <c r="C2019" s="2">
        <f t="shared" si="32"/>
        <v>-2.0760239255779158E-2</v>
      </c>
    </row>
    <row r="2020" spans="1:3" x14ac:dyDescent="0.2">
      <c r="A2020" s="1">
        <v>43136</v>
      </c>
      <c r="B2020">
        <v>199.55</v>
      </c>
      <c r="C2020" s="2">
        <f t="shared" si="32"/>
        <v>-3.423558090634448E-2</v>
      </c>
    </row>
    <row r="2021" spans="1:3" x14ac:dyDescent="0.2">
      <c r="A2021" s="1">
        <v>43133</v>
      </c>
      <c r="B2021">
        <v>206.5</v>
      </c>
      <c r="C2021" s="2">
        <f t="shared" si="32"/>
        <v>-2.6285862270924974E-2</v>
      </c>
    </row>
    <row r="2022" spans="1:3" x14ac:dyDescent="0.2">
      <c r="A2022" s="1">
        <v>43132</v>
      </c>
      <c r="B2022">
        <v>212</v>
      </c>
      <c r="C2022" s="2">
        <f t="shared" si="32"/>
        <v>2.5317807984290001E-2</v>
      </c>
    </row>
    <row r="2023" spans="1:3" x14ac:dyDescent="0.2">
      <c r="A2023" s="1">
        <v>43131</v>
      </c>
      <c r="B2023">
        <v>206.7</v>
      </c>
      <c r="C2023" s="2">
        <f t="shared" si="32"/>
        <v>4.3636432877732717E-3</v>
      </c>
    </row>
    <row r="2024" spans="1:3" x14ac:dyDescent="0.2">
      <c r="A2024" s="1">
        <v>43130</v>
      </c>
      <c r="B2024">
        <v>205.8</v>
      </c>
      <c r="C2024" s="2">
        <f t="shared" si="32"/>
        <v>2.4595435582375081E-2</v>
      </c>
    </row>
    <row r="2025" spans="1:3" x14ac:dyDescent="0.2">
      <c r="A2025" s="1">
        <v>43129</v>
      </c>
      <c r="B2025">
        <v>200.8</v>
      </c>
      <c r="C2025" s="2">
        <f t="shared" si="32"/>
        <v>-2.6052100078839076E-2</v>
      </c>
    </row>
    <row r="2026" spans="1:3" x14ac:dyDescent="0.2">
      <c r="A2026" s="1">
        <v>43126</v>
      </c>
      <c r="B2026">
        <v>206.1</v>
      </c>
      <c r="C2026" s="2">
        <f t="shared" si="32"/>
        <v>3.8891638715253542E-3</v>
      </c>
    </row>
    <row r="2027" spans="1:3" x14ac:dyDescent="0.2">
      <c r="A2027" s="1">
        <v>43125</v>
      </c>
      <c r="B2027">
        <v>205.3</v>
      </c>
      <c r="C2027" s="2">
        <f t="shared" si="32"/>
        <v>-1.0659015645865072E-2</v>
      </c>
    </row>
    <row r="2028" spans="1:3" x14ac:dyDescent="0.2">
      <c r="A2028" s="1">
        <v>43124</v>
      </c>
      <c r="B2028">
        <v>207.5</v>
      </c>
      <c r="C2028" s="2">
        <f t="shared" si="32"/>
        <v>-9.1149587656835472E-3</v>
      </c>
    </row>
    <row r="2029" spans="1:3" x14ac:dyDescent="0.2">
      <c r="A2029" s="1">
        <v>43123</v>
      </c>
      <c r="B2029">
        <v>209.4</v>
      </c>
      <c r="C2029" s="2">
        <f t="shared" si="32"/>
        <v>-9.5465401045054992E-4</v>
      </c>
    </row>
    <row r="2030" spans="1:3" x14ac:dyDescent="0.2">
      <c r="A2030" s="1">
        <v>43122</v>
      </c>
      <c r="B2030">
        <v>209.6</v>
      </c>
      <c r="C2030" s="2">
        <f t="shared" si="32"/>
        <v>1.4323229949328906E-3</v>
      </c>
    </row>
    <row r="2031" spans="1:3" x14ac:dyDescent="0.2">
      <c r="A2031" s="1">
        <v>43119</v>
      </c>
      <c r="B2031">
        <v>209.3</v>
      </c>
      <c r="C2031" s="2">
        <f t="shared" si="32"/>
        <v>1.2016486817679892E-2</v>
      </c>
    </row>
    <row r="2032" spans="1:3" x14ac:dyDescent="0.2">
      <c r="A2032" s="1">
        <v>43118</v>
      </c>
      <c r="B2032">
        <v>206.8</v>
      </c>
      <c r="C2032" s="2">
        <f t="shared" si="32"/>
        <v>-1.9323677510538128E-3</v>
      </c>
    </row>
    <row r="2033" spans="1:3" x14ac:dyDescent="0.2">
      <c r="A2033" s="1">
        <v>43117</v>
      </c>
      <c r="B2033">
        <v>207.2</v>
      </c>
      <c r="C2033" s="2">
        <f t="shared" si="32"/>
        <v>-4.3342230142607878E-3</v>
      </c>
    </row>
    <row r="2034" spans="1:3" x14ac:dyDescent="0.2">
      <c r="A2034" s="1">
        <v>43116</v>
      </c>
      <c r="B2034">
        <v>208.1</v>
      </c>
      <c r="C2034" s="2">
        <f t="shared" si="32"/>
        <v>4.3342230142608216E-3</v>
      </c>
    </row>
    <row r="2035" spans="1:3" x14ac:dyDescent="0.2">
      <c r="A2035" s="1">
        <v>43115</v>
      </c>
      <c r="B2035">
        <v>207.2</v>
      </c>
      <c r="C2035" s="2">
        <f t="shared" si="32"/>
        <v>5.3230224889147205E-3</v>
      </c>
    </row>
    <row r="2036" spans="1:3" x14ac:dyDescent="0.2">
      <c r="A2036" s="1">
        <v>43112</v>
      </c>
      <c r="B2036">
        <v>206.1</v>
      </c>
      <c r="C2036" s="2">
        <f t="shared" si="32"/>
        <v>1.0241494052196921E-2</v>
      </c>
    </row>
    <row r="2037" spans="1:3" x14ac:dyDescent="0.2">
      <c r="A2037" s="1">
        <v>43111</v>
      </c>
      <c r="B2037">
        <v>204</v>
      </c>
      <c r="C2037" s="2">
        <f t="shared" si="32"/>
        <v>1.9627091678486889E-3</v>
      </c>
    </row>
    <row r="2038" spans="1:3" x14ac:dyDescent="0.2">
      <c r="A2038" s="1">
        <v>43110</v>
      </c>
      <c r="B2038">
        <v>203.6</v>
      </c>
      <c r="C2038" s="2">
        <f t="shared" si="32"/>
        <v>4.912797937180138E-4</v>
      </c>
    </row>
    <row r="2039" spans="1:3" x14ac:dyDescent="0.2">
      <c r="A2039" s="1">
        <v>43109</v>
      </c>
      <c r="B2039">
        <v>203.5</v>
      </c>
      <c r="C2039" s="2">
        <f t="shared" si="32"/>
        <v>1.0869672236903891E-2</v>
      </c>
    </row>
    <row r="2040" spans="1:3" x14ac:dyDescent="0.2">
      <c r="A2040" s="1">
        <v>43108</v>
      </c>
      <c r="B2040">
        <v>201.3</v>
      </c>
      <c r="C2040" s="2">
        <f t="shared" si="32"/>
        <v>6.728997352918601E-3</v>
      </c>
    </row>
    <row r="2041" spans="1:3" x14ac:dyDescent="0.2">
      <c r="A2041" s="1">
        <v>43105</v>
      </c>
      <c r="B2041">
        <v>199.95</v>
      </c>
      <c r="C2041" s="2">
        <f t="shared" si="32"/>
        <v>6.7745836817551209E-3</v>
      </c>
    </row>
    <row r="2042" spans="1:3" x14ac:dyDescent="0.2">
      <c r="A2042" s="1">
        <v>43104</v>
      </c>
      <c r="B2042">
        <v>198.6</v>
      </c>
      <c r="C2042" s="2">
        <f t="shared" si="32"/>
        <v>1.8806145097556931E-2</v>
      </c>
    </row>
    <row r="2043" spans="1:3" x14ac:dyDescent="0.2">
      <c r="A2043" s="1">
        <v>43103</v>
      </c>
      <c r="B2043">
        <v>194.9</v>
      </c>
      <c r="C2043" s="2">
        <f t="shared" si="32"/>
        <v>1.0314686601831762E-2</v>
      </c>
    </row>
    <row r="2044" spans="1:3" x14ac:dyDescent="0.2">
      <c r="A2044" s="1">
        <v>43102</v>
      </c>
      <c r="B2044">
        <v>192.9</v>
      </c>
      <c r="C2044" s="2">
        <f t="shared" si="32"/>
        <v>-4.6547795449825161E-3</v>
      </c>
    </row>
    <row r="2045" spans="1:3" x14ac:dyDescent="0.2">
      <c r="A2045" s="1">
        <v>43098</v>
      </c>
      <c r="B2045">
        <v>193.8</v>
      </c>
      <c r="C2045" s="2">
        <f t="shared" si="32"/>
        <v>-8.2220401520165312E-3</v>
      </c>
    </row>
    <row r="2046" spans="1:3" x14ac:dyDescent="0.2">
      <c r="A2046" s="1">
        <v>43097</v>
      </c>
      <c r="B2046">
        <v>195.4</v>
      </c>
      <c r="C2046" s="2">
        <f t="shared" si="32"/>
        <v>-8.1549891293061436E-3</v>
      </c>
    </row>
    <row r="2047" spans="1:3" x14ac:dyDescent="0.2">
      <c r="A2047" s="1">
        <v>43096</v>
      </c>
      <c r="B2047">
        <v>197</v>
      </c>
      <c r="C2047" s="2">
        <f t="shared" si="32"/>
        <v>-1.5216842905812354E-3</v>
      </c>
    </row>
    <row r="2048" spans="1:3" x14ac:dyDescent="0.2">
      <c r="A2048" s="1">
        <v>43091</v>
      </c>
      <c r="B2048">
        <v>197.3</v>
      </c>
      <c r="C2048" s="2">
        <f t="shared" si="32"/>
        <v>-5.5597818222027093E-3</v>
      </c>
    </row>
    <row r="2049" spans="1:3" x14ac:dyDescent="0.2">
      <c r="A2049" s="1">
        <v>43090</v>
      </c>
      <c r="B2049">
        <v>198.4</v>
      </c>
      <c r="C2049" s="2">
        <f t="shared" si="32"/>
        <v>9.1139871377063624E-3</v>
      </c>
    </row>
    <row r="2050" spans="1:3" x14ac:dyDescent="0.2">
      <c r="A2050" s="1">
        <v>43089</v>
      </c>
      <c r="B2050">
        <v>196.6</v>
      </c>
      <c r="C2050" s="2">
        <f t="shared" si="32"/>
        <v>2.036660581803555E-3</v>
      </c>
    </row>
    <row r="2051" spans="1:3" x14ac:dyDescent="0.2">
      <c r="A2051" s="1">
        <v>43088</v>
      </c>
      <c r="B2051">
        <v>196.2</v>
      </c>
      <c r="C2051" s="2">
        <f t="shared" ref="C2051:C2114" si="33">+LN(B2051/B2052)</f>
        <v>2.5516727292320559E-3</v>
      </c>
    </row>
    <row r="2052" spans="1:3" x14ac:dyDescent="0.2">
      <c r="A2052" s="1">
        <v>43087</v>
      </c>
      <c r="B2052">
        <v>195.7</v>
      </c>
      <c r="C2052" s="2">
        <f t="shared" si="33"/>
        <v>1.7526221807296332E-2</v>
      </c>
    </row>
    <row r="2053" spans="1:3" x14ac:dyDescent="0.2">
      <c r="A2053" s="1">
        <v>43084</v>
      </c>
      <c r="B2053">
        <v>192.3</v>
      </c>
      <c r="C2053" s="2">
        <f t="shared" si="33"/>
        <v>-5.1988563687205421E-4</v>
      </c>
    </row>
    <row r="2054" spans="1:3" x14ac:dyDescent="0.2">
      <c r="A2054" s="1">
        <v>43083</v>
      </c>
      <c r="B2054">
        <v>192.4</v>
      </c>
      <c r="C2054" s="2">
        <f t="shared" si="33"/>
        <v>5.1988563687205649E-4</v>
      </c>
    </row>
    <row r="2055" spans="1:3" x14ac:dyDescent="0.2">
      <c r="A2055" s="1">
        <v>43082</v>
      </c>
      <c r="B2055">
        <v>192.3</v>
      </c>
      <c r="C2055" s="2">
        <f t="shared" si="33"/>
        <v>-1.0346703788660304E-2</v>
      </c>
    </row>
    <row r="2056" spans="1:3" x14ac:dyDescent="0.2">
      <c r="A2056" s="1">
        <v>43081</v>
      </c>
      <c r="B2056">
        <v>194.3</v>
      </c>
      <c r="C2056" s="2">
        <f t="shared" si="33"/>
        <v>3.0927859704443757E-3</v>
      </c>
    </row>
    <row r="2057" spans="1:3" x14ac:dyDescent="0.2">
      <c r="A2057" s="1">
        <v>43080</v>
      </c>
      <c r="B2057">
        <v>193.7</v>
      </c>
      <c r="C2057" s="2">
        <f t="shared" si="33"/>
        <v>6.2144166851111921E-3</v>
      </c>
    </row>
    <row r="2058" spans="1:3" x14ac:dyDescent="0.2">
      <c r="A2058" s="1">
        <v>43077</v>
      </c>
      <c r="B2058">
        <v>192.5</v>
      </c>
      <c r="C2058" s="2">
        <f t="shared" si="33"/>
        <v>-6.214416685111167E-3</v>
      </c>
    </row>
    <row r="2059" spans="1:3" x14ac:dyDescent="0.2">
      <c r="A2059" s="1">
        <v>43076</v>
      </c>
      <c r="B2059">
        <v>193.7</v>
      </c>
    </row>
    <row r="2060" spans="1:3" x14ac:dyDescent="0.2">
      <c r="A2060" s="1">
        <v>43075</v>
      </c>
      <c r="B2060">
        <v>195.4</v>
      </c>
      <c r="C2060" s="2">
        <f t="shared" si="33"/>
        <v>-9.1697025598525429E-3</v>
      </c>
    </row>
    <row r="2061" spans="1:3" x14ac:dyDescent="0.2">
      <c r="A2061" s="1">
        <v>43074</v>
      </c>
      <c r="B2061">
        <v>197.2</v>
      </c>
      <c r="C2061" s="2">
        <f t="shared" si="33"/>
        <v>-1.1595794161383205E-2</v>
      </c>
    </row>
    <row r="2062" spans="1:3" x14ac:dyDescent="0.2">
      <c r="A2062" s="1">
        <v>43073</v>
      </c>
      <c r="B2062">
        <v>199.5</v>
      </c>
      <c r="C2062" s="2">
        <f t="shared" si="33"/>
        <v>1.3626251711765056E-2</v>
      </c>
    </row>
    <row r="2063" spans="1:3" x14ac:dyDescent="0.2">
      <c r="A2063" s="1">
        <v>43070</v>
      </c>
      <c r="B2063">
        <v>196.8</v>
      </c>
      <c r="C2063" s="2">
        <f t="shared" si="33"/>
        <v>-5.068434570458729E-3</v>
      </c>
    </row>
    <row r="2064" spans="1:3" x14ac:dyDescent="0.2">
      <c r="A2064" s="1">
        <v>43069</v>
      </c>
      <c r="B2064">
        <v>197.8</v>
      </c>
      <c r="C2064" s="2">
        <f t="shared" si="33"/>
        <v>-1.0560822317742561E-2</v>
      </c>
    </row>
    <row r="2065" spans="1:3" x14ac:dyDescent="0.2">
      <c r="A2065" s="1">
        <v>43068</v>
      </c>
      <c r="B2065">
        <v>199.9</v>
      </c>
      <c r="C2065" s="2">
        <f t="shared" si="33"/>
        <v>-1.8340043170013243E-2</v>
      </c>
    </row>
    <row r="2066" spans="1:3" x14ac:dyDescent="0.2">
      <c r="A2066" s="1">
        <v>43067</v>
      </c>
      <c r="B2066">
        <v>203.6</v>
      </c>
      <c r="C2066" s="2">
        <f t="shared" si="33"/>
        <v>-2.4527851394314827E-3</v>
      </c>
    </row>
    <row r="2067" spans="1:3" x14ac:dyDescent="0.2">
      <c r="A2067" s="1">
        <v>43066</v>
      </c>
      <c r="B2067">
        <v>204.1</v>
      </c>
      <c r="C2067" s="2">
        <f t="shared" si="33"/>
        <v>1.4709490271745819E-3</v>
      </c>
    </row>
    <row r="2068" spans="1:3" x14ac:dyDescent="0.2">
      <c r="A2068" s="1">
        <v>43063</v>
      </c>
      <c r="B2068">
        <v>203.8</v>
      </c>
      <c r="C2068" s="2">
        <f t="shared" si="33"/>
        <v>-3.917732728901553E-3</v>
      </c>
    </row>
    <row r="2069" spans="1:3" x14ac:dyDescent="0.2">
      <c r="A2069" s="1">
        <v>43062</v>
      </c>
      <c r="B2069">
        <v>204.6</v>
      </c>
      <c r="C2069" s="2">
        <f t="shared" si="33"/>
        <v>-2.1755752917061749E-2</v>
      </c>
    </row>
    <row r="2070" spans="1:3" x14ac:dyDescent="0.2">
      <c r="A2070" s="1">
        <v>43061</v>
      </c>
      <c r="B2070">
        <v>209.1</v>
      </c>
      <c r="C2070" s="2">
        <f t="shared" si="33"/>
        <v>-1.0466318187423199E-2</v>
      </c>
    </row>
    <row r="2071" spans="1:3" x14ac:dyDescent="0.2">
      <c r="A2071" s="1">
        <v>43060</v>
      </c>
      <c r="B2071">
        <v>211.3</v>
      </c>
      <c r="C2071" s="2">
        <f t="shared" si="33"/>
        <v>1.4207911459444787E-3</v>
      </c>
    </row>
    <row r="2072" spans="1:3" x14ac:dyDescent="0.2">
      <c r="A2072" s="1">
        <v>43059</v>
      </c>
      <c r="B2072">
        <v>211</v>
      </c>
      <c r="C2072" s="2">
        <f t="shared" si="33"/>
        <v>1.4320053774748471E-2</v>
      </c>
    </row>
    <row r="2073" spans="1:3" x14ac:dyDescent="0.2">
      <c r="A2073" s="1">
        <v>43056</v>
      </c>
      <c r="B2073">
        <v>208</v>
      </c>
      <c r="C2073" s="2">
        <f t="shared" si="33"/>
        <v>1.2092045765028772E-2</v>
      </c>
    </row>
    <row r="2074" spans="1:3" x14ac:dyDescent="0.2">
      <c r="A2074" s="1">
        <v>43055</v>
      </c>
      <c r="B2074">
        <v>205.5</v>
      </c>
      <c r="C2074" s="2">
        <f t="shared" si="33"/>
        <v>9.2887492599215624E-3</v>
      </c>
    </row>
    <row r="2075" spans="1:3" x14ac:dyDescent="0.2">
      <c r="A2075" s="1">
        <v>43054</v>
      </c>
      <c r="B2075">
        <v>203.6</v>
      </c>
      <c r="C2075" s="2">
        <f t="shared" si="33"/>
        <v>-8.315039348520346E-3</v>
      </c>
    </row>
    <row r="2076" spans="1:3" x14ac:dyDescent="0.2">
      <c r="A2076" s="1">
        <v>43053</v>
      </c>
      <c r="B2076">
        <v>205.3</v>
      </c>
      <c r="C2076" s="2">
        <f t="shared" si="33"/>
        <v>2.9268313576440975E-3</v>
      </c>
    </row>
    <row r="2077" spans="1:3" x14ac:dyDescent="0.2">
      <c r="A2077" s="1">
        <v>43052</v>
      </c>
      <c r="B2077">
        <v>204.7</v>
      </c>
      <c r="C2077" s="2">
        <f t="shared" si="33"/>
        <v>1.4666343376944343E-3</v>
      </c>
    </row>
    <row r="2078" spans="1:3" x14ac:dyDescent="0.2">
      <c r="A2078" s="1">
        <v>43049</v>
      </c>
      <c r="B2078">
        <v>204.4</v>
      </c>
      <c r="C2078" s="2">
        <f t="shared" si="33"/>
        <v>9.7895259898419856E-4</v>
      </c>
    </row>
    <row r="2079" spans="1:3" x14ac:dyDescent="0.2">
      <c r="A2079" s="1">
        <v>43048</v>
      </c>
      <c r="B2079">
        <v>204.2</v>
      </c>
      <c r="C2079" s="2">
        <f t="shared" si="33"/>
        <v>-2.3712700704022715E-2</v>
      </c>
    </row>
    <row r="2080" spans="1:3" x14ac:dyDescent="0.2">
      <c r="A2080" s="1">
        <v>43047</v>
      </c>
      <c r="B2080">
        <v>209.1</v>
      </c>
      <c r="C2080" s="2">
        <f t="shared" si="33"/>
        <v>-2.1292500651451905E-2</v>
      </c>
    </row>
    <row r="2081" spans="1:3" x14ac:dyDescent="0.2">
      <c r="A2081" s="1">
        <v>43046</v>
      </c>
      <c r="B2081">
        <v>213.6</v>
      </c>
      <c r="C2081" s="2">
        <f t="shared" si="33"/>
        <v>-1.4035090023201979E-3</v>
      </c>
    </row>
    <row r="2082" spans="1:3" x14ac:dyDescent="0.2">
      <c r="A2082" s="1">
        <v>43045</v>
      </c>
      <c r="B2082">
        <v>213.9</v>
      </c>
      <c r="C2082" s="2">
        <f t="shared" si="33"/>
        <v>0</v>
      </c>
    </row>
    <row r="2083" spans="1:3" x14ac:dyDescent="0.2">
      <c r="A2083" s="1">
        <v>43042</v>
      </c>
      <c r="B2083">
        <v>213.9</v>
      </c>
      <c r="C2083" s="2">
        <f t="shared" si="33"/>
        <v>1.2229691466348896E-2</v>
      </c>
    </row>
    <row r="2084" spans="1:3" x14ac:dyDescent="0.2">
      <c r="A2084" s="1">
        <v>43041</v>
      </c>
      <c r="B2084">
        <v>211.3</v>
      </c>
      <c r="C2084" s="2">
        <f t="shared" si="33"/>
        <v>-1.4187753621332591E-3</v>
      </c>
    </row>
    <row r="2085" spans="1:3" x14ac:dyDescent="0.2">
      <c r="A2085" s="1">
        <v>43040</v>
      </c>
      <c r="B2085">
        <v>211.6</v>
      </c>
      <c r="C2085" s="2">
        <f t="shared" si="33"/>
        <v>-2.3601615864924912E-3</v>
      </c>
    </row>
    <row r="2086" spans="1:3" x14ac:dyDescent="0.2">
      <c r="A2086" s="1">
        <v>43039</v>
      </c>
      <c r="B2086">
        <v>212.1</v>
      </c>
      <c r="C2086" s="2">
        <f t="shared" si="33"/>
        <v>5.6737740859078749E-3</v>
      </c>
    </row>
    <row r="2087" spans="1:3" x14ac:dyDescent="0.2">
      <c r="A2087" s="1">
        <v>43038</v>
      </c>
      <c r="B2087">
        <v>210.9</v>
      </c>
      <c r="C2087" s="2">
        <f t="shared" si="33"/>
        <v>-9.9080782246961877E-3</v>
      </c>
    </row>
    <row r="2088" spans="1:3" x14ac:dyDescent="0.2">
      <c r="A2088" s="1">
        <v>43035</v>
      </c>
      <c r="B2088">
        <v>213</v>
      </c>
      <c r="C2088" s="2">
        <f t="shared" si="33"/>
        <v>2.423497084545775E-2</v>
      </c>
    </row>
    <row r="2089" spans="1:3" x14ac:dyDescent="0.2">
      <c r="A2089" s="1">
        <v>43034</v>
      </c>
      <c r="B2089">
        <v>207.9</v>
      </c>
      <c r="C2089" s="2">
        <f t="shared" si="33"/>
        <v>1.8447125048168159E-2</v>
      </c>
    </row>
    <row r="2090" spans="1:3" x14ac:dyDescent="0.2">
      <c r="A2090" s="1">
        <v>43033</v>
      </c>
      <c r="B2090">
        <v>204.1</v>
      </c>
      <c r="C2090" s="2">
        <f t="shared" si="33"/>
        <v>-6.34922767865878E-3</v>
      </c>
    </row>
    <row r="2091" spans="1:3" x14ac:dyDescent="0.2">
      <c r="A2091" s="1">
        <v>43032</v>
      </c>
      <c r="B2091">
        <v>205.4</v>
      </c>
      <c r="C2091" s="2">
        <f t="shared" si="33"/>
        <v>-1.2097897369509409E-2</v>
      </c>
    </row>
    <row r="2092" spans="1:3" x14ac:dyDescent="0.2">
      <c r="A2092" s="1">
        <v>43031</v>
      </c>
      <c r="B2092">
        <v>207.9</v>
      </c>
      <c r="C2092" s="2">
        <f t="shared" si="33"/>
        <v>1.4535139619113223E-2</v>
      </c>
    </row>
    <row r="2093" spans="1:3" x14ac:dyDescent="0.2">
      <c r="A2093" s="1">
        <v>43028</v>
      </c>
      <c r="B2093">
        <v>204.9</v>
      </c>
      <c r="C2093" s="2">
        <f t="shared" si="33"/>
        <v>1.9540797619977319E-3</v>
      </c>
    </row>
    <row r="2094" spans="1:3" x14ac:dyDescent="0.2">
      <c r="A2094" s="1">
        <v>43027</v>
      </c>
      <c r="B2094">
        <v>204.5</v>
      </c>
      <c r="C2094" s="2">
        <f t="shared" si="33"/>
        <v>2.4479816386400372E-3</v>
      </c>
    </row>
    <row r="2095" spans="1:3" x14ac:dyDescent="0.2">
      <c r="A2095" s="1">
        <v>43026</v>
      </c>
      <c r="B2095">
        <v>204</v>
      </c>
      <c r="C2095" s="2">
        <f t="shared" si="33"/>
        <v>3.4372732099152842E-3</v>
      </c>
    </row>
    <row r="2096" spans="1:3" x14ac:dyDescent="0.2">
      <c r="A2096" s="1">
        <v>43025</v>
      </c>
      <c r="B2096">
        <v>203.3</v>
      </c>
      <c r="C2096" s="2">
        <f t="shared" si="33"/>
        <v>4.920049299742327E-4</v>
      </c>
    </row>
    <row r="2097" spans="1:3" x14ac:dyDescent="0.2">
      <c r="A2097" s="1">
        <v>43024</v>
      </c>
      <c r="B2097">
        <v>203.2</v>
      </c>
      <c r="C2097" s="2">
        <f t="shared" si="33"/>
        <v>1.9704439872985169E-3</v>
      </c>
    </row>
    <row r="2098" spans="1:3" x14ac:dyDescent="0.2">
      <c r="A2098" s="1">
        <v>43021</v>
      </c>
      <c r="B2098">
        <v>202.8</v>
      </c>
      <c r="C2098" s="2">
        <f t="shared" si="33"/>
        <v>6.9272914325662583E-3</v>
      </c>
    </row>
    <row r="2099" spans="1:3" x14ac:dyDescent="0.2">
      <c r="A2099" s="1">
        <v>43020</v>
      </c>
      <c r="B2099">
        <v>201.4</v>
      </c>
      <c r="C2099" s="2">
        <f t="shared" si="33"/>
        <v>1.4906835058557237E-3</v>
      </c>
    </row>
    <row r="2100" spans="1:3" x14ac:dyDescent="0.2">
      <c r="A2100" s="1">
        <v>43019</v>
      </c>
      <c r="B2100">
        <v>201.1</v>
      </c>
      <c r="C2100" s="2">
        <f t="shared" si="33"/>
        <v>9.9950857084556699E-3</v>
      </c>
    </row>
    <row r="2101" spans="1:3" x14ac:dyDescent="0.2">
      <c r="A2101" s="1">
        <v>43018</v>
      </c>
      <c r="B2101">
        <v>199.1</v>
      </c>
      <c r="C2101" s="2">
        <f t="shared" si="33"/>
        <v>-9.9950857084557983E-3</v>
      </c>
    </row>
    <row r="2102" spans="1:3" x14ac:dyDescent="0.2">
      <c r="A2102" s="1">
        <v>43017</v>
      </c>
      <c r="B2102">
        <v>201.1</v>
      </c>
      <c r="C2102" s="2">
        <f t="shared" si="33"/>
        <v>9.9502495771746605E-4</v>
      </c>
    </row>
    <row r="2103" spans="1:3" x14ac:dyDescent="0.2">
      <c r="A2103" s="1">
        <v>43014</v>
      </c>
      <c r="B2103">
        <v>200.9</v>
      </c>
      <c r="C2103" s="2">
        <f t="shared" si="33"/>
        <v>-3.9741731392772634E-3</v>
      </c>
    </row>
    <row r="2104" spans="1:3" x14ac:dyDescent="0.2">
      <c r="A2104" s="1">
        <v>43013</v>
      </c>
      <c r="B2104">
        <v>201.7</v>
      </c>
      <c r="C2104" s="2">
        <f t="shared" si="33"/>
        <v>-9.9108035862583116E-4</v>
      </c>
    </row>
    <row r="2105" spans="1:3" x14ac:dyDescent="0.2">
      <c r="A2105" s="1">
        <v>43012</v>
      </c>
      <c r="B2105">
        <v>201.9</v>
      </c>
      <c r="C2105" s="2">
        <f t="shared" si="33"/>
        <v>-4.4477463982363647E-3</v>
      </c>
    </row>
    <row r="2106" spans="1:3" x14ac:dyDescent="0.2">
      <c r="A2106" s="1">
        <v>43011</v>
      </c>
      <c r="B2106">
        <v>202.8</v>
      </c>
      <c r="C2106" s="2">
        <f t="shared" si="33"/>
        <v>1.6406035387109941E-2</v>
      </c>
    </row>
    <row r="2107" spans="1:3" x14ac:dyDescent="0.2">
      <c r="A2107" s="1">
        <v>43010</v>
      </c>
      <c r="B2107">
        <v>199.5</v>
      </c>
      <c r="C2107" s="2">
        <f t="shared" si="33"/>
        <v>3.0120504699916212E-3</v>
      </c>
    </row>
    <row r="2108" spans="1:3" x14ac:dyDescent="0.2">
      <c r="A2108" s="1">
        <v>43007</v>
      </c>
      <c r="B2108">
        <v>198.9</v>
      </c>
      <c r="C2108" s="2">
        <f t="shared" si="33"/>
        <v>1.5094342488543404E-3</v>
      </c>
    </row>
    <row r="2109" spans="1:3" x14ac:dyDescent="0.2">
      <c r="A2109" s="1">
        <v>43006</v>
      </c>
      <c r="B2109">
        <v>198.6</v>
      </c>
      <c r="C2109" s="2">
        <f t="shared" si="33"/>
        <v>1.063032030175633E-2</v>
      </c>
    </row>
    <row r="2110" spans="1:3" x14ac:dyDescent="0.2">
      <c r="A2110" s="1">
        <v>43005</v>
      </c>
      <c r="B2110">
        <v>196.5</v>
      </c>
      <c r="C2110" s="2">
        <f t="shared" si="33"/>
        <v>4.079556907285343E-3</v>
      </c>
    </row>
    <row r="2111" spans="1:3" x14ac:dyDescent="0.2">
      <c r="A2111" s="1">
        <v>43004</v>
      </c>
      <c r="B2111">
        <v>195.7</v>
      </c>
      <c r="C2111" s="2">
        <f t="shared" si="33"/>
        <v>5.122962023876518E-3</v>
      </c>
    </row>
    <row r="2112" spans="1:3" x14ac:dyDescent="0.2">
      <c r="A2112" s="1">
        <v>43003</v>
      </c>
      <c r="B2112">
        <v>194.7</v>
      </c>
      <c r="C2112" s="2">
        <f t="shared" si="33"/>
        <v>-8.6934835422116229E-3</v>
      </c>
    </row>
    <row r="2113" spans="1:3" x14ac:dyDescent="0.2">
      <c r="A2113" s="1">
        <v>43000</v>
      </c>
      <c r="B2113">
        <v>196.4</v>
      </c>
      <c r="C2113" s="2">
        <f t="shared" si="33"/>
        <v>5.1046563116830517E-3</v>
      </c>
    </row>
    <row r="2114" spans="1:3" x14ac:dyDescent="0.2">
      <c r="A2114" s="1">
        <v>42999</v>
      </c>
      <c r="B2114">
        <v>195.4</v>
      </c>
      <c r="C2114" s="2">
        <f t="shared" si="33"/>
        <v>1.339535743223708E-2</v>
      </c>
    </row>
    <row r="2115" spans="1:3" x14ac:dyDescent="0.2">
      <c r="A2115" s="1">
        <v>42998</v>
      </c>
      <c r="B2115">
        <v>192.8</v>
      </c>
      <c r="C2115" s="2">
        <f t="shared" ref="C2115:C2178" si="34">+LN(B2115/B2116)</f>
        <v>1.0378828124202432E-3</v>
      </c>
    </row>
    <row r="2116" spans="1:3" x14ac:dyDescent="0.2">
      <c r="A2116" s="1">
        <v>42997</v>
      </c>
      <c r="B2116">
        <v>192.6</v>
      </c>
      <c r="C2116" s="2">
        <f t="shared" si="34"/>
        <v>1.5588467692910996E-3</v>
      </c>
    </row>
    <row r="2117" spans="1:3" x14ac:dyDescent="0.2">
      <c r="A2117" s="1">
        <v>42996</v>
      </c>
      <c r="B2117">
        <v>192.3</v>
      </c>
      <c r="C2117" s="2">
        <f t="shared" si="34"/>
        <v>1.4140062773812693E-2</v>
      </c>
    </row>
    <row r="2118" spans="1:3" x14ac:dyDescent="0.2">
      <c r="A2118" s="1">
        <v>42993</v>
      </c>
      <c r="B2118">
        <v>189.6</v>
      </c>
      <c r="C2118" s="2">
        <f t="shared" si="34"/>
        <v>-4.2105325363436053E-3</v>
      </c>
    </row>
    <row r="2119" spans="1:3" x14ac:dyDescent="0.2">
      <c r="A2119" s="1">
        <v>42992</v>
      </c>
      <c r="B2119">
        <v>190.4</v>
      </c>
      <c r="C2119" s="2">
        <f t="shared" si="34"/>
        <v>3.15623618143741E-3</v>
      </c>
    </row>
    <row r="2120" spans="1:3" x14ac:dyDescent="0.2">
      <c r="A2120" s="1">
        <v>42991</v>
      </c>
      <c r="B2120">
        <v>189.8</v>
      </c>
      <c r="C2120" s="2">
        <f t="shared" si="34"/>
        <v>-1.05318598465859E-3</v>
      </c>
    </row>
    <row r="2121" spans="1:3" x14ac:dyDescent="0.2">
      <c r="A2121" s="1">
        <v>42990</v>
      </c>
      <c r="B2121">
        <v>190</v>
      </c>
      <c r="C2121" s="2">
        <f t="shared" si="34"/>
        <v>3.6910139452089484E-3</v>
      </c>
    </row>
    <row r="2122" spans="1:3" x14ac:dyDescent="0.2">
      <c r="A2122" s="1">
        <v>42989</v>
      </c>
      <c r="B2122">
        <v>189.3</v>
      </c>
      <c r="C2122" s="2">
        <f t="shared" si="34"/>
        <v>1.43657698020339E-2</v>
      </c>
    </row>
    <row r="2123" spans="1:3" x14ac:dyDescent="0.2">
      <c r="A2123" s="1">
        <v>42986</v>
      </c>
      <c r="B2123">
        <v>186.6</v>
      </c>
    </row>
    <row r="2124" spans="1:3" x14ac:dyDescent="0.2">
      <c r="A2124" s="1">
        <v>42985</v>
      </c>
      <c r="B2124">
        <v>185.8</v>
      </c>
      <c r="C2124" s="2">
        <f t="shared" si="34"/>
        <v>2.5069432770859205E-2</v>
      </c>
    </row>
    <row r="2125" spans="1:3" x14ac:dyDescent="0.2">
      <c r="A2125" s="1">
        <v>42984</v>
      </c>
      <c r="B2125">
        <v>181.2</v>
      </c>
      <c r="C2125" s="2">
        <f t="shared" si="34"/>
        <v>-2.7555817932465414E-3</v>
      </c>
    </row>
    <row r="2126" spans="1:3" x14ac:dyDescent="0.2">
      <c r="A2126" s="1">
        <v>42983</v>
      </c>
      <c r="B2126">
        <v>181.7</v>
      </c>
      <c r="C2126" s="2">
        <f t="shared" si="34"/>
        <v>-5.502063412530573E-4</v>
      </c>
    </row>
    <row r="2127" spans="1:3" x14ac:dyDescent="0.2">
      <c r="A2127" s="1">
        <v>42982</v>
      </c>
      <c r="B2127">
        <v>181.8</v>
      </c>
      <c r="C2127" s="2">
        <f t="shared" si="34"/>
        <v>-6.0323736534415124E-3</v>
      </c>
    </row>
    <row r="2128" spans="1:3" x14ac:dyDescent="0.2">
      <c r="A2128" s="1">
        <v>42979</v>
      </c>
      <c r="B2128">
        <v>182.9</v>
      </c>
      <c r="C2128" s="2">
        <f t="shared" si="34"/>
        <v>1.5982704506609709E-2</v>
      </c>
    </row>
    <row r="2129" spans="1:3" x14ac:dyDescent="0.2">
      <c r="A2129" s="1">
        <v>42978</v>
      </c>
      <c r="B2129">
        <v>180</v>
      </c>
      <c r="C2129" s="2">
        <f t="shared" si="34"/>
        <v>5.0125418235444138E-3</v>
      </c>
    </row>
    <row r="2130" spans="1:3" x14ac:dyDescent="0.2">
      <c r="A2130" s="1">
        <v>42977</v>
      </c>
      <c r="B2130">
        <v>179.1</v>
      </c>
      <c r="C2130" s="2">
        <f t="shared" si="34"/>
        <v>3.9160889207569645E-3</v>
      </c>
    </row>
    <row r="2131" spans="1:3" x14ac:dyDescent="0.2">
      <c r="A2131" s="1">
        <v>42976</v>
      </c>
      <c r="B2131">
        <v>178.4</v>
      </c>
      <c r="C2131" s="2">
        <f t="shared" si="34"/>
        <v>-1.5021144743458633E-2</v>
      </c>
    </row>
    <row r="2132" spans="1:3" x14ac:dyDescent="0.2">
      <c r="A2132" s="1">
        <v>42975</v>
      </c>
      <c r="B2132">
        <v>181.1</v>
      </c>
      <c r="C2132" s="2">
        <f t="shared" si="34"/>
        <v>-9.3432941306820193E-3</v>
      </c>
    </row>
    <row r="2133" spans="1:3" x14ac:dyDescent="0.2">
      <c r="A2133" s="1">
        <v>42972</v>
      </c>
      <c r="B2133">
        <v>182.8</v>
      </c>
      <c r="C2133" s="2">
        <f t="shared" si="34"/>
        <v>2.1905813798186818E-3</v>
      </c>
    </row>
    <row r="2134" spans="1:3" x14ac:dyDescent="0.2">
      <c r="A2134" s="1">
        <v>42971</v>
      </c>
      <c r="B2134">
        <v>182.4</v>
      </c>
      <c r="C2134" s="2">
        <f t="shared" si="34"/>
        <v>-5.4674821821335011E-3</v>
      </c>
    </row>
    <row r="2135" spans="1:3" x14ac:dyDescent="0.2">
      <c r="A2135" s="1">
        <v>42970</v>
      </c>
      <c r="B2135">
        <v>183.4</v>
      </c>
      <c r="C2135" s="2">
        <f t="shared" si="34"/>
        <v>-8.6862652559603678E-3</v>
      </c>
    </row>
    <row r="2136" spans="1:3" x14ac:dyDescent="0.2">
      <c r="A2136" s="1">
        <v>42969</v>
      </c>
      <c r="B2136">
        <v>185</v>
      </c>
      <c r="C2136" s="2">
        <f t="shared" si="34"/>
        <v>1.6898739554248116E-2</v>
      </c>
    </row>
    <row r="2137" spans="1:3" x14ac:dyDescent="0.2">
      <c r="A2137" s="1">
        <v>42968</v>
      </c>
      <c r="B2137">
        <v>181.9</v>
      </c>
      <c r="C2137" s="2">
        <f t="shared" si="34"/>
        <v>-3.8408826367914194E-3</v>
      </c>
    </row>
    <row r="2138" spans="1:3" x14ac:dyDescent="0.2">
      <c r="A2138" s="1">
        <v>42965</v>
      </c>
      <c r="B2138">
        <v>182.6</v>
      </c>
      <c r="C2138" s="2">
        <f t="shared" si="34"/>
        <v>-4.3715916614964368E-3</v>
      </c>
    </row>
    <row r="2139" spans="1:3" x14ac:dyDescent="0.2">
      <c r="A2139" s="1">
        <v>42964</v>
      </c>
      <c r="B2139">
        <v>183.4</v>
      </c>
      <c r="C2139" s="2">
        <f t="shared" si="34"/>
        <v>-9.7667623897144239E-3</v>
      </c>
    </row>
    <row r="2140" spans="1:3" x14ac:dyDescent="0.2">
      <c r="A2140" s="1">
        <v>42963</v>
      </c>
      <c r="B2140">
        <v>185.2</v>
      </c>
      <c r="C2140" s="2">
        <f t="shared" si="34"/>
        <v>7.5881122904921591E-3</v>
      </c>
    </row>
    <row r="2141" spans="1:3" x14ac:dyDescent="0.2">
      <c r="A2141" s="1">
        <v>42962</v>
      </c>
      <c r="B2141">
        <v>183.8</v>
      </c>
      <c r="C2141" s="2">
        <f t="shared" si="34"/>
        <v>-1.1360684805811573E-2</v>
      </c>
    </row>
    <row r="2142" spans="1:3" x14ac:dyDescent="0.2">
      <c r="A2142" s="1">
        <v>42961</v>
      </c>
      <c r="B2142">
        <v>185.9</v>
      </c>
      <c r="C2142" s="2">
        <f t="shared" si="34"/>
        <v>1.3539334905033904E-2</v>
      </c>
    </row>
    <row r="2143" spans="1:3" x14ac:dyDescent="0.2">
      <c r="A2143" s="1">
        <v>42958</v>
      </c>
      <c r="B2143">
        <v>183.4</v>
      </c>
      <c r="C2143" s="2">
        <f t="shared" si="34"/>
        <v>-1.9439057032222068E-2</v>
      </c>
    </row>
    <row r="2144" spans="1:3" x14ac:dyDescent="0.2">
      <c r="A2144" s="1">
        <v>42957</v>
      </c>
      <c r="B2144">
        <v>187</v>
      </c>
      <c r="C2144" s="2">
        <f t="shared" si="34"/>
        <v>-1.0109157652877324E-2</v>
      </c>
    </row>
    <row r="2145" spans="1:3" x14ac:dyDescent="0.2">
      <c r="A2145" s="1">
        <v>42956</v>
      </c>
      <c r="B2145">
        <v>188.9</v>
      </c>
      <c r="C2145" s="2">
        <f t="shared" si="34"/>
        <v>-2.6434062445139898E-3</v>
      </c>
    </row>
    <row r="2146" spans="1:3" x14ac:dyDescent="0.2">
      <c r="A2146" s="1">
        <v>42955</v>
      </c>
      <c r="B2146">
        <v>189.4</v>
      </c>
      <c r="C2146" s="2">
        <f t="shared" si="34"/>
        <v>2.1141656923355564E-3</v>
      </c>
    </row>
    <row r="2147" spans="1:3" x14ac:dyDescent="0.2">
      <c r="A2147" s="1">
        <v>42954</v>
      </c>
      <c r="B2147">
        <v>189</v>
      </c>
      <c r="C2147" s="2">
        <f t="shared" si="34"/>
        <v>5.3050522296930981E-3</v>
      </c>
    </row>
    <row r="2148" spans="1:3" x14ac:dyDescent="0.2">
      <c r="A2148" s="1">
        <v>42951</v>
      </c>
      <c r="B2148">
        <v>188</v>
      </c>
      <c r="C2148" s="2">
        <f t="shared" si="34"/>
        <v>1.2309494471289067E-2</v>
      </c>
    </row>
    <row r="2149" spans="1:3" x14ac:dyDescent="0.2">
      <c r="A2149" s="1">
        <v>42950</v>
      </c>
      <c r="B2149">
        <v>185.7</v>
      </c>
      <c r="C2149" s="2">
        <f t="shared" si="34"/>
        <v>3.2362487792083248E-3</v>
      </c>
    </row>
    <row r="2150" spans="1:3" x14ac:dyDescent="0.2">
      <c r="A2150" s="1">
        <v>42949</v>
      </c>
      <c r="B2150">
        <v>185.1</v>
      </c>
      <c r="C2150" s="2">
        <f t="shared" si="34"/>
        <v>-1.0799137118623734E-3</v>
      </c>
    </row>
    <row r="2151" spans="1:3" x14ac:dyDescent="0.2">
      <c r="A2151" s="1">
        <v>42948</v>
      </c>
      <c r="B2151">
        <v>185.3</v>
      </c>
      <c r="C2151" s="2">
        <f t="shared" si="34"/>
        <v>2.6799525662790757E-2</v>
      </c>
    </row>
    <row r="2152" spans="1:3" x14ac:dyDescent="0.2">
      <c r="A2152" s="1">
        <v>42947</v>
      </c>
      <c r="B2152">
        <v>180.4</v>
      </c>
      <c r="C2152" s="2">
        <f t="shared" si="34"/>
        <v>-3.872757260844354E-3</v>
      </c>
    </row>
    <row r="2153" spans="1:3" x14ac:dyDescent="0.2">
      <c r="A2153" s="1">
        <v>42944</v>
      </c>
      <c r="B2153">
        <v>181.1</v>
      </c>
      <c r="C2153" s="2">
        <f t="shared" si="34"/>
        <v>-1.4798845032219083E-2</v>
      </c>
    </row>
    <row r="2154" spans="1:3" x14ac:dyDescent="0.2">
      <c r="A2154" s="1">
        <v>42943</v>
      </c>
      <c r="B2154">
        <v>183.8</v>
      </c>
      <c r="C2154" s="2">
        <f t="shared" si="34"/>
        <v>-9.7456104305133975E-3</v>
      </c>
    </row>
    <row r="2155" spans="1:3" x14ac:dyDescent="0.2">
      <c r="A2155" s="1">
        <v>42942</v>
      </c>
      <c r="B2155">
        <v>185.6</v>
      </c>
      <c r="C2155" s="2">
        <f t="shared" si="34"/>
        <v>2.6976007726483352E-3</v>
      </c>
    </row>
    <row r="2156" spans="1:3" x14ac:dyDescent="0.2">
      <c r="A2156" s="1">
        <v>42941</v>
      </c>
      <c r="B2156">
        <v>185.1</v>
      </c>
      <c r="C2156" s="2">
        <f t="shared" si="34"/>
        <v>5.4171313404197587E-3</v>
      </c>
    </row>
    <row r="2157" spans="1:3" x14ac:dyDescent="0.2">
      <c r="A2157" s="1">
        <v>42940</v>
      </c>
      <c r="B2157">
        <v>184.1</v>
      </c>
      <c r="C2157" s="2">
        <f t="shared" si="34"/>
        <v>-1.8299757171433336E-2</v>
      </c>
    </row>
    <row r="2158" spans="1:3" x14ac:dyDescent="0.2">
      <c r="A2158" s="1">
        <v>42937</v>
      </c>
      <c r="B2158">
        <v>187.5</v>
      </c>
      <c r="C2158" s="2">
        <f t="shared" si="34"/>
        <v>-1.1137744410455872E-2</v>
      </c>
    </row>
    <row r="2159" spans="1:3" x14ac:dyDescent="0.2">
      <c r="A2159" s="1">
        <v>42936</v>
      </c>
      <c r="B2159">
        <v>189.6</v>
      </c>
      <c r="C2159" s="2">
        <f t="shared" si="34"/>
        <v>-2.1074823395646983E-3</v>
      </c>
    </row>
    <row r="2160" spans="1:3" x14ac:dyDescent="0.2">
      <c r="A2160" s="1">
        <v>42935</v>
      </c>
      <c r="B2160">
        <v>190</v>
      </c>
      <c r="C2160" s="2">
        <f t="shared" si="34"/>
        <v>2.6350476380050318E-3</v>
      </c>
    </row>
    <row r="2161" spans="1:3" x14ac:dyDescent="0.2">
      <c r="A2161" s="1">
        <v>42934</v>
      </c>
      <c r="B2161">
        <v>189.5</v>
      </c>
      <c r="C2161" s="2">
        <f t="shared" si="34"/>
        <v>-7.88440352414887E-3</v>
      </c>
    </row>
    <row r="2162" spans="1:3" x14ac:dyDescent="0.2">
      <c r="A2162" s="1">
        <v>42933</v>
      </c>
      <c r="B2162">
        <v>191</v>
      </c>
      <c r="C2162" s="2">
        <f t="shared" si="34"/>
        <v>4.3333872649809757E-2</v>
      </c>
    </row>
    <row r="2163" spans="1:3" x14ac:dyDescent="0.2">
      <c r="A2163" s="1">
        <v>42930</v>
      </c>
      <c r="B2163">
        <v>182.9</v>
      </c>
      <c r="C2163" s="2">
        <f t="shared" si="34"/>
        <v>7.6839016919145317E-3</v>
      </c>
    </row>
    <row r="2164" spans="1:3" x14ac:dyDescent="0.2">
      <c r="A2164" s="1">
        <v>42929</v>
      </c>
      <c r="B2164">
        <v>181.5</v>
      </c>
      <c r="C2164" s="2">
        <f t="shared" si="34"/>
        <v>-1.4766470116300895E-2</v>
      </c>
    </row>
    <row r="2165" spans="1:3" x14ac:dyDescent="0.2">
      <c r="A2165" s="1">
        <v>42928</v>
      </c>
      <c r="B2165">
        <v>184.2</v>
      </c>
      <c r="C2165" s="2">
        <f t="shared" si="34"/>
        <v>2.7519623280376465E-2</v>
      </c>
    </row>
    <row r="2166" spans="1:3" x14ac:dyDescent="0.2">
      <c r="A2166" s="1">
        <v>42927</v>
      </c>
      <c r="B2166">
        <v>179.2</v>
      </c>
      <c r="C2166" s="2">
        <f t="shared" si="34"/>
        <v>1.67551002615659E-3</v>
      </c>
    </row>
    <row r="2167" spans="1:3" x14ac:dyDescent="0.2">
      <c r="A2167" s="1">
        <v>42926</v>
      </c>
      <c r="B2167">
        <v>178.9</v>
      </c>
      <c r="C2167" s="2">
        <f t="shared" si="34"/>
        <v>2.8921777683381868E-2</v>
      </c>
    </row>
    <row r="2168" spans="1:3" x14ac:dyDescent="0.2">
      <c r="A2168" s="1">
        <v>42923</v>
      </c>
      <c r="B2168">
        <v>173.8</v>
      </c>
      <c r="C2168" s="2">
        <f t="shared" si="34"/>
        <v>0</v>
      </c>
    </row>
    <row r="2169" spans="1:3" x14ac:dyDescent="0.2">
      <c r="A2169" s="1">
        <v>42922</v>
      </c>
      <c r="B2169">
        <v>173.8</v>
      </c>
      <c r="C2169" s="2">
        <f t="shared" si="34"/>
        <v>1.1514106050420575E-3</v>
      </c>
    </row>
    <row r="2170" spans="1:3" x14ac:dyDescent="0.2">
      <c r="A2170" s="1">
        <v>42921</v>
      </c>
      <c r="B2170">
        <v>173.6</v>
      </c>
      <c r="C2170" s="2">
        <f t="shared" si="34"/>
        <v>1.1527378798082617E-3</v>
      </c>
    </row>
    <row r="2171" spans="1:3" x14ac:dyDescent="0.2">
      <c r="A2171" s="1">
        <v>42920</v>
      </c>
      <c r="B2171">
        <v>173.4</v>
      </c>
      <c r="C2171" s="2">
        <f t="shared" si="34"/>
        <v>-1.1527378798082853E-3</v>
      </c>
    </row>
    <row r="2172" spans="1:3" x14ac:dyDescent="0.2">
      <c r="A2172" s="1">
        <v>42919</v>
      </c>
      <c r="B2172">
        <v>173.6</v>
      </c>
      <c r="C2172" s="2">
        <f t="shared" si="34"/>
        <v>6.9364439966569484E-3</v>
      </c>
    </row>
    <row r="2173" spans="1:3" x14ac:dyDescent="0.2">
      <c r="A2173" s="1">
        <v>42916</v>
      </c>
      <c r="B2173">
        <v>172.4</v>
      </c>
      <c r="C2173" s="2">
        <f t="shared" si="34"/>
        <v>-4.0521039525707745E-3</v>
      </c>
    </row>
    <row r="2174" spans="1:3" x14ac:dyDescent="0.2">
      <c r="A2174" s="1">
        <v>42915</v>
      </c>
      <c r="B2174">
        <v>173.1</v>
      </c>
      <c r="C2174" s="2">
        <f t="shared" si="34"/>
        <v>-2.6227272978442021E-2</v>
      </c>
    </row>
    <row r="2175" spans="1:3" x14ac:dyDescent="0.2">
      <c r="A2175" s="1">
        <v>42914</v>
      </c>
      <c r="B2175">
        <v>177.7</v>
      </c>
      <c r="C2175" s="2">
        <f t="shared" si="34"/>
        <v>-8.9636454504817172E-3</v>
      </c>
    </row>
    <row r="2176" spans="1:3" x14ac:dyDescent="0.2">
      <c r="A2176" s="1">
        <v>42913</v>
      </c>
      <c r="B2176">
        <v>179.3</v>
      </c>
      <c r="C2176" s="2">
        <f t="shared" si="34"/>
        <v>-1.5495606122474996E-2</v>
      </c>
    </row>
    <row r="2177" spans="1:3" x14ac:dyDescent="0.2">
      <c r="A2177" s="1">
        <v>42912</v>
      </c>
      <c r="B2177">
        <v>182.1</v>
      </c>
      <c r="C2177" s="2">
        <f t="shared" si="34"/>
        <v>0</v>
      </c>
    </row>
    <row r="2178" spans="1:3" x14ac:dyDescent="0.2">
      <c r="A2178" s="1">
        <v>42908</v>
      </c>
      <c r="B2178">
        <v>182.1</v>
      </c>
      <c r="C2178" s="2">
        <f t="shared" si="34"/>
        <v>3.8057194806373359E-2</v>
      </c>
    </row>
    <row r="2179" spans="1:3" x14ac:dyDescent="0.2">
      <c r="A2179" s="1">
        <v>42907</v>
      </c>
      <c r="B2179">
        <v>175.3</v>
      </c>
      <c r="C2179" s="2">
        <f t="shared" ref="C2179:C2242" si="35">+LN(B2179/B2180)</f>
        <v>-3.4168598163236809E-3</v>
      </c>
    </row>
    <row r="2180" spans="1:3" x14ac:dyDescent="0.2">
      <c r="A2180" s="1">
        <v>42906</v>
      </c>
      <c r="B2180">
        <v>175.9</v>
      </c>
      <c r="C2180" s="2">
        <f t="shared" si="35"/>
        <v>-1.6352210995901305E-2</v>
      </c>
    </row>
    <row r="2181" spans="1:3" x14ac:dyDescent="0.2">
      <c r="A2181" s="1">
        <v>42905</v>
      </c>
      <c r="B2181">
        <v>178.8</v>
      </c>
      <c r="C2181" s="2">
        <f t="shared" si="35"/>
        <v>1.7489867546362493E-2</v>
      </c>
    </row>
    <row r="2182" spans="1:3" x14ac:dyDescent="0.2">
      <c r="A2182" s="1">
        <v>42902</v>
      </c>
      <c r="B2182">
        <v>175.7</v>
      </c>
      <c r="C2182" s="2">
        <f t="shared" si="35"/>
        <v>2.5945531485409738E-2</v>
      </c>
    </row>
    <row r="2183" spans="1:3" x14ac:dyDescent="0.2">
      <c r="A2183" s="1">
        <v>42901</v>
      </c>
      <c r="B2183">
        <v>171.2</v>
      </c>
      <c r="C2183" s="2">
        <f t="shared" si="35"/>
        <v>-8.1443149416858627E-3</v>
      </c>
    </row>
    <row r="2184" spans="1:3" x14ac:dyDescent="0.2">
      <c r="A2184" s="1">
        <v>42900</v>
      </c>
      <c r="B2184">
        <v>172.6</v>
      </c>
      <c r="C2184" s="2">
        <f t="shared" si="35"/>
        <v>-4.0474180722329372E-3</v>
      </c>
    </row>
    <row r="2185" spans="1:3" x14ac:dyDescent="0.2">
      <c r="A2185" s="1">
        <v>42899</v>
      </c>
      <c r="B2185">
        <v>173.3</v>
      </c>
      <c r="C2185" s="2">
        <f t="shared" si="35"/>
        <v>6.9484935040667242E-3</v>
      </c>
    </row>
    <row r="2186" spans="1:3" x14ac:dyDescent="0.2">
      <c r="A2186" s="1">
        <v>42898</v>
      </c>
      <c r="B2186">
        <v>172.1</v>
      </c>
      <c r="C2186" s="2">
        <f t="shared" si="35"/>
        <v>-1.2128361200908619E-2</v>
      </c>
    </row>
    <row r="2187" spans="1:3" x14ac:dyDescent="0.2">
      <c r="A2187" s="1">
        <v>42895</v>
      </c>
      <c r="B2187">
        <v>174.2</v>
      </c>
      <c r="C2187" s="2">
        <f t="shared" si="35"/>
        <v>1.0386706188809623E-2</v>
      </c>
    </row>
    <row r="2188" spans="1:3" x14ac:dyDescent="0.2">
      <c r="A2188" s="1">
        <v>42894</v>
      </c>
      <c r="B2188">
        <v>172.4</v>
      </c>
      <c r="C2188" s="2">
        <f t="shared" si="35"/>
        <v>-5.206838491967754E-3</v>
      </c>
    </row>
    <row r="2189" spans="1:3" x14ac:dyDescent="0.2">
      <c r="A2189" s="1">
        <v>42893</v>
      </c>
      <c r="B2189">
        <v>173.3</v>
      </c>
      <c r="C2189" s="2">
        <f t="shared" si="35"/>
        <v>3.4682115689275783E-3</v>
      </c>
    </row>
    <row r="2190" spans="1:3" x14ac:dyDescent="0.2">
      <c r="A2190" s="1">
        <v>42891</v>
      </c>
      <c r="B2190">
        <v>172.7</v>
      </c>
      <c r="C2190" s="2">
        <f t="shared" si="35"/>
        <v>-1.036875648984896E-2</v>
      </c>
    </row>
    <row r="2191" spans="1:3" x14ac:dyDescent="0.2">
      <c r="A2191" s="1">
        <v>42888</v>
      </c>
      <c r="B2191">
        <v>174.5</v>
      </c>
      <c r="C2191" s="2">
        <f t="shared" si="35"/>
        <v>2.869442427952739E-3</v>
      </c>
    </row>
    <row r="2192" spans="1:3" x14ac:dyDescent="0.2">
      <c r="A2192" s="1">
        <v>42887</v>
      </c>
      <c r="B2192">
        <v>174</v>
      </c>
      <c r="C2192" s="2">
        <f t="shared" si="35"/>
        <v>-5.7306747089849834E-3</v>
      </c>
    </row>
    <row r="2193" spans="1:3" x14ac:dyDescent="0.2">
      <c r="A2193" s="1">
        <v>42886</v>
      </c>
      <c r="B2193">
        <v>175</v>
      </c>
      <c r="C2193" s="2">
        <f t="shared" si="35"/>
        <v>1.1435107020787987E-3</v>
      </c>
    </row>
    <row r="2194" spans="1:3" x14ac:dyDescent="0.2">
      <c r="A2194" s="1">
        <v>42885</v>
      </c>
      <c r="B2194">
        <v>174.8</v>
      </c>
      <c r="C2194" s="2">
        <f t="shared" si="35"/>
        <v>5.7372503901433726E-3</v>
      </c>
    </row>
    <row r="2195" spans="1:3" x14ac:dyDescent="0.2">
      <c r="A2195" s="1">
        <v>42884</v>
      </c>
      <c r="B2195">
        <v>173.8</v>
      </c>
      <c r="C2195" s="2">
        <f t="shared" si="35"/>
        <v>-4.5924305742100387E-3</v>
      </c>
    </row>
    <row r="2196" spans="1:3" x14ac:dyDescent="0.2">
      <c r="A2196" s="1">
        <v>42881</v>
      </c>
      <c r="B2196">
        <v>174.6</v>
      </c>
      <c r="C2196" s="2">
        <f t="shared" si="35"/>
        <v>1.1461319306225416E-3</v>
      </c>
    </row>
    <row r="2197" spans="1:3" x14ac:dyDescent="0.2">
      <c r="A2197" s="1">
        <v>42879</v>
      </c>
      <c r="B2197">
        <v>174.4</v>
      </c>
      <c r="C2197" s="2">
        <f t="shared" si="35"/>
        <v>5.1739120879654614E-3</v>
      </c>
    </row>
    <row r="2198" spans="1:3" x14ac:dyDescent="0.2">
      <c r="A2198" s="1">
        <v>42878</v>
      </c>
      <c r="B2198">
        <v>173.5</v>
      </c>
      <c r="C2198" s="2">
        <f t="shared" si="35"/>
        <v>5.780362915499329E-3</v>
      </c>
    </row>
    <row r="2199" spans="1:3" x14ac:dyDescent="0.2">
      <c r="A2199" s="1">
        <v>42877</v>
      </c>
      <c r="B2199">
        <v>172.5</v>
      </c>
      <c r="C2199" s="2">
        <f t="shared" si="35"/>
        <v>-5.2038278750271101E-3</v>
      </c>
    </row>
    <row r="2200" spans="1:3" x14ac:dyDescent="0.2">
      <c r="A2200" s="1">
        <v>42874</v>
      </c>
      <c r="B2200">
        <v>173.4</v>
      </c>
      <c r="C2200" s="2">
        <f t="shared" si="35"/>
        <v>1.3937507843781678E-2</v>
      </c>
    </row>
    <row r="2201" spans="1:3" x14ac:dyDescent="0.2">
      <c r="A2201" s="1">
        <v>42873</v>
      </c>
      <c r="B2201">
        <v>171</v>
      </c>
      <c r="C2201" s="2">
        <f t="shared" si="35"/>
        <v>-1.2783439625674926E-2</v>
      </c>
    </row>
    <row r="2202" spans="1:3" x14ac:dyDescent="0.2">
      <c r="A2202" s="1">
        <v>42872</v>
      </c>
      <c r="B2202">
        <v>173.2</v>
      </c>
      <c r="C2202" s="2">
        <f t="shared" si="35"/>
        <v>-2.9581224017574306E-2</v>
      </c>
    </row>
    <row r="2203" spans="1:3" x14ac:dyDescent="0.2">
      <c r="A2203" s="1">
        <v>42871</v>
      </c>
      <c r="B2203">
        <v>178.4</v>
      </c>
      <c r="C2203" s="2">
        <f t="shared" si="35"/>
        <v>5.6211502704299112E-3</v>
      </c>
    </row>
    <row r="2204" spans="1:3" x14ac:dyDescent="0.2">
      <c r="A2204" s="1">
        <v>42870</v>
      </c>
      <c r="B2204">
        <v>177.4</v>
      </c>
      <c r="C2204" s="2">
        <f t="shared" si="35"/>
        <v>7.3550543733187758E-3</v>
      </c>
    </row>
    <row r="2205" spans="1:3" x14ac:dyDescent="0.2">
      <c r="A2205" s="1">
        <v>42867</v>
      </c>
      <c r="B2205">
        <v>176.1</v>
      </c>
      <c r="C2205" s="2">
        <f t="shared" si="35"/>
        <v>-1.8565934122535387E-2</v>
      </c>
    </row>
    <row r="2206" spans="1:3" x14ac:dyDescent="0.2">
      <c r="A2206" s="1">
        <v>42866</v>
      </c>
      <c r="B2206">
        <v>179.4</v>
      </c>
      <c r="C2206" s="2">
        <f t="shared" si="35"/>
        <v>-1.6708441648174946E-3</v>
      </c>
    </row>
    <row r="2207" spans="1:3" x14ac:dyDescent="0.2">
      <c r="A2207" s="1">
        <v>42865</v>
      </c>
      <c r="B2207">
        <v>179.7</v>
      </c>
      <c r="C2207" s="2">
        <f t="shared" si="35"/>
        <v>1.1135858611798202E-3</v>
      </c>
    </row>
    <row r="2208" spans="1:3" x14ac:dyDescent="0.2">
      <c r="A2208" s="1">
        <v>42864</v>
      </c>
      <c r="B2208">
        <v>179.5</v>
      </c>
      <c r="C2208" s="2">
        <f t="shared" si="35"/>
        <v>1.1148273172463632E-3</v>
      </c>
    </row>
    <row r="2209" spans="1:3" x14ac:dyDescent="0.2">
      <c r="A2209" s="1">
        <v>42863</v>
      </c>
      <c r="B2209">
        <v>179.3</v>
      </c>
      <c r="C2209" s="2">
        <f t="shared" si="35"/>
        <v>-3.8964702791231235E-3</v>
      </c>
    </row>
    <row r="2210" spans="1:3" x14ac:dyDescent="0.2">
      <c r="A2210" s="1">
        <v>42860</v>
      </c>
      <c r="B2210">
        <v>180</v>
      </c>
      <c r="C2210" s="2">
        <f t="shared" si="35"/>
        <v>-5.5401803756153561E-3</v>
      </c>
    </row>
    <row r="2211" spans="1:3" x14ac:dyDescent="0.2">
      <c r="A2211" s="1">
        <v>42859</v>
      </c>
      <c r="B2211">
        <v>181</v>
      </c>
      <c r="C2211" s="2">
        <f t="shared" si="35"/>
        <v>-1.6560864949797158E-3</v>
      </c>
    </row>
    <row r="2212" spans="1:3" x14ac:dyDescent="0.2">
      <c r="A2212" s="1">
        <v>42858</v>
      </c>
      <c r="B2212">
        <v>181.3</v>
      </c>
      <c r="C2212" s="2">
        <f t="shared" si="35"/>
        <v>-1.0971037084853932E-2</v>
      </c>
    </row>
    <row r="2213" spans="1:3" x14ac:dyDescent="0.2">
      <c r="A2213" s="1">
        <v>42857</v>
      </c>
      <c r="B2213">
        <v>183.3</v>
      </c>
      <c r="C2213" s="2">
        <f t="shared" si="35"/>
        <v>8.7671794435339907E-3</v>
      </c>
    </row>
    <row r="2214" spans="1:3" x14ac:dyDescent="0.2">
      <c r="A2214" s="1">
        <v>42853</v>
      </c>
      <c r="B2214">
        <v>181.7</v>
      </c>
      <c r="C2214" s="2">
        <f t="shared" si="35"/>
        <v>3.1872980363973576E-2</v>
      </c>
    </row>
    <row r="2215" spans="1:3" x14ac:dyDescent="0.2">
      <c r="A2215" s="1">
        <v>42852</v>
      </c>
      <c r="B2215">
        <v>176</v>
      </c>
      <c r="C2215" s="2">
        <f t="shared" si="35"/>
        <v>-1.4104606181541935E-2</v>
      </c>
    </row>
    <row r="2216" spans="1:3" x14ac:dyDescent="0.2">
      <c r="A2216" s="1">
        <v>42851</v>
      </c>
      <c r="B2216">
        <v>178.5</v>
      </c>
      <c r="C2216" s="2">
        <f t="shared" si="35"/>
        <v>-1.3355791181555735E-2</v>
      </c>
    </row>
    <row r="2217" spans="1:3" x14ac:dyDescent="0.2">
      <c r="A2217" s="1">
        <v>42850</v>
      </c>
      <c r="B2217">
        <v>180.9</v>
      </c>
      <c r="C2217" s="2">
        <f t="shared" si="35"/>
        <v>1.3916172255340404E-2</v>
      </c>
    </row>
    <row r="2218" spans="1:3" x14ac:dyDescent="0.2">
      <c r="A2218" s="1">
        <v>42849</v>
      </c>
      <c r="B2218">
        <v>178.4</v>
      </c>
      <c r="C2218" s="2">
        <f t="shared" si="35"/>
        <v>1.5250224952857544E-2</v>
      </c>
    </row>
    <row r="2219" spans="1:3" x14ac:dyDescent="0.2">
      <c r="A2219" s="1">
        <v>42846</v>
      </c>
      <c r="B2219">
        <v>175.7</v>
      </c>
      <c r="C2219" s="2">
        <f t="shared" si="35"/>
        <v>3.9920212695374567E-3</v>
      </c>
    </row>
    <row r="2220" spans="1:3" x14ac:dyDescent="0.2">
      <c r="A2220" s="1">
        <v>42845</v>
      </c>
      <c r="B2220">
        <v>175</v>
      </c>
      <c r="C2220" s="2">
        <f t="shared" si="35"/>
        <v>1.0916511741350467E-2</v>
      </c>
    </row>
    <row r="2221" spans="1:3" x14ac:dyDescent="0.2">
      <c r="A2221" s="1">
        <v>42844</v>
      </c>
      <c r="B2221">
        <v>173.1</v>
      </c>
      <c r="C2221" s="2">
        <f t="shared" si="35"/>
        <v>-2.8843400440862555E-3</v>
      </c>
    </row>
    <row r="2222" spans="1:3" x14ac:dyDescent="0.2">
      <c r="A2222" s="1">
        <v>42843</v>
      </c>
      <c r="B2222">
        <v>173.6</v>
      </c>
      <c r="C2222" s="2">
        <f t="shared" si="35"/>
        <v>-4.0241502997254907E-3</v>
      </c>
    </row>
    <row r="2223" spans="1:3" x14ac:dyDescent="0.2">
      <c r="A2223" s="1">
        <v>42838</v>
      </c>
      <c r="B2223">
        <v>174.3</v>
      </c>
      <c r="C2223" s="2">
        <f t="shared" si="35"/>
        <v>-6.2911274121074034E-3</v>
      </c>
    </row>
    <row r="2224" spans="1:3" x14ac:dyDescent="0.2">
      <c r="A2224" s="1">
        <v>42837</v>
      </c>
      <c r="B2224">
        <v>175.4</v>
      </c>
      <c r="C2224" s="2">
        <f t="shared" si="35"/>
        <v>-5.6996296783775918E-4</v>
      </c>
    </row>
    <row r="2225" spans="1:3" x14ac:dyDescent="0.2">
      <c r="A2225" s="1">
        <v>42836</v>
      </c>
      <c r="B2225">
        <v>175.5</v>
      </c>
      <c r="C2225" s="2">
        <f t="shared" si="35"/>
        <v>0</v>
      </c>
    </row>
    <row r="2226" spans="1:3" x14ac:dyDescent="0.2">
      <c r="A2226" s="1">
        <v>42835</v>
      </c>
      <c r="B2226">
        <v>175.5</v>
      </c>
      <c r="C2226" s="2">
        <f t="shared" si="35"/>
        <v>3.4246608813641747E-3</v>
      </c>
    </row>
    <row r="2227" spans="1:3" x14ac:dyDescent="0.2">
      <c r="A2227" s="1">
        <v>42832</v>
      </c>
      <c r="B2227">
        <v>174.9</v>
      </c>
      <c r="C2227" s="2">
        <f t="shared" si="35"/>
        <v>1.6719905211103416E-2</v>
      </c>
    </row>
    <row r="2228" spans="1:3" x14ac:dyDescent="0.2">
      <c r="A2228" s="1">
        <v>42831</v>
      </c>
      <c r="B2228">
        <v>172</v>
      </c>
      <c r="C2228" s="2">
        <f t="shared" si="35"/>
        <v>0</v>
      </c>
    </row>
    <row r="2229" spans="1:3" x14ac:dyDescent="0.2">
      <c r="A2229" s="1">
        <v>42830</v>
      </c>
      <c r="B2229">
        <v>172</v>
      </c>
      <c r="C2229" s="2">
        <f t="shared" si="35"/>
        <v>2.7108318758078096E-2</v>
      </c>
    </row>
    <row r="2230" spans="1:3" x14ac:dyDescent="0.2">
      <c r="A2230" s="1">
        <v>42829</v>
      </c>
      <c r="B2230">
        <v>167.4</v>
      </c>
      <c r="C2230" s="2">
        <f t="shared" si="35"/>
        <v>0</v>
      </c>
    </row>
    <row r="2231" spans="1:3" x14ac:dyDescent="0.2">
      <c r="A2231" s="1">
        <v>42828</v>
      </c>
      <c r="B2231">
        <v>167.4</v>
      </c>
      <c r="C2231" s="2">
        <f t="shared" si="35"/>
        <v>-1.0104097849159593E-2</v>
      </c>
    </row>
    <row r="2232" spans="1:3" x14ac:dyDescent="0.2">
      <c r="A2232" s="1">
        <v>42825</v>
      </c>
      <c r="B2232">
        <v>169.1</v>
      </c>
      <c r="C2232" s="2">
        <f t="shared" si="35"/>
        <v>4.1481540963082203E-3</v>
      </c>
    </row>
    <row r="2233" spans="1:3" x14ac:dyDescent="0.2">
      <c r="A2233" s="1">
        <v>42824</v>
      </c>
      <c r="B2233">
        <v>168.4</v>
      </c>
      <c r="C2233" s="2">
        <f t="shared" si="35"/>
        <v>7.1514011576253068E-3</v>
      </c>
    </row>
    <row r="2234" spans="1:3" x14ac:dyDescent="0.2">
      <c r="A2234" s="1">
        <v>42823</v>
      </c>
      <c r="B2234">
        <v>167.2</v>
      </c>
      <c r="C2234" s="2">
        <f t="shared" si="35"/>
        <v>5.998818229253443E-3</v>
      </c>
    </row>
    <row r="2235" spans="1:3" x14ac:dyDescent="0.2">
      <c r="A2235" s="1">
        <v>42822</v>
      </c>
      <c r="B2235">
        <v>166.2</v>
      </c>
      <c r="C2235" s="2">
        <f t="shared" si="35"/>
        <v>1.8828372794379697E-2</v>
      </c>
    </row>
    <row r="2236" spans="1:3" x14ac:dyDescent="0.2">
      <c r="A2236" s="1">
        <v>42821</v>
      </c>
      <c r="B2236">
        <v>163.1</v>
      </c>
      <c r="C2236" s="2">
        <f t="shared" si="35"/>
        <v>-1.88283727943796E-2</v>
      </c>
    </row>
    <row r="2237" spans="1:3" x14ac:dyDescent="0.2">
      <c r="A2237" s="1">
        <v>42818</v>
      </c>
      <c r="B2237">
        <v>166.2</v>
      </c>
      <c r="C2237" s="2">
        <f t="shared" si="35"/>
        <v>0</v>
      </c>
    </row>
    <row r="2238" spans="1:3" x14ac:dyDescent="0.2">
      <c r="A2238" s="1">
        <v>42817</v>
      </c>
      <c r="B2238">
        <v>166.2</v>
      </c>
      <c r="C2238" s="2">
        <f t="shared" si="35"/>
        <v>1.8828372794379697E-2</v>
      </c>
    </row>
    <row r="2239" spans="1:3" x14ac:dyDescent="0.2">
      <c r="A2239" s="1">
        <v>42816</v>
      </c>
      <c r="B2239">
        <v>163.1</v>
      </c>
      <c r="C2239" s="2">
        <f t="shared" si="35"/>
        <v>-7.3305154162543488E-3</v>
      </c>
    </row>
    <row r="2240" spans="1:3" x14ac:dyDescent="0.2">
      <c r="A2240" s="1">
        <v>42815</v>
      </c>
      <c r="B2240">
        <v>164.3</v>
      </c>
      <c r="C2240" s="2">
        <f t="shared" si="35"/>
        <v>-4.2514488573581304E-3</v>
      </c>
    </row>
    <row r="2241" spans="1:3" x14ac:dyDescent="0.2">
      <c r="A2241" s="1">
        <v>42814</v>
      </c>
      <c r="B2241">
        <v>165</v>
      </c>
      <c r="C2241" s="2">
        <f t="shared" si="35"/>
        <v>2.4271856576111375E-3</v>
      </c>
    </row>
    <row r="2242" spans="1:3" x14ac:dyDescent="0.2">
      <c r="A2242" s="1">
        <v>42811</v>
      </c>
      <c r="B2242">
        <v>164.6</v>
      </c>
      <c r="C2242" s="2">
        <f t="shared" si="35"/>
        <v>-6.0734894062514056E-4</v>
      </c>
    </row>
    <row r="2243" spans="1:3" x14ac:dyDescent="0.2">
      <c r="A2243" s="1">
        <v>42810</v>
      </c>
      <c r="B2243">
        <v>164.7</v>
      </c>
      <c r="C2243" s="2">
        <f t="shared" ref="C2243:C2306" si="36">+LN(B2243/B2244)</f>
        <v>3.6496390875493312E-3</v>
      </c>
    </row>
    <row r="2244" spans="1:3" x14ac:dyDescent="0.2">
      <c r="A2244" s="1">
        <v>42809</v>
      </c>
      <c r="B2244">
        <v>164.1</v>
      </c>
      <c r="C2244" s="2">
        <f t="shared" si="36"/>
        <v>1.4114993471653896E-2</v>
      </c>
    </row>
    <row r="2245" spans="1:3" x14ac:dyDescent="0.2">
      <c r="A2245" s="1">
        <v>42808</v>
      </c>
      <c r="B2245">
        <v>161.80000000000001</v>
      </c>
      <c r="C2245" s="2">
        <f t="shared" si="36"/>
        <v>-8.6154379056151767E-3</v>
      </c>
    </row>
    <row r="2246" spans="1:3" x14ac:dyDescent="0.2">
      <c r="A2246" s="1">
        <v>42807</v>
      </c>
      <c r="B2246">
        <v>163.19999999999999</v>
      </c>
      <c r="C2246" s="2">
        <f t="shared" si="36"/>
        <v>1.2262417232442935E-3</v>
      </c>
    </row>
    <row r="2247" spans="1:3" x14ac:dyDescent="0.2">
      <c r="A2247" s="1">
        <v>42804</v>
      </c>
      <c r="B2247">
        <v>163</v>
      </c>
      <c r="C2247" s="2">
        <f t="shared" si="36"/>
        <v>-4.895970612206809E-3</v>
      </c>
    </row>
    <row r="2248" spans="1:3" x14ac:dyDescent="0.2">
      <c r="A2248" s="1">
        <v>42803</v>
      </c>
      <c r="B2248">
        <v>163.80000000000001</v>
      </c>
      <c r="C2248" s="2">
        <f t="shared" si="36"/>
        <v>-6.693058146584145E-3</v>
      </c>
    </row>
    <row r="2249" spans="1:3" x14ac:dyDescent="0.2">
      <c r="A2249" s="1">
        <v>42802</v>
      </c>
      <c r="B2249">
        <v>164.9</v>
      </c>
      <c r="C2249" s="2">
        <f t="shared" si="36"/>
        <v>-2.4227752614253261E-3</v>
      </c>
    </row>
    <row r="2250" spans="1:3" x14ac:dyDescent="0.2">
      <c r="A2250" s="1">
        <v>42801</v>
      </c>
      <c r="B2250">
        <v>165.3</v>
      </c>
      <c r="C2250" s="2">
        <f t="shared" si="36"/>
        <v>1.4625489218979012E-2</v>
      </c>
    </row>
    <row r="2251" spans="1:3" x14ac:dyDescent="0.2">
      <c r="A2251" s="1">
        <v>42800</v>
      </c>
      <c r="B2251">
        <v>162.9</v>
      </c>
      <c r="C2251" s="2">
        <f t="shared" si="36"/>
        <v>-4.8989687690897217E-3</v>
      </c>
    </row>
    <row r="2252" spans="1:3" x14ac:dyDescent="0.2">
      <c r="A2252" s="1">
        <v>42797</v>
      </c>
      <c r="B2252">
        <v>163.69999999999999</v>
      </c>
      <c r="C2252" s="2">
        <f t="shared" si="36"/>
        <v>-9.7265204498893643E-3</v>
      </c>
    </row>
    <row r="2253" spans="1:3" x14ac:dyDescent="0.2">
      <c r="A2253" s="1">
        <v>42796</v>
      </c>
      <c r="B2253">
        <v>165.3</v>
      </c>
      <c r="C2253" s="2">
        <f t="shared" si="36"/>
        <v>-4.2257835295647014E-3</v>
      </c>
    </row>
    <row r="2254" spans="1:3" x14ac:dyDescent="0.2">
      <c r="A2254" s="1">
        <v>42795</v>
      </c>
      <c r="B2254">
        <v>166</v>
      </c>
      <c r="C2254" s="2">
        <f t="shared" si="36"/>
        <v>1.5786605930640626E-2</v>
      </c>
    </row>
    <row r="2255" spans="1:3" x14ac:dyDescent="0.2">
      <c r="A2255" s="1">
        <v>42794</v>
      </c>
      <c r="B2255">
        <v>163.4</v>
      </c>
      <c r="C2255" s="2">
        <f t="shared" si="36"/>
        <v>6.7547079053569183E-3</v>
      </c>
    </row>
    <row r="2256" spans="1:3" x14ac:dyDescent="0.2">
      <c r="A2256" s="1">
        <v>42793</v>
      </c>
      <c r="B2256">
        <v>162.30000000000001</v>
      </c>
      <c r="C2256" s="2">
        <f t="shared" si="36"/>
        <v>-3.6900410874539072E-3</v>
      </c>
    </row>
    <row r="2257" spans="1:3" x14ac:dyDescent="0.2">
      <c r="A2257" s="1">
        <v>42790</v>
      </c>
      <c r="B2257">
        <v>162.9</v>
      </c>
      <c r="C2257" s="2">
        <f t="shared" si="36"/>
        <v>-4.2879085606471849E-3</v>
      </c>
    </row>
    <row r="2258" spans="1:3" x14ac:dyDescent="0.2">
      <c r="A2258" s="1">
        <v>42789</v>
      </c>
      <c r="B2258">
        <v>163.6</v>
      </c>
      <c r="C2258" s="2">
        <f t="shared" si="36"/>
        <v>-1.8320615811373987E-3</v>
      </c>
    </row>
    <row r="2259" spans="1:3" x14ac:dyDescent="0.2">
      <c r="A2259" s="1">
        <v>42788</v>
      </c>
      <c r="B2259">
        <v>163.9</v>
      </c>
      <c r="C2259" s="2">
        <f t="shared" si="36"/>
        <v>-6.6889881507965401E-3</v>
      </c>
    </row>
    <row r="2260" spans="1:3" x14ac:dyDescent="0.2">
      <c r="A2260" s="1">
        <v>42787</v>
      </c>
      <c r="B2260">
        <v>165</v>
      </c>
      <c r="C2260" s="2">
        <f t="shared" si="36"/>
        <v>3.6429912785010087E-3</v>
      </c>
    </row>
    <row r="2261" spans="1:3" x14ac:dyDescent="0.2">
      <c r="A2261" s="1">
        <v>42786</v>
      </c>
      <c r="B2261">
        <v>164.4</v>
      </c>
      <c r="C2261" s="2">
        <f t="shared" si="36"/>
        <v>7.3260400920731016E-3</v>
      </c>
    </row>
    <row r="2262" spans="1:3" x14ac:dyDescent="0.2">
      <c r="A2262" s="1">
        <v>42783</v>
      </c>
      <c r="B2262">
        <v>163.19999999999999</v>
      </c>
      <c r="C2262" s="2">
        <f t="shared" si="36"/>
        <v>-1.1574908396075721E-2</v>
      </c>
    </row>
    <row r="2263" spans="1:3" x14ac:dyDescent="0.2">
      <c r="A2263" s="1">
        <v>42782</v>
      </c>
      <c r="B2263">
        <v>165.1</v>
      </c>
      <c r="C2263" s="2">
        <f t="shared" si="36"/>
        <v>6.0587702550160799E-4</v>
      </c>
    </row>
    <row r="2264" spans="1:3" x14ac:dyDescent="0.2">
      <c r="A2264" s="1">
        <v>42781</v>
      </c>
      <c r="B2264">
        <v>165</v>
      </c>
      <c r="C2264" s="2">
        <f t="shared" si="36"/>
        <v>-6.0587702550172248E-4</v>
      </c>
    </row>
    <row r="2265" spans="1:3" x14ac:dyDescent="0.2">
      <c r="A2265" s="1">
        <v>42780</v>
      </c>
      <c r="B2265">
        <v>165.1</v>
      </c>
      <c r="C2265" s="2">
        <f t="shared" si="36"/>
        <v>-7.242035272799807E-3</v>
      </c>
    </row>
    <row r="2266" spans="1:3" x14ac:dyDescent="0.2">
      <c r="A2266" s="1">
        <v>42779</v>
      </c>
      <c r="B2266">
        <v>166.3</v>
      </c>
      <c r="C2266" s="2">
        <f t="shared" si="36"/>
        <v>3.0111434976874221E-3</v>
      </c>
    </row>
    <row r="2267" spans="1:3" x14ac:dyDescent="0.2">
      <c r="A2267" s="1">
        <v>42776</v>
      </c>
      <c r="B2267">
        <v>165.8</v>
      </c>
      <c r="C2267" s="2">
        <f t="shared" si="36"/>
        <v>5.4430131356413627E-3</v>
      </c>
    </row>
    <row r="2268" spans="1:3" x14ac:dyDescent="0.2">
      <c r="A2268" s="1">
        <v>42775</v>
      </c>
      <c r="B2268">
        <v>164.9</v>
      </c>
      <c r="C2268" s="2">
        <f t="shared" si="36"/>
        <v>1.8209413225839209E-3</v>
      </c>
    </row>
    <row r="2269" spans="1:3" x14ac:dyDescent="0.2">
      <c r="A2269" s="1">
        <v>42774</v>
      </c>
      <c r="B2269">
        <v>164.6</v>
      </c>
      <c r="C2269" s="2">
        <f t="shared" si="36"/>
        <v>-1.9254505790136465E-2</v>
      </c>
    </row>
    <row r="2270" spans="1:3" x14ac:dyDescent="0.2">
      <c r="A2270" s="1">
        <v>42773</v>
      </c>
      <c r="B2270">
        <v>167.8</v>
      </c>
      <c r="C2270" s="2">
        <f t="shared" si="36"/>
        <v>1.1387596836707108E-2</v>
      </c>
    </row>
    <row r="2271" spans="1:3" x14ac:dyDescent="0.2">
      <c r="A2271" s="1">
        <v>42772</v>
      </c>
      <c r="B2271">
        <v>165.9</v>
      </c>
      <c r="C2271" s="2">
        <f t="shared" si="36"/>
        <v>-8.4034107963795041E-3</v>
      </c>
    </row>
    <row r="2272" spans="1:3" x14ac:dyDescent="0.2">
      <c r="A2272" s="1">
        <v>42769</v>
      </c>
      <c r="B2272">
        <v>167.3</v>
      </c>
      <c r="C2272" s="2">
        <f t="shared" si="36"/>
        <v>0</v>
      </c>
    </row>
    <row r="2273" spans="1:3" x14ac:dyDescent="0.2">
      <c r="A2273" s="1">
        <v>42768</v>
      </c>
      <c r="B2273">
        <v>167.3</v>
      </c>
      <c r="C2273" s="2">
        <f t="shared" si="36"/>
        <v>2.2975617655470171E-2</v>
      </c>
    </row>
    <row r="2274" spans="1:3" x14ac:dyDescent="0.2">
      <c r="A2274" s="1">
        <v>42767</v>
      </c>
      <c r="B2274">
        <v>163.5</v>
      </c>
      <c r="C2274" s="2">
        <f t="shared" si="36"/>
        <v>1.836547807301552E-3</v>
      </c>
    </row>
    <row r="2275" spans="1:3" x14ac:dyDescent="0.2">
      <c r="A2275" s="1">
        <v>42766</v>
      </c>
      <c r="B2275">
        <v>163.19999999999999</v>
      </c>
      <c r="C2275" s="2">
        <f t="shared" si="36"/>
        <v>6.7156323679649937E-2</v>
      </c>
    </row>
    <row r="2276" spans="1:3" x14ac:dyDescent="0.2">
      <c r="A2276" s="1">
        <v>42765</v>
      </c>
      <c r="B2276">
        <v>152.6</v>
      </c>
      <c r="C2276" s="2">
        <f t="shared" si="36"/>
        <v>-1.4959628572466398E-2</v>
      </c>
    </row>
    <row r="2277" spans="1:3" x14ac:dyDescent="0.2">
      <c r="A2277" s="1">
        <v>42762</v>
      </c>
      <c r="B2277">
        <v>154.9</v>
      </c>
      <c r="C2277" s="2">
        <f t="shared" si="36"/>
        <v>-6.435028640907928E-3</v>
      </c>
    </row>
    <row r="2278" spans="1:3" x14ac:dyDescent="0.2">
      <c r="A2278" s="1">
        <v>42761</v>
      </c>
      <c r="B2278">
        <v>155.9</v>
      </c>
      <c r="C2278" s="2">
        <f t="shared" si="36"/>
        <v>-2.5624613637001614E-3</v>
      </c>
    </row>
    <row r="2279" spans="1:3" x14ac:dyDescent="0.2">
      <c r="A2279" s="1">
        <v>42760</v>
      </c>
      <c r="B2279">
        <v>156.30000000000001</v>
      </c>
      <c r="C2279" s="2">
        <f t="shared" si="36"/>
        <v>2.5624613637001501E-3</v>
      </c>
    </row>
    <row r="2280" spans="1:3" x14ac:dyDescent="0.2">
      <c r="A2280" s="1">
        <v>42759</v>
      </c>
      <c r="B2280">
        <v>155.9</v>
      </c>
      <c r="C2280" s="2">
        <f t="shared" si="36"/>
        <v>1.0316016694615722E-2</v>
      </c>
    </row>
    <row r="2281" spans="1:3" x14ac:dyDescent="0.2">
      <c r="A2281" s="1">
        <v>42758</v>
      </c>
      <c r="B2281">
        <v>154.30000000000001</v>
      </c>
      <c r="C2281" s="2">
        <f t="shared" si="36"/>
        <v>-7.103678564431822E-3</v>
      </c>
    </row>
    <row r="2282" spans="1:3" x14ac:dyDescent="0.2">
      <c r="A2282" s="1">
        <v>42755</v>
      </c>
      <c r="B2282">
        <v>155.4</v>
      </c>
      <c r="C2282" s="2">
        <f t="shared" si="36"/>
        <v>-6.4329368574170764E-4</v>
      </c>
    </row>
    <row r="2283" spans="1:3" x14ac:dyDescent="0.2">
      <c r="A2283" s="1">
        <v>42754</v>
      </c>
      <c r="B2283">
        <v>155.5</v>
      </c>
      <c r="C2283" s="2">
        <f t="shared" si="36"/>
        <v>2.5756614367956703E-3</v>
      </c>
    </row>
    <row r="2284" spans="1:3" x14ac:dyDescent="0.2">
      <c r="A2284" s="1">
        <v>42753</v>
      </c>
      <c r="B2284">
        <v>155.1</v>
      </c>
      <c r="C2284" s="2">
        <f t="shared" si="36"/>
        <v>8.4170131109494502E-3</v>
      </c>
    </row>
    <row r="2285" spans="1:3" x14ac:dyDescent="0.2">
      <c r="A2285" s="1">
        <v>42752</v>
      </c>
      <c r="B2285">
        <v>153.80000000000001</v>
      </c>
      <c r="C2285" s="2">
        <f t="shared" si="36"/>
        <v>-5.1880790817778336E-3</v>
      </c>
    </row>
    <row r="2286" spans="1:3" x14ac:dyDescent="0.2">
      <c r="A2286" s="1">
        <v>42751</v>
      </c>
      <c r="B2286">
        <v>154.6</v>
      </c>
      <c r="C2286" s="2">
        <f t="shared" si="36"/>
        <v>-1.4767523585665415E-2</v>
      </c>
    </row>
    <row r="2287" spans="1:3" x14ac:dyDescent="0.2">
      <c r="A2287" s="1">
        <v>42748</v>
      </c>
      <c r="B2287">
        <v>156.9</v>
      </c>
      <c r="C2287" s="2">
        <f t="shared" si="36"/>
        <v>1.024992958434548E-2</v>
      </c>
    </row>
    <row r="2288" spans="1:3" x14ac:dyDescent="0.2">
      <c r="A2288" s="1">
        <v>42747</v>
      </c>
      <c r="B2288">
        <v>155.30000000000001</v>
      </c>
      <c r="C2288" s="2">
        <f t="shared" si="36"/>
        <v>-9.612377761666133E-3</v>
      </c>
    </row>
    <row r="2289" spans="1:3" x14ac:dyDescent="0.2">
      <c r="A2289" s="1">
        <v>42746</v>
      </c>
      <c r="B2289">
        <v>156.80000000000001</v>
      </c>
      <c r="C2289" s="2">
        <f t="shared" si="36"/>
        <v>1.2191360493484578E-2</v>
      </c>
    </row>
    <row r="2290" spans="1:3" x14ac:dyDescent="0.2">
      <c r="A2290" s="1">
        <v>42745</v>
      </c>
      <c r="B2290">
        <v>154.9</v>
      </c>
      <c r="C2290" s="2">
        <f t="shared" si="36"/>
        <v>1.0382961545054505E-2</v>
      </c>
    </row>
    <row r="2291" spans="1:3" x14ac:dyDescent="0.2">
      <c r="A2291" s="1">
        <v>42744</v>
      </c>
      <c r="B2291">
        <v>153.30000000000001</v>
      </c>
      <c r="C2291" s="2">
        <f t="shared" si="36"/>
        <v>6.5252857127765873E-4</v>
      </c>
    </row>
    <row r="2292" spans="1:3" x14ac:dyDescent="0.2">
      <c r="A2292" s="1">
        <v>42740</v>
      </c>
      <c r="B2292">
        <v>153.19999999999999</v>
      </c>
      <c r="C2292" s="2">
        <f t="shared" si="36"/>
        <v>-1.1035490116332116E-2</v>
      </c>
    </row>
    <row r="2293" spans="1:3" x14ac:dyDescent="0.2">
      <c r="A2293" s="1">
        <v>42739</v>
      </c>
      <c r="B2293">
        <v>154.9</v>
      </c>
      <c r="C2293" s="2">
        <f t="shared" si="36"/>
        <v>-3.2226905107241499E-3</v>
      </c>
    </row>
    <row r="2294" spans="1:3" x14ac:dyDescent="0.2">
      <c r="A2294" s="1">
        <v>42738</v>
      </c>
      <c r="B2294">
        <v>155.4</v>
      </c>
      <c r="C2294" s="2">
        <f t="shared" si="36"/>
        <v>8.4006956074771395E-3</v>
      </c>
    </row>
    <row r="2295" spans="1:3" x14ac:dyDescent="0.2">
      <c r="A2295" s="1">
        <v>42737</v>
      </c>
      <c r="B2295">
        <v>154.1</v>
      </c>
      <c r="C2295" s="2">
        <f t="shared" si="36"/>
        <v>2.1647286752214241E-2</v>
      </c>
    </row>
    <row r="2296" spans="1:3" x14ac:dyDescent="0.2">
      <c r="A2296" s="1">
        <v>42734</v>
      </c>
      <c r="B2296">
        <v>150.80000000000001</v>
      </c>
      <c r="C2296" s="2">
        <f t="shared" si="36"/>
        <v>-7.9260652724206029E-3</v>
      </c>
    </row>
    <row r="2297" spans="1:3" x14ac:dyDescent="0.2">
      <c r="A2297" s="1">
        <v>42733</v>
      </c>
      <c r="B2297">
        <v>152</v>
      </c>
      <c r="C2297" s="2">
        <f t="shared" si="36"/>
        <v>-8.5162650314921096E-3</v>
      </c>
    </row>
    <row r="2298" spans="1:3" x14ac:dyDescent="0.2">
      <c r="A2298" s="1">
        <v>42732</v>
      </c>
      <c r="B2298">
        <v>153.30000000000001</v>
      </c>
      <c r="C2298" s="2">
        <f t="shared" si="36"/>
        <v>6.5252857127765873E-4</v>
      </c>
    </row>
    <row r="2299" spans="1:3" x14ac:dyDescent="0.2">
      <c r="A2299" s="1">
        <v>42731</v>
      </c>
      <c r="B2299">
        <v>153.19999999999999</v>
      </c>
      <c r="C2299" s="2">
        <f t="shared" si="36"/>
        <v>7.2060580412436435E-3</v>
      </c>
    </row>
    <row r="2300" spans="1:3" x14ac:dyDescent="0.2">
      <c r="A2300" s="1">
        <v>42727</v>
      </c>
      <c r="B2300">
        <v>152.1</v>
      </c>
      <c r="C2300" s="2">
        <f t="shared" si="36"/>
        <v>8.583743691391435E-3</v>
      </c>
    </row>
    <row r="2301" spans="1:3" x14ac:dyDescent="0.2">
      <c r="A2301" s="1">
        <v>42726</v>
      </c>
      <c r="B2301">
        <v>150.80000000000001</v>
      </c>
      <c r="C2301" s="2">
        <f t="shared" si="36"/>
        <v>-5.9504307806307506E-3</v>
      </c>
    </row>
    <row r="2302" spans="1:3" x14ac:dyDescent="0.2">
      <c r="A2302" s="1">
        <v>42725</v>
      </c>
      <c r="B2302">
        <v>151.69999999999999</v>
      </c>
      <c r="C2302" s="2">
        <f t="shared" si="36"/>
        <v>2.5368516637732368E-2</v>
      </c>
    </row>
    <row r="2303" spans="1:3" x14ac:dyDescent="0.2">
      <c r="A2303" s="1">
        <v>42724</v>
      </c>
      <c r="B2303">
        <v>147.9</v>
      </c>
      <c r="C2303" s="2">
        <f t="shared" si="36"/>
        <v>-1.351351556998958E-3</v>
      </c>
    </row>
    <row r="2304" spans="1:3" x14ac:dyDescent="0.2">
      <c r="A2304" s="1">
        <v>42723</v>
      </c>
      <c r="B2304">
        <v>148.1</v>
      </c>
      <c r="C2304" s="2">
        <f t="shared" si="36"/>
        <v>-6.7295004969396052E-3</v>
      </c>
    </row>
    <row r="2305" spans="1:3" x14ac:dyDescent="0.2">
      <c r="A2305" s="1">
        <v>42720</v>
      </c>
      <c r="B2305">
        <v>149.1</v>
      </c>
      <c r="C2305" s="2">
        <f t="shared" si="36"/>
        <v>-1.7946643190836938E-2</v>
      </c>
    </row>
    <row r="2306" spans="1:3" x14ac:dyDescent="0.2">
      <c r="A2306" s="1">
        <v>42719</v>
      </c>
      <c r="B2306">
        <v>151.80000000000001</v>
      </c>
      <c r="C2306" s="2">
        <f t="shared" si="36"/>
        <v>2.4676143687776583E-2</v>
      </c>
    </row>
    <row r="2307" spans="1:3" x14ac:dyDescent="0.2">
      <c r="A2307" s="1">
        <v>42718</v>
      </c>
      <c r="B2307">
        <v>148.1</v>
      </c>
      <c r="C2307" s="2">
        <f t="shared" ref="C2307:C2370" si="37">+LN(B2307/B2308)</f>
        <v>6.7750936663613058E-3</v>
      </c>
    </row>
    <row r="2308" spans="1:3" x14ac:dyDescent="0.2">
      <c r="A2308" s="1">
        <v>42717</v>
      </c>
      <c r="B2308">
        <v>147.1</v>
      </c>
      <c r="C2308" s="2">
        <f t="shared" si="37"/>
        <v>-1.3586958611928478E-3</v>
      </c>
    </row>
    <row r="2309" spans="1:3" x14ac:dyDescent="0.2">
      <c r="A2309" s="1">
        <v>42716</v>
      </c>
      <c r="B2309">
        <v>147.30000000000001</v>
      </c>
      <c r="C2309" s="2">
        <f t="shared" si="37"/>
        <v>1.4359221077889098E-2</v>
      </c>
    </row>
    <row r="2310" spans="1:3" x14ac:dyDescent="0.2">
      <c r="A2310" s="1">
        <v>42713</v>
      </c>
      <c r="B2310">
        <v>145.19999999999999</v>
      </c>
      <c r="C2310" s="2">
        <f t="shared" si="37"/>
        <v>1.8770102681990468E-2</v>
      </c>
    </row>
    <row r="2311" spans="1:3" x14ac:dyDescent="0.2">
      <c r="A2311" s="1">
        <v>42712</v>
      </c>
      <c r="B2311">
        <v>142.5</v>
      </c>
      <c r="C2311" s="2">
        <f t="shared" si="37"/>
        <v>1.7699577099400857E-2</v>
      </c>
    </row>
    <row r="2312" spans="1:3" x14ac:dyDescent="0.2">
      <c r="A2312" s="1">
        <v>42711</v>
      </c>
      <c r="B2312">
        <v>140</v>
      </c>
    </row>
    <row r="2313" spans="1:3" x14ac:dyDescent="0.2">
      <c r="A2313" s="1">
        <v>42710</v>
      </c>
      <c r="B2313">
        <v>140</v>
      </c>
      <c r="C2313" s="2">
        <f t="shared" si="37"/>
        <v>7.168489478612497E-3</v>
      </c>
    </row>
    <row r="2314" spans="1:3" x14ac:dyDescent="0.2">
      <c r="A2314" s="1">
        <v>42709</v>
      </c>
      <c r="B2314">
        <v>139</v>
      </c>
      <c r="C2314" s="2">
        <f t="shared" si="37"/>
        <v>6.4958727154454561E-3</v>
      </c>
    </row>
    <row r="2315" spans="1:3" x14ac:dyDescent="0.2">
      <c r="A2315" s="1">
        <v>42706</v>
      </c>
      <c r="B2315">
        <v>138.1</v>
      </c>
      <c r="C2315" s="2">
        <f t="shared" si="37"/>
        <v>-6.4958727154453269E-3</v>
      </c>
    </row>
    <row r="2316" spans="1:3" x14ac:dyDescent="0.2">
      <c r="A2316" s="1">
        <v>42705</v>
      </c>
      <c r="B2316">
        <v>139</v>
      </c>
      <c r="C2316" s="2">
        <f t="shared" si="37"/>
        <v>4.3258899471224398E-3</v>
      </c>
    </row>
    <row r="2317" spans="1:3" x14ac:dyDescent="0.2">
      <c r="A2317" s="1">
        <v>42704</v>
      </c>
      <c r="B2317">
        <v>138.4</v>
      </c>
      <c r="C2317" s="2">
        <f t="shared" si="37"/>
        <v>1.4461318499997134E-3</v>
      </c>
    </row>
    <row r="2318" spans="1:3" x14ac:dyDescent="0.2">
      <c r="A2318" s="1">
        <v>42703</v>
      </c>
      <c r="B2318">
        <v>138.19999999999999</v>
      </c>
      <c r="C2318" s="2">
        <f t="shared" si="37"/>
        <v>-8.6455869928541533E-3</v>
      </c>
    </row>
    <row r="2319" spans="1:3" x14ac:dyDescent="0.2">
      <c r="A2319" s="1">
        <v>42702</v>
      </c>
      <c r="B2319">
        <v>139.4</v>
      </c>
      <c r="C2319" s="2">
        <f t="shared" si="37"/>
        <v>-1.8479559274837198E-2</v>
      </c>
    </row>
    <row r="2320" spans="1:3" x14ac:dyDescent="0.2">
      <c r="A2320" s="1">
        <v>42699</v>
      </c>
      <c r="B2320">
        <v>142</v>
      </c>
      <c r="C2320" s="2">
        <f t="shared" si="37"/>
        <v>1.7762456339840468E-2</v>
      </c>
    </row>
    <row r="2321" spans="1:3" x14ac:dyDescent="0.2">
      <c r="A2321" s="1">
        <v>42698</v>
      </c>
      <c r="B2321">
        <v>139.5</v>
      </c>
      <c r="C2321" s="2">
        <f t="shared" si="37"/>
        <v>-7.1658906685172176E-4</v>
      </c>
    </row>
    <row r="2322" spans="1:3" x14ac:dyDescent="0.2">
      <c r="A2322" s="1">
        <v>42697</v>
      </c>
      <c r="B2322">
        <v>139.6</v>
      </c>
      <c r="C2322" s="2">
        <f t="shared" si="37"/>
        <v>2.5391280670851758E-2</v>
      </c>
    </row>
    <row r="2323" spans="1:3" x14ac:dyDescent="0.2">
      <c r="A2323" s="1">
        <v>42696</v>
      </c>
      <c r="B2323">
        <v>136.1</v>
      </c>
      <c r="C2323" s="2">
        <f t="shared" si="37"/>
        <v>1.1082492446792918E-2</v>
      </c>
    </row>
    <row r="2324" spans="1:3" x14ac:dyDescent="0.2">
      <c r="A2324" s="1">
        <v>42695</v>
      </c>
      <c r="B2324">
        <v>134.6</v>
      </c>
      <c r="C2324" s="2">
        <f t="shared" si="37"/>
        <v>0</v>
      </c>
    </row>
    <row r="2325" spans="1:3" x14ac:dyDescent="0.2">
      <c r="A2325" s="1">
        <v>42692</v>
      </c>
      <c r="B2325">
        <v>134.6</v>
      </c>
      <c r="C2325" s="2">
        <f t="shared" si="37"/>
        <v>6.7089331027300608E-3</v>
      </c>
    </row>
    <row r="2326" spans="1:3" x14ac:dyDescent="0.2">
      <c r="A2326" s="1">
        <v>42691</v>
      </c>
      <c r="B2326">
        <v>133.69999999999999</v>
      </c>
      <c r="C2326" s="2">
        <f t="shared" si="37"/>
        <v>6.0015183886977597E-3</v>
      </c>
    </row>
    <row r="2327" spans="1:3" x14ac:dyDescent="0.2">
      <c r="A2327" s="1">
        <v>42690</v>
      </c>
      <c r="B2327">
        <v>132.9</v>
      </c>
      <c r="C2327" s="2">
        <f t="shared" si="37"/>
        <v>-1.122346236984954E-2</v>
      </c>
    </row>
    <row r="2328" spans="1:3" x14ac:dyDescent="0.2">
      <c r="A2328" s="1">
        <v>42689</v>
      </c>
      <c r="B2328">
        <v>134.4</v>
      </c>
      <c r="C2328" s="2">
        <f t="shared" si="37"/>
        <v>1.6504500671463418E-2</v>
      </c>
    </row>
    <row r="2329" spans="1:3" x14ac:dyDescent="0.2">
      <c r="A2329" s="1">
        <v>42688</v>
      </c>
      <c r="B2329">
        <v>132.19999999999999</v>
      </c>
      <c r="C2329" s="2">
        <f t="shared" si="37"/>
        <v>6.0698213670755527E-3</v>
      </c>
    </row>
    <row r="2330" spans="1:3" x14ac:dyDescent="0.2">
      <c r="A2330" s="1">
        <v>42685</v>
      </c>
      <c r="B2330">
        <v>131.4</v>
      </c>
      <c r="C2330" s="2">
        <f t="shared" si="37"/>
        <v>-7.5815374523976907E-3</v>
      </c>
    </row>
    <row r="2331" spans="1:3" x14ac:dyDescent="0.2">
      <c r="A2331" s="1">
        <v>42684</v>
      </c>
      <c r="B2331">
        <v>132.4</v>
      </c>
      <c r="C2331" s="2">
        <f t="shared" si="37"/>
        <v>1.3688426660577326E-2</v>
      </c>
    </row>
    <row r="2332" spans="1:3" x14ac:dyDescent="0.2">
      <c r="A2332" s="1">
        <v>42683</v>
      </c>
      <c r="B2332">
        <v>130.6</v>
      </c>
      <c r="C2332" s="2">
        <f t="shared" si="37"/>
        <v>8.4583357027380977E-3</v>
      </c>
    </row>
    <row r="2333" spans="1:3" x14ac:dyDescent="0.2">
      <c r="A2333" s="1">
        <v>42682</v>
      </c>
      <c r="B2333">
        <v>129.5</v>
      </c>
      <c r="C2333" s="2">
        <f t="shared" si="37"/>
        <v>-3.0840425369614449E-3</v>
      </c>
    </row>
    <row r="2334" spans="1:3" x14ac:dyDescent="0.2">
      <c r="A2334" s="1">
        <v>42681</v>
      </c>
      <c r="B2334">
        <v>129.9</v>
      </c>
      <c r="C2334" s="2">
        <f t="shared" si="37"/>
        <v>2.5732413966478032E-2</v>
      </c>
    </row>
    <row r="2335" spans="1:3" x14ac:dyDescent="0.2">
      <c r="A2335" s="1">
        <v>42678</v>
      </c>
      <c r="B2335">
        <v>126.6</v>
      </c>
      <c r="C2335" s="2">
        <f t="shared" si="37"/>
        <v>-1.4896394625198735E-2</v>
      </c>
    </row>
    <row r="2336" spans="1:3" x14ac:dyDescent="0.2">
      <c r="A2336" s="1">
        <v>42677</v>
      </c>
      <c r="B2336">
        <v>128.5</v>
      </c>
      <c r="C2336" s="2">
        <f t="shared" si="37"/>
        <v>3.8986404156573229E-3</v>
      </c>
    </row>
    <row r="2337" spans="1:3" x14ac:dyDescent="0.2">
      <c r="A2337" s="1">
        <v>42676</v>
      </c>
      <c r="B2337">
        <v>128</v>
      </c>
      <c r="C2337" s="2">
        <f t="shared" si="37"/>
        <v>-6.2305497506361975E-3</v>
      </c>
    </row>
    <row r="2338" spans="1:3" x14ac:dyDescent="0.2">
      <c r="A2338" s="1">
        <v>42675</v>
      </c>
      <c r="B2338">
        <v>128.80000000000001</v>
      </c>
      <c r="C2338" s="2">
        <f t="shared" si="37"/>
        <v>-7.7339905997363392E-3</v>
      </c>
    </row>
    <row r="2339" spans="1:3" x14ac:dyDescent="0.2">
      <c r="A2339" s="1">
        <v>42674</v>
      </c>
      <c r="B2339">
        <v>129.80000000000001</v>
      </c>
      <c r="C2339" s="2">
        <f t="shared" si="37"/>
        <v>-6.909816360186523E-3</v>
      </c>
    </row>
    <row r="2340" spans="1:3" x14ac:dyDescent="0.2">
      <c r="A2340" s="1">
        <v>42671</v>
      </c>
      <c r="B2340">
        <v>130.69999999999999</v>
      </c>
      <c r="C2340" s="2">
        <f t="shared" si="37"/>
        <v>2.8717534171584982E-2</v>
      </c>
    </row>
    <row r="2341" spans="1:3" x14ac:dyDescent="0.2">
      <c r="A2341" s="1">
        <v>42670</v>
      </c>
      <c r="B2341">
        <v>127</v>
      </c>
      <c r="C2341" s="2">
        <f t="shared" si="37"/>
        <v>-8.6241224440972986E-3</v>
      </c>
    </row>
    <row r="2342" spans="1:3" x14ac:dyDescent="0.2">
      <c r="A2342" s="1">
        <v>42669</v>
      </c>
      <c r="B2342">
        <v>128.1</v>
      </c>
      <c r="C2342" s="2">
        <f t="shared" si="37"/>
        <v>7.050557996666762E-3</v>
      </c>
    </row>
    <row r="2343" spans="1:3" x14ac:dyDescent="0.2">
      <c r="A2343" s="1">
        <v>42668</v>
      </c>
      <c r="B2343">
        <v>127.2</v>
      </c>
      <c r="C2343" s="2">
        <f t="shared" si="37"/>
        <v>-4.1576426845740332E-2</v>
      </c>
    </row>
    <row r="2344" spans="1:3" x14ac:dyDescent="0.2">
      <c r="A2344" s="1">
        <v>42667</v>
      </c>
      <c r="B2344">
        <v>132.6</v>
      </c>
      <c r="C2344" s="2">
        <f t="shared" si="37"/>
        <v>-5.2651494329010347E-3</v>
      </c>
    </row>
    <row r="2345" spans="1:3" x14ac:dyDescent="0.2">
      <c r="A2345" s="1">
        <v>42664</v>
      </c>
      <c r="B2345">
        <v>133.30000000000001</v>
      </c>
      <c r="C2345" s="2">
        <f t="shared" si="37"/>
        <v>8.286299767077154E-3</v>
      </c>
    </row>
    <row r="2346" spans="1:3" x14ac:dyDescent="0.2">
      <c r="A2346" s="1">
        <v>42663</v>
      </c>
      <c r="B2346">
        <v>132.19999999999999</v>
      </c>
      <c r="C2346" s="2">
        <f t="shared" si="37"/>
        <v>-2.2667180086910323E-3</v>
      </c>
    </row>
    <row r="2347" spans="1:3" x14ac:dyDescent="0.2">
      <c r="A2347" s="1">
        <v>42662</v>
      </c>
      <c r="B2347">
        <v>132.5</v>
      </c>
      <c r="C2347" s="2">
        <f t="shared" si="37"/>
        <v>-7.5188324140273398E-3</v>
      </c>
    </row>
    <row r="2348" spans="1:3" x14ac:dyDescent="0.2">
      <c r="A2348" s="1">
        <v>42661</v>
      </c>
      <c r="B2348">
        <v>133.5</v>
      </c>
      <c r="C2348" s="2">
        <f t="shared" si="37"/>
        <v>-3.7383221106071039E-3</v>
      </c>
    </row>
    <row r="2349" spans="1:3" x14ac:dyDescent="0.2">
      <c r="A2349" s="1">
        <v>42660</v>
      </c>
      <c r="B2349">
        <v>134</v>
      </c>
      <c r="C2349" s="2">
        <f t="shared" si="37"/>
        <v>-7.4349784875180902E-3</v>
      </c>
    </row>
    <row r="2350" spans="1:3" x14ac:dyDescent="0.2">
      <c r="A2350" s="1">
        <v>42657</v>
      </c>
      <c r="B2350">
        <v>135</v>
      </c>
      <c r="C2350" s="2">
        <f t="shared" si="37"/>
        <v>-5.9084366861663941E-3</v>
      </c>
    </row>
    <row r="2351" spans="1:3" x14ac:dyDescent="0.2">
      <c r="A2351" s="1">
        <v>42656</v>
      </c>
      <c r="B2351">
        <v>135.80000000000001</v>
      </c>
      <c r="C2351" s="2">
        <f t="shared" si="37"/>
        <v>-4.4085302847659685E-3</v>
      </c>
    </row>
    <row r="2352" spans="1:3" x14ac:dyDescent="0.2">
      <c r="A2352" s="1">
        <v>42655</v>
      </c>
      <c r="B2352">
        <v>136.4</v>
      </c>
      <c r="C2352" s="2">
        <f t="shared" si="37"/>
        <v>-2.1969983205420525E-3</v>
      </c>
    </row>
    <row r="2353" spans="1:3" x14ac:dyDescent="0.2">
      <c r="A2353" s="1">
        <v>42654</v>
      </c>
      <c r="B2353">
        <v>136.69999999999999</v>
      </c>
      <c r="C2353" s="2">
        <f t="shared" si="37"/>
        <v>-2.1921820982211586E-3</v>
      </c>
    </row>
    <row r="2354" spans="1:3" x14ac:dyDescent="0.2">
      <c r="A2354" s="1">
        <v>42653</v>
      </c>
      <c r="B2354">
        <v>137</v>
      </c>
      <c r="C2354" s="2">
        <f t="shared" si="37"/>
        <v>1.4706147389695487E-2</v>
      </c>
    </row>
    <row r="2355" spans="1:3" x14ac:dyDescent="0.2">
      <c r="A2355" s="1">
        <v>42650</v>
      </c>
      <c r="B2355">
        <v>135</v>
      </c>
      <c r="C2355" s="2">
        <f t="shared" si="37"/>
        <v>-5.9084366861663941E-3</v>
      </c>
    </row>
    <row r="2356" spans="1:3" x14ac:dyDescent="0.2">
      <c r="A2356" s="1">
        <v>42649</v>
      </c>
      <c r="B2356">
        <v>135.80000000000001</v>
      </c>
      <c r="C2356" s="2">
        <f t="shared" si="37"/>
        <v>-7.3367900638543204E-3</v>
      </c>
    </row>
    <row r="2357" spans="1:3" x14ac:dyDescent="0.2">
      <c r="A2357" s="1">
        <v>42648</v>
      </c>
      <c r="B2357">
        <v>136.80000000000001</v>
      </c>
      <c r="C2357" s="2">
        <f t="shared" si="37"/>
        <v>-7.3072710595309225E-4</v>
      </c>
    </row>
    <row r="2358" spans="1:3" x14ac:dyDescent="0.2">
      <c r="A2358" s="1">
        <v>42647</v>
      </c>
      <c r="B2358">
        <v>136.9</v>
      </c>
      <c r="C2358" s="2">
        <f t="shared" si="37"/>
        <v>2.0664942006770527E-2</v>
      </c>
    </row>
    <row r="2359" spans="1:3" x14ac:dyDescent="0.2">
      <c r="A2359" s="1">
        <v>42646</v>
      </c>
      <c r="B2359">
        <v>134.1</v>
      </c>
      <c r="C2359" s="2">
        <f t="shared" si="37"/>
        <v>-2.9784087542609442E-3</v>
      </c>
    </row>
    <row r="2360" spans="1:3" x14ac:dyDescent="0.2">
      <c r="A2360" s="1">
        <v>42643</v>
      </c>
      <c r="B2360">
        <v>134.5</v>
      </c>
      <c r="C2360" s="2">
        <f t="shared" si="37"/>
        <v>-1.1825710615526537E-2</v>
      </c>
    </row>
    <row r="2361" spans="1:3" x14ac:dyDescent="0.2">
      <c r="A2361" s="1">
        <v>42642</v>
      </c>
      <c r="B2361">
        <v>136.1</v>
      </c>
      <c r="C2361" s="2">
        <f t="shared" si="37"/>
        <v>1.4058685119838975E-2</v>
      </c>
    </row>
    <row r="2362" spans="1:3" x14ac:dyDescent="0.2">
      <c r="A2362" s="1">
        <v>42641</v>
      </c>
      <c r="B2362">
        <v>134.19999999999999</v>
      </c>
      <c r="C2362" s="2">
        <f t="shared" si="37"/>
        <v>0</v>
      </c>
    </row>
    <row r="2363" spans="1:3" x14ac:dyDescent="0.2">
      <c r="A2363" s="1">
        <v>42640</v>
      </c>
      <c r="B2363">
        <v>134.19999999999999</v>
      </c>
      <c r="C2363" s="2">
        <f t="shared" si="37"/>
        <v>-5.2025386761288895E-3</v>
      </c>
    </row>
    <row r="2364" spans="1:3" x14ac:dyDescent="0.2">
      <c r="A2364" s="1">
        <v>42639</v>
      </c>
      <c r="B2364">
        <v>134.9</v>
      </c>
      <c r="C2364" s="2">
        <f t="shared" si="37"/>
        <v>-9.5906305017016448E-3</v>
      </c>
    </row>
    <row r="2365" spans="1:3" x14ac:dyDescent="0.2">
      <c r="A2365" s="1">
        <v>42636</v>
      </c>
      <c r="B2365">
        <v>136.19999999999999</v>
      </c>
      <c r="C2365" s="2">
        <f t="shared" si="37"/>
        <v>-2.0349539415279842E-2</v>
      </c>
    </row>
    <row r="2366" spans="1:3" x14ac:dyDescent="0.2">
      <c r="A2366" s="1">
        <v>42635</v>
      </c>
      <c r="B2366">
        <v>139</v>
      </c>
      <c r="C2366" s="2">
        <f t="shared" si="37"/>
        <v>2.919915469226235E-2</v>
      </c>
    </row>
    <row r="2367" spans="1:3" x14ac:dyDescent="0.2">
      <c r="A2367" s="1">
        <v>42634</v>
      </c>
      <c r="B2367">
        <v>135</v>
      </c>
      <c r="C2367" s="2">
        <f t="shared" si="37"/>
        <v>6.6889881507967101E-3</v>
      </c>
    </row>
    <row r="2368" spans="1:3" x14ac:dyDescent="0.2">
      <c r="A2368" s="1">
        <v>42633</v>
      </c>
      <c r="B2368">
        <v>134.1</v>
      </c>
      <c r="C2368" s="2">
        <f t="shared" si="37"/>
        <v>-2.9392270127613647E-2</v>
      </c>
    </row>
    <row r="2369" spans="1:3" x14ac:dyDescent="0.2">
      <c r="A2369" s="1">
        <v>42632</v>
      </c>
      <c r="B2369">
        <v>138.1</v>
      </c>
      <c r="C2369" s="2">
        <f t="shared" si="37"/>
        <v>1.5323174679194371E-2</v>
      </c>
    </row>
    <row r="2370" spans="1:3" x14ac:dyDescent="0.2">
      <c r="A2370" s="1">
        <v>42629</v>
      </c>
      <c r="B2370">
        <v>136</v>
      </c>
      <c r="C2370" s="2">
        <f t="shared" si="37"/>
        <v>-6.5958465583511889E-3</v>
      </c>
    </row>
    <row r="2371" spans="1:3" x14ac:dyDescent="0.2">
      <c r="A2371" s="1">
        <v>42628</v>
      </c>
      <c r="B2371">
        <v>136.9</v>
      </c>
      <c r="C2371" s="2">
        <f t="shared" ref="C2371:C2434" si="38">+LN(B2371/B2372)</f>
        <v>1.1756197117660754E-2</v>
      </c>
    </row>
    <row r="2372" spans="1:3" x14ac:dyDescent="0.2">
      <c r="A2372" s="1">
        <v>42627</v>
      </c>
      <c r="B2372">
        <v>135.30000000000001</v>
      </c>
      <c r="C2372" s="2">
        <f t="shared" si="38"/>
        <v>2.2197567383130316E-3</v>
      </c>
    </row>
    <row r="2373" spans="1:3" x14ac:dyDescent="0.2">
      <c r="A2373" s="1">
        <v>42626</v>
      </c>
      <c r="B2373">
        <v>135</v>
      </c>
      <c r="C2373" s="2">
        <f t="shared" si="38"/>
        <v>1.8692133012152546E-2</v>
      </c>
    </row>
    <row r="2374" spans="1:3" x14ac:dyDescent="0.2">
      <c r="A2374" s="1">
        <v>42625</v>
      </c>
      <c r="B2374">
        <v>132.5</v>
      </c>
      <c r="C2374" s="2">
        <f t="shared" si="38"/>
        <v>-3.7664827954768934E-3</v>
      </c>
    </row>
    <row r="2375" spans="1:3" x14ac:dyDescent="0.2">
      <c r="A2375" s="1">
        <v>42622</v>
      </c>
      <c r="B2375">
        <v>133</v>
      </c>
      <c r="C2375" s="2">
        <f t="shared" si="38"/>
        <v>-1.3443070256452968E-2</v>
      </c>
    </row>
    <row r="2376" spans="1:3" x14ac:dyDescent="0.2">
      <c r="A2376" s="1">
        <v>42621</v>
      </c>
      <c r="B2376">
        <v>134.80000000000001</v>
      </c>
      <c r="C2376" s="2">
        <f t="shared" si="38"/>
        <v>5.9523985272953517E-3</v>
      </c>
    </row>
    <row r="2377" spans="1:3" x14ac:dyDescent="0.2">
      <c r="A2377" s="1">
        <v>42620</v>
      </c>
      <c r="B2377">
        <v>134</v>
      </c>
      <c r="C2377" s="2">
        <f t="shared" si="38"/>
        <v>7.4654725378456299E-4</v>
      </c>
    </row>
    <row r="2378" spans="1:3" x14ac:dyDescent="0.2">
      <c r="A2378" s="1">
        <v>42619</v>
      </c>
      <c r="B2378">
        <v>133.9</v>
      </c>
      <c r="C2378" s="2">
        <f t="shared" si="38"/>
        <v>-5.2141645135004768E-3</v>
      </c>
    </row>
    <row r="2379" spans="1:3" x14ac:dyDescent="0.2">
      <c r="A2379" s="1">
        <v>42618</v>
      </c>
      <c r="B2379">
        <v>134.6</v>
      </c>
      <c r="C2379" s="2">
        <f t="shared" si="38"/>
        <v>5.2141645135005028E-3</v>
      </c>
    </row>
    <row r="2380" spans="1:3" x14ac:dyDescent="0.2">
      <c r="A2380" s="1">
        <v>42615</v>
      </c>
      <c r="B2380">
        <v>133.9</v>
      </c>
      <c r="C2380" s="2">
        <f t="shared" si="38"/>
        <v>1.2021181576216884E-2</v>
      </c>
    </row>
    <row r="2381" spans="1:3" x14ac:dyDescent="0.2">
      <c r="A2381" s="1">
        <v>42614</v>
      </c>
      <c r="B2381">
        <v>132.30000000000001</v>
      </c>
      <c r="C2381" s="2">
        <f t="shared" si="38"/>
        <v>-5.2770571008436693E-3</v>
      </c>
    </row>
    <row r="2382" spans="1:3" x14ac:dyDescent="0.2">
      <c r="A2382" s="1">
        <v>42613</v>
      </c>
      <c r="B2382">
        <v>133</v>
      </c>
      <c r="C2382" s="2">
        <f t="shared" si="38"/>
        <v>-1.3443070256452968E-2</v>
      </c>
    </row>
    <row r="2383" spans="1:3" x14ac:dyDescent="0.2">
      <c r="A2383" s="1">
        <v>42612</v>
      </c>
      <c r="B2383">
        <v>134.80000000000001</v>
      </c>
      <c r="C2383" s="2">
        <f t="shared" si="38"/>
        <v>-1.3996545251696994E-2</v>
      </c>
    </row>
    <row r="2384" spans="1:3" x14ac:dyDescent="0.2">
      <c r="A2384" s="1">
        <v>42611</v>
      </c>
      <c r="B2384">
        <v>136.69999999999999</v>
      </c>
      <c r="C2384" s="2">
        <f t="shared" si="38"/>
        <v>-2.1921820982211586E-3</v>
      </c>
    </row>
    <row r="2385" spans="1:3" x14ac:dyDescent="0.2">
      <c r="A2385" s="1">
        <v>42608</v>
      </c>
      <c r="B2385">
        <v>137</v>
      </c>
      <c r="C2385" s="2">
        <f t="shared" si="38"/>
        <v>8.797710703529131E-3</v>
      </c>
    </row>
    <row r="2386" spans="1:3" x14ac:dyDescent="0.2">
      <c r="A2386" s="1">
        <v>42607</v>
      </c>
      <c r="B2386">
        <v>135.80000000000001</v>
      </c>
      <c r="C2386" s="2">
        <f t="shared" si="38"/>
        <v>-8.7977107035290842E-3</v>
      </c>
    </row>
    <row r="2387" spans="1:3" x14ac:dyDescent="0.2">
      <c r="A2387" s="1">
        <v>42606</v>
      </c>
      <c r="B2387">
        <v>137</v>
      </c>
      <c r="C2387" s="2">
        <f t="shared" si="38"/>
        <v>-2.9154539601241309E-3</v>
      </c>
    </row>
    <row r="2388" spans="1:3" x14ac:dyDescent="0.2">
      <c r="A2388" s="1">
        <v>42605</v>
      </c>
      <c r="B2388">
        <v>137.4</v>
      </c>
      <c r="C2388" s="2">
        <f t="shared" si="38"/>
        <v>1.4663019310074271E-2</v>
      </c>
    </row>
    <row r="2389" spans="1:3" x14ac:dyDescent="0.2">
      <c r="A2389" s="1">
        <v>42604</v>
      </c>
      <c r="B2389">
        <v>135.4</v>
      </c>
      <c r="C2389" s="2">
        <f t="shared" si="38"/>
        <v>-8.0912541468397756E-3</v>
      </c>
    </row>
    <row r="2390" spans="1:3" x14ac:dyDescent="0.2">
      <c r="A2390" s="1">
        <v>42601</v>
      </c>
      <c r="B2390">
        <v>136.5</v>
      </c>
      <c r="C2390" s="2">
        <f t="shared" si="38"/>
        <v>-6.5717651632346136E-3</v>
      </c>
    </row>
    <row r="2391" spans="1:3" x14ac:dyDescent="0.2">
      <c r="A2391" s="1">
        <v>42600</v>
      </c>
      <c r="B2391">
        <v>137.4</v>
      </c>
      <c r="C2391" s="2">
        <f t="shared" si="38"/>
        <v>1.244981294742557E-2</v>
      </c>
    </row>
    <row r="2392" spans="1:3" x14ac:dyDescent="0.2">
      <c r="A2392" s="1">
        <v>42599</v>
      </c>
      <c r="B2392">
        <v>135.69999999999999</v>
      </c>
      <c r="C2392" s="2">
        <f t="shared" si="38"/>
        <v>-1.5356791738734934E-2</v>
      </c>
    </row>
    <row r="2393" spans="1:3" x14ac:dyDescent="0.2">
      <c r="A2393" s="1">
        <v>42598</v>
      </c>
      <c r="B2393">
        <v>137.80000000000001</v>
      </c>
      <c r="C2393" s="2">
        <f t="shared" si="38"/>
        <v>-5.0669670478349551E-3</v>
      </c>
    </row>
    <row r="2394" spans="1:3" x14ac:dyDescent="0.2">
      <c r="A2394" s="1">
        <v>42597</v>
      </c>
      <c r="B2394">
        <v>138.5</v>
      </c>
      <c r="C2394" s="2">
        <f t="shared" si="38"/>
        <v>1.0159739059124477E-2</v>
      </c>
    </row>
    <row r="2395" spans="1:3" x14ac:dyDescent="0.2">
      <c r="A2395" s="1">
        <v>42594</v>
      </c>
      <c r="B2395">
        <v>137.1</v>
      </c>
      <c r="C2395" s="2">
        <f t="shared" si="38"/>
        <v>0</v>
      </c>
    </row>
    <row r="2396" spans="1:3" x14ac:dyDescent="0.2">
      <c r="A2396" s="1">
        <v>42593</v>
      </c>
      <c r="B2396">
        <v>137.1</v>
      </c>
      <c r="C2396" s="2">
        <f t="shared" si="38"/>
        <v>7.2966074014364616E-4</v>
      </c>
    </row>
    <row r="2397" spans="1:3" x14ac:dyDescent="0.2">
      <c r="A2397" s="1">
        <v>42592</v>
      </c>
      <c r="B2397">
        <v>137</v>
      </c>
      <c r="C2397" s="2">
        <f t="shared" si="38"/>
        <v>-6.5478589711312485E-3</v>
      </c>
    </row>
    <row r="2398" spans="1:3" x14ac:dyDescent="0.2">
      <c r="A2398" s="1">
        <v>42591</v>
      </c>
      <c r="B2398">
        <v>137.9</v>
      </c>
      <c r="C2398" s="2">
        <f t="shared" si="38"/>
        <v>4.2969573270976634E-2</v>
      </c>
    </row>
    <row r="2399" spans="1:3" x14ac:dyDescent="0.2">
      <c r="A2399" s="1">
        <v>42590</v>
      </c>
      <c r="B2399">
        <v>132.1</v>
      </c>
      <c r="C2399" s="2">
        <f t="shared" si="38"/>
        <v>7.5728894190875765E-4</v>
      </c>
    </row>
    <row r="2400" spans="1:3" x14ac:dyDescent="0.2">
      <c r="A2400" s="1">
        <v>42587</v>
      </c>
      <c r="B2400">
        <v>132</v>
      </c>
      <c r="C2400" s="2">
        <f t="shared" si="38"/>
        <v>4.5558165358606613E-3</v>
      </c>
    </row>
    <row r="2401" spans="1:3" x14ac:dyDescent="0.2">
      <c r="A2401" s="1">
        <v>42586</v>
      </c>
      <c r="B2401">
        <v>131.4</v>
      </c>
      <c r="C2401" s="2">
        <f t="shared" si="38"/>
        <v>5.341485420334002E-3</v>
      </c>
    </row>
    <row r="2402" spans="1:3" x14ac:dyDescent="0.2">
      <c r="A2402" s="1">
        <v>42585</v>
      </c>
      <c r="B2402">
        <v>130.69999999999999</v>
      </c>
      <c r="C2402" s="2">
        <f t="shared" si="38"/>
        <v>-3.8182558798123788E-3</v>
      </c>
    </row>
    <row r="2403" spans="1:3" x14ac:dyDescent="0.2">
      <c r="A2403" s="1">
        <v>42584</v>
      </c>
      <c r="B2403">
        <v>131.19999999999999</v>
      </c>
      <c r="C2403" s="2">
        <f t="shared" si="38"/>
        <v>-2.4841322531905165E-2</v>
      </c>
    </row>
    <row r="2404" spans="1:3" x14ac:dyDescent="0.2">
      <c r="A2404" s="1">
        <v>42583</v>
      </c>
      <c r="B2404">
        <v>134.5</v>
      </c>
      <c r="C2404" s="2">
        <f t="shared" si="38"/>
        <v>-2.9695641718164318E-3</v>
      </c>
    </row>
    <row r="2405" spans="1:3" x14ac:dyDescent="0.2">
      <c r="A2405" s="1">
        <v>42580</v>
      </c>
      <c r="B2405">
        <v>134.9</v>
      </c>
      <c r="C2405" s="2">
        <f t="shared" si="38"/>
        <v>-5.1756122925848752E-3</v>
      </c>
    </row>
    <row r="2406" spans="1:3" x14ac:dyDescent="0.2">
      <c r="A2406" s="1">
        <v>42579</v>
      </c>
      <c r="B2406">
        <v>135.6</v>
      </c>
      <c r="C2406" s="2">
        <f t="shared" si="38"/>
        <v>3.694130540142098E-3</v>
      </c>
    </row>
    <row r="2407" spans="1:3" x14ac:dyDescent="0.2">
      <c r="A2407" s="1">
        <v>42578</v>
      </c>
      <c r="B2407">
        <v>135.1</v>
      </c>
      <c r="C2407" s="2">
        <f t="shared" si="38"/>
        <v>2.0943173845242954E-2</v>
      </c>
    </row>
    <row r="2408" spans="1:3" x14ac:dyDescent="0.2">
      <c r="A2408" s="1">
        <v>42577</v>
      </c>
      <c r="B2408">
        <v>132.30000000000001</v>
      </c>
      <c r="C2408" s="2">
        <f t="shared" si="38"/>
        <v>2.2701485345392992E-3</v>
      </c>
    </row>
    <row r="2409" spans="1:3" x14ac:dyDescent="0.2">
      <c r="A2409" s="1">
        <v>42576</v>
      </c>
      <c r="B2409">
        <v>132</v>
      </c>
      <c r="C2409" s="2">
        <f t="shared" si="38"/>
        <v>2.2753138371356054E-3</v>
      </c>
    </row>
    <row r="2410" spans="1:3" x14ac:dyDescent="0.2">
      <c r="A2410" s="1">
        <v>42573</v>
      </c>
      <c r="B2410">
        <v>131.69999999999999</v>
      </c>
      <c r="C2410" s="2">
        <f t="shared" si="38"/>
        <v>3.8037322392467767E-3</v>
      </c>
    </row>
    <row r="2411" spans="1:3" x14ac:dyDescent="0.2">
      <c r="A2411" s="1">
        <v>42572</v>
      </c>
      <c r="B2411">
        <v>131.19999999999999</v>
      </c>
      <c r="C2411" s="2">
        <f t="shared" si="38"/>
        <v>-7.6190479876202472E-4</v>
      </c>
    </row>
    <row r="2412" spans="1:3" x14ac:dyDescent="0.2">
      <c r="A2412" s="1">
        <v>42571</v>
      </c>
      <c r="B2412">
        <v>131.30000000000001</v>
      </c>
      <c r="C2412" s="2">
        <f t="shared" si="38"/>
        <v>1.3803900169158079E-2</v>
      </c>
    </row>
    <row r="2413" spans="1:3" x14ac:dyDescent="0.2">
      <c r="A2413" s="1">
        <v>42570</v>
      </c>
      <c r="B2413">
        <v>129.5</v>
      </c>
      <c r="C2413" s="2">
        <f t="shared" si="38"/>
        <v>1.5455953617805433E-3</v>
      </c>
    </row>
    <row r="2414" spans="1:3" x14ac:dyDescent="0.2">
      <c r="A2414" s="1">
        <v>42569</v>
      </c>
      <c r="B2414">
        <v>129.30000000000001</v>
      </c>
      <c r="C2414" s="2">
        <f t="shared" si="38"/>
        <v>-7.2338647352879884E-2</v>
      </c>
    </row>
    <row r="2415" spans="1:3" x14ac:dyDescent="0.2">
      <c r="A2415" s="1">
        <v>42566</v>
      </c>
      <c r="B2415">
        <v>139</v>
      </c>
      <c r="C2415" s="2">
        <f t="shared" si="38"/>
        <v>1.5223200836288463E-2</v>
      </c>
    </row>
    <row r="2416" spans="1:3" x14ac:dyDescent="0.2">
      <c r="A2416" s="1">
        <v>42565</v>
      </c>
      <c r="B2416">
        <v>136.9</v>
      </c>
      <c r="C2416" s="2">
        <f t="shared" si="38"/>
        <v>1.3235487328250172E-2</v>
      </c>
    </row>
    <row r="2417" spans="1:3" x14ac:dyDescent="0.2">
      <c r="A2417" s="1">
        <v>42564</v>
      </c>
      <c r="B2417">
        <v>135.1</v>
      </c>
      <c r="C2417" s="2">
        <f t="shared" si="38"/>
        <v>2.2230464879464517E-3</v>
      </c>
    </row>
    <row r="2418" spans="1:3" x14ac:dyDescent="0.2">
      <c r="A2418" s="1">
        <v>42563</v>
      </c>
      <c r="B2418">
        <v>134.80000000000001</v>
      </c>
      <c r="C2418" s="2">
        <f t="shared" si="38"/>
        <v>2.2279994363129363E-3</v>
      </c>
    </row>
    <row r="2419" spans="1:3" x14ac:dyDescent="0.2">
      <c r="A2419" s="1">
        <v>42562</v>
      </c>
      <c r="B2419">
        <v>134.5</v>
      </c>
      <c r="C2419" s="2">
        <f t="shared" si="38"/>
        <v>2.2557347424074527E-2</v>
      </c>
    </row>
    <row r="2420" spans="1:3" x14ac:dyDescent="0.2">
      <c r="A2420" s="1">
        <v>42559</v>
      </c>
      <c r="B2420">
        <v>131.5</v>
      </c>
      <c r="C2420" s="2">
        <f t="shared" si="38"/>
        <v>1.9194447256147159E-2</v>
      </c>
    </row>
    <row r="2421" spans="1:3" x14ac:dyDescent="0.2">
      <c r="A2421" s="1">
        <v>42558</v>
      </c>
      <c r="B2421">
        <v>129</v>
      </c>
      <c r="C2421" s="2">
        <f t="shared" si="38"/>
        <v>1.3265898798311271E-2</v>
      </c>
    </row>
    <row r="2422" spans="1:3" x14ac:dyDescent="0.2">
      <c r="A2422" s="1">
        <v>42557</v>
      </c>
      <c r="B2422">
        <v>127.3</v>
      </c>
      <c r="C2422" s="2">
        <f t="shared" si="38"/>
        <v>-1.0160306240158117E-2</v>
      </c>
    </row>
    <row r="2423" spans="1:3" x14ac:dyDescent="0.2">
      <c r="A2423" s="1">
        <v>42556</v>
      </c>
      <c r="B2423">
        <v>128.6</v>
      </c>
      <c r="C2423" s="2">
        <f t="shared" si="38"/>
        <v>-2.609511078285184E-2</v>
      </c>
    </row>
    <row r="2424" spans="1:3" x14ac:dyDescent="0.2">
      <c r="A2424" s="1">
        <v>42555</v>
      </c>
      <c r="B2424">
        <v>132</v>
      </c>
      <c r="C2424" s="2">
        <f t="shared" si="38"/>
        <v>-2.2472855852058628E-2</v>
      </c>
    </row>
    <row r="2425" spans="1:3" x14ac:dyDescent="0.2">
      <c r="A2425" s="1">
        <v>42552</v>
      </c>
      <c r="B2425">
        <v>135</v>
      </c>
      <c r="C2425" s="2">
        <f t="shared" si="38"/>
        <v>2.2472855852058576E-2</v>
      </c>
    </row>
    <row r="2426" spans="1:3" x14ac:dyDescent="0.2">
      <c r="A2426" s="1">
        <v>42551</v>
      </c>
      <c r="B2426">
        <v>132</v>
      </c>
      <c r="C2426" s="2">
        <f t="shared" si="38"/>
        <v>1.8349138668196617E-2</v>
      </c>
    </row>
    <row r="2427" spans="1:3" x14ac:dyDescent="0.2">
      <c r="A2427" s="1">
        <v>42550</v>
      </c>
      <c r="B2427">
        <v>129.6</v>
      </c>
      <c r="C2427" s="2">
        <f t="shared" si="38"/>
        <v>4.1754785401508954E-2</v>
      </c>
    </row>
    <row r="2428" spans="1:3" x14ac:dyDescent="0.2">
      <c r="A2428" s="1">
        <v>42549</v>
      </c>
      <c r="B2428">
        <v>124.3</v>
      </c>
      <c r="C2428" s="2">
        <f t="shared" si="38"/>
        <v>1.2140982803623235E-2</v>
      </c>
    </row>
    <row r="2429" spans="1:3" x14ac:dyDescent="0.2">
      <c r="A2429" s="1">
        <v>42548</v>
      </c>
      <c r="B2429">
        <v>122.8</v>
      </c>
      <c r="C2429" s="2">
        <f t="shared" si="38"/>
        <v>-9.4717762725387428E-2</v>
      </c>
    </row>
    <row r="2430" spans="1:3" x14ac:dyDescent="0.2">
      <c r="A2430" s="1">
        <v>42544</v>
      </c>
      <c r="B2430">
        <v>135</v>
      </c>
      <c r="C2430" s="2">
        <f t="shared" si="38"/>
        <v>2.3989156370022576E-2</v>
      </c>
    </row>
    <row r="2431" spans="1:3" x14ac:dyDescent="0.2">
      <c r="A2431" s="1">
        <v>42543</v>
      </c>
      <c r="B2431">
        <v>131.80000000000001</v>
      </c>
      <c r="C2431" s="2">
        <f t="shared" si="38"/>
        <v>3.8008407596563962E-3</v>
      </c>
    </row>
    <row r="2432" spans="1:3" x14ac:dyDescent="0.2">
      <c r="A2432" s="1">
        <v>42542</v>
      </c>
      <c r="B2432">
        <v>131.30000000000001</v>
      </c>
      <c r="C2432" s="2">
        <f t="shared" si="38"/>
        <v>1.1489977038760932E-2</v>
      </c>
    </row>
    <row r="2433" spans="1:3" x14ac:dyDescent="0.2">
      <c r="A2433" s="1">
        <v>42541</v>
      </c>
      <c r="B2433">
        <v>129.80000000000001</v>
      </c>
      <c r="C2433" s="2">
        <f t="shared" si="38"/>
        <v>4.0886197916636981E-2</v>
      </c>
    </row>
    <row r="2434" spans="1:3" x14ac:dyDescent="0.2">
      <c r="A2434" s="1">
        <v>42538</v>
      </c>
      <c r="B2434">
        <v>124.6</v>
      </c>
      <c r="C2434" s="2">
        <f t="shared" si="38"/>
        <v>1.4551590640310686E-2</v>
      </c>
    </row>
    <row r="2435" spans="1:3" x14ac:dyDescent="0.2">
      <c r="A2435" s="1">
        <v>42537</v>
      </c>
      <c r="B2435">
        <v>122.8</v>
      </c>
      <c r="C2435" s="2">
        <f t="shared" ref="C2435:C2498" si="39">+LN(B2435/B2436)</f>
        <v>-3.284235900729994E-2</v>
      </c>
    </row>
    <row r="2436" spans="1:3" x14ac:dyDescent="0.2">
      <c r="A2436" s="1">
        <v>42536</v>
      </c>
      <c r="B2436">
        <v>126.9</v>
      </c>
      <c r="C2436" s="2">
        <f t="shared" si="39"/>
        <v>1.9897194415262873E-2</v>
      </c>
    </row>
    <row r="2437" spans="1:3" x14ac:dyDescent="0.2">
      <c r="A2437" s="1">
        <v>42535</v>
      </c>
      <c r="B2437">
        <v>124.4</v>
      </c>
      <c r="C2437" s="2">
        <f t="shared" si="39"/>
        <v>-1.1191163961260993E-2</v>
      </c>
    </row>
    <row r="2438" spans="1:3" x14ac:dyDescent="0.2">
      <c r="A2438" s="1">
        <v>42534</v>
      </c>
      <c r="B2438">
        <v>125.8</v>
      </c>
      <c r="C2438" s="2">
        <f t="shared" si="39"/>
        <v>-1.6555364318456913E-2</v>
      </c>
    </row>
    <row r="2439" spans="1:3" x14ac:dyDescent="0.2">
      <c r="A2439" s="1">
        <v>42531</v>
      </c>
      <c r="B2439">
        <v>127.9</v>
      </c>
      <c r="C2439" s="2">
        <f t="shared" si="39"/>
        <v>-1.705467693366252E-2</v>
      </c>
    </row>
    <row r="2440" spans="1:3" x14ac:dyDescent="0.2">
      <c r="A2440" s="1">
        <v>42530</v>
      </c>
      <c r="B2440">
        <v>130.1</v>
      </c>
      <c r="C2440" s="2">
        <f t="shared" si="39"/>
        <v>-6.8939376826920428E-3</v>
      </c>
    </row>
    <row r="2441" spans="1:3" x14ac:dyDescent="0.2">
      <c r="A2441" s="1">
        <v>42529</v>
      </c>
      <c r="B2441">
        <v>131</v>
      </c>
      <c r="C2441" s="2">
        <f t="shared" si="39"/>
        <v>2.0826051579560797E-2</v>
      </c>
    </row>
    <row r="2442" spans="1:3" x14ac:dyDescent="0.2">
      <c r="A2442" s="1">
        <v>42528</v>
      </c>
      <c r="B2442">
        <v>128.30000000000001</v>
      </c>
      <c r="C2442" s="2">
        <f t="shared" si="39"/>
        <v>2.7658815686263466E-2</v>
      </c>
    </row>
    <row r="2443" spans="1:3" x14ac:dyDescent="0.2">
      <c r="A2443" s="1">
        <v>42524</v>
      </c>
      <c r="B2443">
        <v>124.8</v>
      </c>
      <c r="C2443" s="2">
        <f t="shared" si="39"/>
        <v>-1.8261722260081048E-2</v>
      </c>
    </row>
    <row r="2444" spans="1:3" x14ac:dyDescent="0.2">
      <c r="A2444" s="1">
        <v>42523</v>
      </c>
      <c r="B2444">
        <v>127.1</v>
      </c>
      <c r="C2444" s="2">
        <f t="shared" si="39"/>
        <v>7.8709173681700256E-4</v>
      </c>
    </row>
    <row r="2445" spans="1:3" x14ac:dyDescent="0.2">
      <c r="A2445" s="1">
        <v>42522</v>
      </c>
      <c r="B2445">
        <v>127</v>
      </c>
      <c r="C2445" s="2">
        <f t="shared" si="39"/>
        <v>7.1118434877173739E-3</v>
      </c>
    </row>
    <row r="2446" spans="1:3" x14ac:dyDescent="0.2">
      <c r="A2446" s="1">
        <v>42521</v>
      </c>
      <c r="B2446">
        <v>126.1</v>
      </c>
      <c r="C2446" s="2">
        <f t="shared" si="39"/>
        <v>-4.7468443562195617E-3</v>
      </c>
    </row>
    <row r="2447" spans="1:3" x14ac:dyDescent="0.2">
      <c r="A2447" s="1">
        <v>42520</v>
      </c>
      <c r="B2447">
        <v>126.7</v>
      </c>
      <c r="C2447" s="2">
        <f t="shared" si="39"/>
        <v>5.5401803756153509E-3</v>
      </c>
    </row>
    <row r="2448" spans="1:3" x14ac:dyDescent="0.2">
      <c r="A2448" s="1">
        <v>42517</v>
      </c>
      <c r="B2448">
        <v>126</v>
      </c>
      <c r="C2448" s="2">
        <f t="shared" si="39"/>
        <v>-1.730963753509162E-2</v>
      </c>
    </row>
    <row r="2449" spans="1:3" x14ac:dyDescent="0.2">
      <c r="A2449" s="1">
        <v>42516</v>
      </c>
      <c r="B2449">
        <v>128.19999999999999</v>
      </c>
      <c r="C2449" s="2">
        <f t="shared" si="39"/>
        <v>1.4140062773812473E-2</v>
      </c>
    </row>
    <row r="2450" spans="1:3" x14ac:dyDescent="0.2">
      <c r="A2450" s="1">
        <v>42515</v>
      </c>
      <c r="B2450">
        <v>126.4</v>
      </c>
      <c r="C2450" s="2">
        <f t="shared" si="39"/>
        <v>4.7581374464170179E-3</v>
      </c>
    </row>
    <row r="2451" spans="1:3" x14ac:dyDescent="0.2">
      <c r="A2451" s="1">
        <v>42514</v>
      </c>
      <c r="B2451">
        <v>125.8</v>
      </c>
      <c r="C2451" s="2">
        <f t="shared" si="39"/>
        <v>1.5910902322419035E-3</v>
      </c>
    </row>
    <row r="2452" spans="1:3" x14ac:dyDescent="0.2">
      <c r="A2452" s="1">
        <v>42513</v>
      </c>
      <c r="B2452">
        <v>125.6</v>
      </c>
      <c r="C2452" s="2">
        <f t="shared" si="39"/>
        <v>-6.3492276786588919E-3</v>
      </c>
    </row>
    <row r="2453" spans="1:3" x14ac:dyDescent="0.2">
      <c r="A2453" s="1">
        <v>42510</v>
      </c>
      <c r="B2453">
        <v>126.4</v>
      </c>
      <c r="C2453" s="2">
        <f t="shared" si="39"/>
        <v>1.6753483196091646E-2</v>
      </c>
    </row>
    <row r="2454" spans="1:3" x14ac:dyDescent="0.2">
      <c r="A2454" s="1">
        <v>42509</v>
      </c>
      <c r="B2454">
        <v>124.3</v>
      </c>
      <c r="C2454" s="2">
        <f t="shared" si="39"/>
        <v>-1.6753483196091708E-2</v>
      </c>
    </row>
    <row r="2455" spans="1:3" x14ac:dyDescent="0.2">
      <c r="A2455" s="1">
        <v>42508</v>
      </c>
      <c r="B2455">
        <v>126.4</v>
      </c>
      <c r="C2455" s="2">
        <f t="shared" si="39"/>
        <v>7.9145235631177338E-4</v>
      </c>
    </row>
    <row r="2456" spans="1:3" x14ac:dyDescent="0.2">
      <c r="A2456" s="1">
        <v>42507</v>
      </c>
      <c r="B2456">
        <v>126.3</v>
      </c>
      <c r="C2456" s="2">
        <f t="shared" si="39"/>
        <v>3.1720883061439791E-3</v>
      </c>
    </row>
    <row r="2457" spans="1:3" x14ac:dyDescent="0.2">
      <c r="A2457" s="1">
        <v>42506</v>
      </c>
      <c r="B2457">
        <v>125.9</v>
      </c>
      <c r="C2457" s="2">
        <f t="shared" si="39"/>
        <v>5.5754823843033206E-3</v>
      </c>
    </row>
    <row r="2458" spans="1:3" x14ac:dyDescent="0.2">
      <c r="A2458" s="1">
        <v>42503</v>
      </c>
      <c r="B2458">
        <v>125.2</v>
      </c>
      <c r="C2458" s="2">
        <f t="shared" si="39"/>
        <v>9.6308930609613659E-3</v>
      </c>
    </row>
    <row r="2459" spans="1:3" x14ac:dyDescent="0.2">
      <c r="A2459" s="1">
        <v>42502</v>
      </c>
      <c r="B2459">
        <v>124</v>
      </c>
      <c r="C2459" s="2">
        <f t="shared" si="39"/>
        <v>-9.6308930609613E-3</v>
      </c>
    </row>
    <row r="2460" spans="1:3" x14ac:dyDescent="0.2">
      <c r="A2460" s="1">
        <v>42501</v>
      </c>
      <c r="B2460">
        <v>125.2</v>
      </c>
      <c r="C2460" s="2">
        <f t="shared" si="39"/>
        <v>-2.3932999058403786E-3</v>
      </c>
    </row>
    <row r="2461" spans="1:3" x14ac:dyDescent="0.2">
      <c r="A2461" s="1">
        <v>42500</v>
      </c>
      <c r="B2461">
        <v>125.5</v>
      </c>
      <c r="C2461" s="2">
        <f t="shared" si="39"/>
        <v>7.1971522184858094E-3</v>
      </c>
    </row>
    <row r="2462" spans="1:3" x14ac:dyDescent="0.2">
      <c r="A2462" s="1">
        <v>42499</v>
      </c>
      <c r="B2462">
        <v>124.6</v>
      </c>
      <c r="C2462" s="2">
        <f t="shared" si="39"/>
        <v>8.0580613297624414E-3</v>
      </c>
    </row>
    <row r="2463" spans="1:3" x14ac:dyDescent="0.2">
      <c r="A2463" s="1">
        <v>42496</v>
      </c>
      <c r="B2463">
        <v>123.6</v>
      </c>
      <c r="C2463" s="2">
        <f t="shared" si="39"/>
        <v>5.6795284516011632E-3</v>
      </c>
    </row>
    <row r="2464" spans="1:3" x14ac:dyDescent="0.2">
      <c r="A2464" s="1">
        <v>42494</v>
      </c>
      <c r="B2464">
        <v>122.9</v>
      </c>
      <c r="C2464" s="2">
        <f t="shared" si="39"/>
        <v>8.1400085894715998E-4</v>
      </c>
    </row>
    <row r="2465" spans="1:3" x14ac:dyDescent="0.2">
      <c r="A2465" s="1">
        <v>42493</v>
      </c>
      <c r="B2465">
        <v>122.8</v>
      </c>
      <c r="C2465" s="2">
        <f t="shared" si="39"/>
        <v>-1.5353836972948749E-2</v>
      </c>
    </row>
    <row r="2466" spans="1:3" x14ac:dyDescent="0.2">
      <c r="A2466" s="1">
        <v>42492</v>
      </c>
      <c r="B2466">
        <v>124.7</v>
      </c>
      <c r="C2466" s="2">
        <f t="shared" si="39"/>
        <v>-1.5121657024084996E-2</v>
      </c>
    </row>
    <row r="2467" spans="1:3" x14ac:dyDescent="0.2">
      <c r="A2467" s="1">
        <v>42489</v>
      </c>
      <c r="B2467">
        <v>126.6</v>
      </c>
      <c r="C2467" s="2">
        <f t="shared" si="39"/>
        <v>-1.2559034776493797E-2</v>
      </c>
    </row>
    <row r="2468" spans="1:3" x14ac:dyDescent="0.2">
      <c r="A2468" s="1">
        <v>42488</v>
      </c>
      <c r="B2468">
        <v>128.19999999999999</v>
      </c>
      <c r="C2468" s="2">
        <f t="shared" si="39"/>
        <v>1.4931515130124216E-2</v>
      </c>
    </row>
    <row r="2469" spans="1:3" x14ac:dyDescent="0.2">
      <c r="A2469" s="1">
        <v>42487</v>
      </c>
      <c r="B2469">
        <v>126.3</v>
      </c>
      <c r="C2469" s="2">
        <f t="shared" si="39"/>
        <v>-7.8864762069154448E-3</v>
      </c>
    </row>
    <row r="2470" spans="1:3" x14ac:dyDescent="0.2">
      <c r="A2470" s="1">
        <v>42486</v>
      </c>
      <c r="B2470">
        <v>127.3</v>
      </c>
      <c r="C2470" s="2">
        <f t="shared" si="39"/>
        <v>-3.852556555754931E-2</v>
      </c>
    </row>
    <row r="2471" spans="1:3" x14ac:dyDescent="0.2">
      <c r="A2471" s="1">
        <v>42485</v>
      </c>
      <c r="B2471">
        <v>132.30000000000001</v>
      </c>
      <c r="C2471" s="2">
        <f t="shared" si="39"/>
        <v>-2.6847250036187938E-2</v>
      </c>
    </row>
    <row r="2472" spans="1:3" x14ac:dyDescent="0.2">
      <c r="A2472" s="1">
        <v>42482</v>
      </c>
      <c r="B2472">
        <v>135.9</v>
      </c>
      <c r="C2472" s="2">
        <f t="shared" si="39"/>
        <v>-7.3314111373051442E-3</v>
      </c>
    </row>
    <row r="2473" spans="1:3" x14ac:dyDescent="0.2">
      <c r="A2473" s="1">
        <v>42481</v>
      </c>
      <c r="B2473">
        <v>136.9</v>
      </c>
      <c r="C2473" s="2">
        <f t="shared" si="39"/>
        <v>-1.6661015605915899E-2</v>
      </c>
    </row>
    <row r="2474" spans="1:3" x14ac:dyDescent="0.2">
      <c r="A2474" s="1">
        <v>42480</v>
      </c>
      <c r="B2474">
        <v>139.19999999999999</v>
      </c>
      <c r="C2474" s="2">
        <f t="shared" si="39"/>
        <v>2.0320002490957528E-2</v>
      </c>
    </row>
    <row r="2475" spans="1:3" x14ac:dyDescent="0.2">
      <c r="A2475" s="1">
        <v>42479</v>
      </c>
      <c r="B2475">
        <v>136.4</v>
      </c>
      <c r="C2475" s="2">
        <f t="shared" si="39"/>
        <v>3.9631354639707551E-2</v>
      </c>
    </row>
    <row r="2476" spans="1:3" x14ac:dyDescent="0.2">
      <c r="A2476" s="1">
        <v>42478</v>
      </c>
      <c r="B2476">
        <v>131.1</v>
      </c>
      <c r="C2476" s="2">
        <f t="shared" si="39"/>
        <v>2.2909517465557624E-3</v>
      </c>
    </row>
    <row r="2477" spans="1:3" x14ac:dyDescent="0.2">
      <c r="A2477" s="1">
        <v>42475</v>
      </c>
      <c r="B2477">
        <v>130.80000000000001</v>
      </c>
      <c r="C2477" s="2">
        <f t="shared" si="39"/>
        <v>-3.8153422856522312E-3</v>
      </c>
    </row>
    <row r="2478" spans="1:3" x14ac:dyDescent="0.2">
      <c r="A2478" s="1">
        <v>42474</v>
      </c>
      <c r="B2478">
        <v>131.30000000000001</v>
      </c>
      <c r="C2478" s="2">
        <f t="shared" si="39"/>
        <v>3.8153422856522824E-3</v>
      </c>
    </row>
    <row r="2479" spans="1:3" x14ac:dyDescent="0.2">
      <c r="A2479" s="1">
        <v>42473</v>
      </c>
      <c r="B2479">
        <v>130.80000000000001</v>
      </c>
      <c r="C2479" s="2">
        <f t="shared" si="39"/>
        <v>1.7740534687823994E-2</v>
      </c>
    </row>
    <row r="2480" spans="1:3" x14ac:dyDescent="0.2">
      <c r="A2480" s="1">
        <v>42472</v>
      </c>
      <c r="B2480">
        <v>128.5</v>
      </c>
      <c r="C2480" s="2">
        <f t="shared" si="39"/>
        <v>1.5576327136836792E-3</v>
      </c>
    </row>
    <row r="2481" spans="1:3" x14ac:dyDescent="0.2">
      <c r="A2481" s="1">
        <v>42471</v>
      </c>
      <c r="B2481">
        <v>128.30000000000001</v>
      </c>
      <c r="C2481" s="2">
        <f t="shared" si="39"/>
        <v>6.2549070231099728E-3</v>
      </c>
    </row>
    <row r="2482" spans="1:3" x14ac:dyDescent="0.2">
      <c r="A2482" s="1">
        <v>42468</v>
      </c>
      <c r="B2482">
        <v>127.5</v>
      </c>
      <c r="C2482" s="2">
        <f t="shared" si="39"/>
        <v>2.7028672387919419E-2</v>
      </c>
    </row>
    <row r="2483" spans="1:3" x14ac:dyDescent="0.2">
      <c r="A2483" s="1">
        <v>42467</v>
      </c>
      <c r="B2483">
        <v>124.1</v>
      </c>
      <c r="C2483" s="2">
        <f t="shared" si="39"/>
        <v>-1.7572337145883882E-2</v>
      </c>
    </row>
    <row r="2484" spans="1:3" x14ac:dyDescent="0.2">
      <c r="A2484" s="1">
        <v>42466</v>
      </c>
      <c r="B2484">
        <v>126.3</v>
      </c>
      <c r="C2484" s="2">
        <f t="shared" si="39"/>
        <v>-2.3724803536303565E-3</v>
      </c>
    </row>
    <row r="2485" spans="1:3" x14ac:dyDescent="0.2">
      <c r="A2485" s="1">
        <v>42465</v>
      </c>
      <c r="B2485">
        <v>126.6</v>
      </c>
      <c r="C2485" s="2">
        <f t="shared" si="39"/>
        <v>-3.0340717052672387E-2</v>
      </c>
    </row>
    <row r="2486" spans="1:3" x14ac:dyDescent="0.2">
      <c r="A2486" s="1">
        <v>42464</v>
      </c>
      <c r="B2486">
        <v>130.5</v>
      </c>
      <c r="C2486" s="2">
        <f t="shared" si="39"/>
        <v>5.3784224927583861E-3</v>
      </c>
    </row>
    <row r="2487" spans="1:3" x14ac:dyDescent="0.2">
      <c r="A2487" s="1">
        <v>42461</v>
      </c>
      <c r="B2487">
        <v>129.80000000000001</v>
      </c>
      <c r="C2487" s="2">
        <f t="shared" si="39"/>
        <v>-2.3602161449210009E-2</v>
      </c>
    </row>
    <row r="2488" spans="1:3" x14ac:dyDescent="0.2">
      <c r="A2488" s="1">
        <v>42460</v>
      </c>
      <c r="B2488">
        <v>132.9</v>
      </c>
      <c r="C2488" s="2">
        <f t="shared" si="39"/>
        <v>-2.9653766575203539E-2</v>
      </c>
    </row>
    <row r="2489" spans="1:3" x14ac:dyDescent="0.2">
      <c r="A2489" s="1">
        <v>42459</v>
      </c>
      <c r="B2489">
        <v>136.9</v>
      </c>
      <c r="C2489" s="2">
        <f t="shared" si="39"/>
        <v>2.664850510974023E-2</v>
      </c>
    </row>
    <row r="2490" spans="1:3" x14ac:dyDescent="0.2">
      <c r="A2490" s="1">
        <v>42458</v>
      </c>
      <c r="B2490">
        <v>133.30000000000001</v>
      </c>
      <c r="C2490" s="2">
        <f t="shared" si="39"/>
        <v>6.0195817583861286E-3</v>
      </c>
    </row>
    <row r="2491" spans="1:3" x14ac:dyDescent="0.2">
      <c r="A2491" s="1">
        <v>42453</v>
      </c>
      <c r="B2491">
        <v>132.5</v>
      </c>
      <c r="C2491" s="2">
        <f t="shared" si="39"/>
        <v>-1.943259953987618E-2</v>
      </c>
    </row>
    <row r="2492" spans="1:3" x14ac:dyDescent="0.2">
      <c r="A2492" s="1">
        <v>42452</v>
      </c>
      <c r="B2492">
        <v>135.1</v>
      </c>
      <c r="C2492" s="2">
        <f t="shared" si="39"/>
        <v>-3.694130540142046E-3</v>
      </c>
    </row>
    <row r="2493" spans="1:3" x14ac:dyDescent="0.2">
      <c r="A2493" s="1">
        <v>42451</v>
      </c>
      <c r="B2493">
        <v>135.6</v>
      </c>
      <c r="C2493" s="2">
        <f t="shared" si="39"/>
        <v>7.377351865395941E-4</v>
      </c>
    </row>
    <row r="2494" spans="1:3" x14ac:dyDescent="0.2">
      <c r="A2494" s="1">
        <v>42450</v>
      </c>
      <c r="B2494">
        <v>135.5</v>
      </c>
      <c r="C2494" s="2">
        <f t="shared" si="39"/>
        <v>-7.3773518653958673E-4</v>
      </c>
    </row>
    <row r="2495" spans="1:3" x14ac:dyDescent="0.2">
      <c r="A2495" s="1">
        <v>42447</v>
      </c>
      <c r="B2495">
        <v>135.6</v>
      </c>
      <c r="C2495" s="2">
        <f t="shared" si="39"/>
        <v>5.1756122925848856E-3</v>
      </c>
    </row>
    <row r="2496" spans="1:3" x14ac:dyDescent="0.2">
      <c r="A2496" s="1">
        <v>42446</v>
      </c>
      <c r="B2496">
        <v>134.9</v>
      </c>
      <c r="C2496" s="2">
        <f t="shared" si="39"/>
        <v>8.1876155195821088E-3</v>
      </c>
    </row>
    <row r="2497" spans="1:3" x14ac:dyDescent="0.2">
      <c r="A2497" s="1">
        <v>42445</v>
      </c>
      <c r="B2497">
        <v>133.80000000000001</v>
      </c>
      <c r="C2497" s="2">
        <f t="shared" si="39"/>
        <v>0</v>
      </c>
    </row>
    <row r="2498" spans="1:3" x14ac:dyDescent="0.2">
      <c r="A2498" s="1">
        <v>42444</v>
      </c>
      <c r="B2498">
        <v>133.80000000000001</v>
      </c>
      <c r="C2498" s="2">
        <f t="shared" si="39"/>
        <v>-2.655023209412084E-2</v>
      </c>
    </row>
    <row r="2499" spans="1:3" x14ac:dyDescent="0.2">
      <c r="A2499" s="1">
        <v>42443</v>
      </c>
      <c r="B2499">
        <v>137.4</v>
      </c>
      <c r="C2499" s="2">
        <f t="shared" ref="C2499:C2562" si="40">+LN(B2499/B2500)</f>
        <v>6.571765163234519E-3</v>
      </c>
    </row>
    <row r="2500" spans="1:3" x14ac:dyDescent="0.2">
      <c r="A2500" s="1">
        <v>42440</v>
      </c>
      <c r="B2500">
        <v>136.5</v>
      </c>
      <c r="C2500" s="2">
        <f t="shared" si="40"/>
        <v>2.4472856518725741E-2</v>
      </c>
    </row>
    <row r="2501" spans="1:3" x14ac:dyDescent="0.2">
      <c r="A2501" s="1">
        <v>42439</v>
      </c>
      <c r="B2501">
        <v>133.19999999999999</v>
      </c>
      <c r="C2501" s="2">
        <f t="shared" si="40"/>
        <v>-2.3006580596198343E-2</v>
      </c>
    </row>
    <row r="2502" spans="1:3" x14ac:dyDescent="0.2">
      <c r="A2502" s="1">
        <v>42438</v>
      </c>
      <c r="B2502">
        <v>136.30000000000001</v>
      </c>
      <c r="C2502" s="2">
        <f t="shared" si="40"/>
        <v>-6.5813765892978075E-3</v>
      </c>
    </row>
    <row r="2503" spans="1:3" x14ac:dyDescent="0.2">
      <c r="A2503" s="1">
        <v>42437</v>
      </c>
      <c r="B2503">
        <v>137.19999999999999</v>
      </c>
      <c r="C2503" s="2">
        <f t="shared" si="40"/>
        <v>-1.1594332780919482E-2</v>
      </c>
    </row>
    <row r="2504" spans="1:3" x14ac:dyDescent="0.2">
      <c r="A2504" s="1">
        <v>42436</v>
      </c>
      <c r="B2504">
        <v>138.80000000000001</v>
      </c>
      <c r="C2504" s="2">
        <f t="shared" si="40"/>
        <v>1.0865735298778734E-2</v>
      </c>
    </row>
    <row r="2505" spans="1:3" x14ac:dyDescent="0.2">
      <c r="A2505" s="1">
        <v>42433</v>
      </c>
      <c r="B2505">
        <v>137.30000000000001</v>
      </c>
      <c r="C2505" s="2">
        <f t="shared" si="40"/>
        <v>1.8376114295718709E-2</v>
      </c>
    </row>
    <row r="2506" spans="1:3" x14ac:dyDescent="0.2">
      <c r="A2506" s="1">
        <v>42432</v>
      </c>
      <c r="B2506">
        <v>134.80000000000001</v>
      </c>
      <c r="C2506" s="2">
        <f t="shared" si="40"/>
        <v>1.1189971293543587E-2</v>
      </c>
    </row>
    <row r="2507" spans="1:3" x14ac:dyDescent="0.2">
      <c r="A2507" s="1">
        <v>42431</v>
      </c>
      <c r="B2507">
        <v>133.30000000000001</v>
      </c>
      <c r="C2507" s="2">
        <f t="shared" si="40"/>
        <v>-1.489230799207936E-2</v>
      </c>
    </row>
    <row r="2508" spans="1:3" x14ac:dyDescent="0.2">
      <c r="A2508" s="1">
        <v>42430</v>
      </c>
      <c r="B2508">
        <v>135.30000000000001</v>
      </c>
      <c r="C2508" s="2">
        <f t="shared" si="40"/>
        <v>2.2197567383130316E-3</v>
      </c>
    </row>
    <row r="2509" spans="1:3" x14ac:dyDescent="0.2">
      <c r="A2509" s="1">
        <v>42429</v>
      </c>
      <c r="B2509">
        <v>135</v>
      </c>
      <c r="C2509" s="2">
        <f t="shared" si="40"/>
        <v>9.6762943305319891E-3</v>
      </c>
    </row>
    <row r="2510" spans="1:3" x14ac:dyDescent="0.2">
      <c r="A2510" s="1">
        <v>42426</v>
      </c>
      <c r="B2510">
        <v>133.69999999999999</v>
      </c>
      <c r="C2510" s="2">
        <f t="shared" si="40"/>
        <v>7.5075427697356336E-3</v>
      </c>
    </row>
    <row r="2511" spans="1:3" x14ac:dyDescent="0.2">
      <c r="A2511" s="1">
        <v>42425</v>
      </c>
      <c r="B2511">
        <v>132.69999999999999</v>
      </c>
      <c r="C2511" s="2">
        <f t="shared" si="40"/>
        <v>1.7484291845609203E-2</v>
      </c>
    </row>
    <row r="2512" spans="1:3" x14ac:dyDescent="0.2">
      <c r="A2512" s="1">
        <v>42424</v>
      </c>
      <c r="B2512">
        <v>130.4</v>
      </c>
      <c r="C2512" s="2">
        <f t="shared" si="40"/>
        <v>-3.2443433923765634E-2</v>
      </c>
    </row>
    <row r="2513" spans="1:3" x14ac:dyDescent="0.2">
      <c r="A2513" s="1">
        <v>42423</v>
      </c>
      <c r="B2513">
        <v>134.69999999999999</v>
      </c>
      <c r="C2513" s="2">
        <f t="shared" si="40"/>
        <v>-2.2753275163240029E-2</v>
      </c>
    </row>
    <row r="2514" spans="1:3" x14ac:dyDescent="0.2">
      <c r="A2514" s="1">
        <v>42422</v>
      </c>
      <c r="B2514">
        <v>137.80000000000001</v>
      </c>
      <c r="C2514" s="2">
        <f t="shared" si="40"/>
        <v>2.7217568291925402E-2</v>
      </c>
    </row>
    <row r="2515" spans="1:3" x14ac:dyDescent="0.2">
      <c r="A2515" s="1">
        <v>42419</v>
      </c>
      <c r="B2515">
        <v>134.1</v>
      </c>
      <c r="C2515" s="2">
        <f t="shared" si="40"/>
        <v>-7.4543424994850862E-4</v>
      </c>
    </row>
    <row r="2516" spans="1:3" x14ac:dyDescent="0.2">
      <c r="A2516" s="1">
        <v>42418</v>
      </c>
      <c r="B2516">
        <v>134.19999999999999</v>
      </c>
      <c r="C2516" s="2">
        <f t="shared" si="40"/>
        <v>-2.2837088236344099E-2</v>
      </c>
    </row>
    <row r="2517" spans="1:3" x14ac:dyDescent="0.2">
      <c r="A2517" s="1">
        <v>42417</v>
      </c>
      <c r="B2517">
        <v>137.30000000000001</v>
      </c>
      <c r="C2517" s="2">
        <f t="shared" si="40"/>
        <v>3.4077371435763726E-2</v>
      </c>
    </row>
    <row r="2518" spans="1:3" x14ac:dyDescent="0.2">
      <c r="A2518" s="1">
        <v>42416</v>
      </c>
      <c r="B2518">
        <v>132.69999999999999</v>
      </c>
      <c r="C2518" s="2">
        <f t="shared" si="40"/>
        <v>-2.2355625502661645E-2</v>
      </c>
    </row>
    <row r="2519" spans="1:3" x14ac:dyDescent="0.2">
      <c r="A2519" s="1">
        <v>42415</v>
      </c>
      <c r="B2519">
        <v>135.69999999999999</v>
      </c>
      <c r="C2519" s="2">
        <f t="shared" si="40"/>
        <v>1.6345089000519189E-2</v>
      </c>
    </row>
    <row r="2520" spans="1:3" x14ac:dyDescent="0.2">
      <c r="A2520" s="1">
        <v>42412</v>
      </c>
      <c r="B2520">
        <v>133.5</v>
      </c>
      <c r="C2520" s="2">
        <f t="shared" si="40"/>
        <v>7.2208308340925731E-2</v>
      </c>
    </row>
    <row r="2521" spans="1:3" x14ac:dyDescent="0.2">
      <c r="A2521" s="1">
        <v>42411</v>
      </c>
      <c r="B2521">
        <v>124.2</v>
      </c>
      <c r="C2521" s="2">
        <f t="shared" si="40"/>
        <v>-5.0246047342952203E-2</v>
      </c>
    </row>
    <row r="2522" spans="1:3" x14ac:dyDescent="0.2">
      <c r="A2522" s="1">
        <v>42410</v>
      </c>
      <c r="B2522">
        <v>130.6</v>
      </c>
      <c r="C2522" s="2">
        <f t="shared" si="40"/>
        <v>1.9328007939642147E-2</v>
      </c>
    </row>
    <row r="2523" spans="1:3" x14ac:dyDescent="0.2">
      <c r="A2523" s="1">
        <v>42409</v>
      </c>
      <c r="B2523">
        <v>128.1</v>
      </c>
      <c r="C2523" s="2">
        <f t="shared" si="40"/>
        <v>-7.8033558388108666E-4</v>
      </c>
    </row>
    <row r="2524" spans="1:3" x14ac:dyDescent="0.2">
      <c r="A2524" s="1">
        <v>42408</v>
      </c>
      <c r="B2524">
        <v>128.19999999999999</v>
      </c>
      <c r="C2524" s="2">
        <f t="shared" si="40"/>
        <v>-3.4499396851592111E-2</v>
      </c>
    </row>
    <row r="2525" spans="1:3" x14ac:dyDescent="0.2">
      <c r="A2525" s="1">
        <v>42405</v>
      </c>
      <c r="B2525">
        <v>132.69999999999999</v>
      </c>
      <c r="C2525" s="2">
        <f t="shared" si="40"/>
        <v>7.5386358639968956E-4</v>
      </c>
    </row>
    <row r="2526" spans="1:3" x14ac:dyDescent="0.2">
      <c r="A2526" s="1">
        <v>42404</v>
      </c>
      <c r="B2526">
        <v>132.6</v>
      </c>
      <c r="C2526" s="2">
        <f t="shared" si="40"/>
        <v>3.0630265948243206E-2</v>
      </c>
    </row>
    <row r="2527" spans="1:3" x14ac:dyDescent="0.2">
      <c r="A2527" s="1">
        <v>42403</v>
      </c>
      <c r="B2527">
        <v>128.6</v>
      </c>
      <c r="C2527" s="2">
        <f t="shared" si="40"/>
        <v>-2.609511078285184E-2</v>
      </c>
    </row>
    <row r="2528" spans="1:3" x14ac:dyDescent="0.2">
      <c r="A2528" s="1">
        <v>42402</v>
      </c>
      <c r="B2528">
        <v>132</v>
      </c>
      <c r="C2528" s="2">
        <f t="shared" si="40"/>
        <v>-0.11845620969728791</v>
      </c>
    </row>
    <row r="2529" spans="1:3" x14ac:dyDescent="0.2">
      <c r="A2529" s="1">
        <v>42401</v>
      </c>
      <c r="B2529">
        <v>148.6</v>
      </c>
      <c r="C2529" s="2">
        <f t="shared" si="40"/>
        <v>1.0825545504922545E-2</v>
      </c>
    </row>
    <row r="2530" spans="1:3" x14ac:dyDescent="0.2">
      <c r="A2530" s="1">
        <v>42398</v>
      </c>
      <c r="B2530">
        <v>147</v>
      </c>
      <c r="C2530" s="2">
        <f t="shared" si="40"/>
        <v>1.4388737452099671E-2</v>
      </c>
    </row>
    <row r="2531" spans="1:3" x14ac:dyDescent="0.2">
      <c r="A2531" s="1">
        <v>42397</v>
      </c>
      <c r="B2531">
        <v>144.9</v>
      </c>
      <c r="C2531" s="2">
        <f t="shared" si="40"/>
        <v>-8.931697989041372E-3</v>
      </c>
    </row>
    <row r="2532" spans="1:3" x14ac:dyDescent="0.2">
      <c r="A2532" s="1">
        <v>42396</v>
      </c>
      <c r="B2532">
        <v>146.19999999999999</v>
      </c>
      <c r="C2532" s="2">
        <f t="shared" si="40"/>
        <v>9.6220673640620303E-3</v>
      </c>
    </row>
    <row r="2533" spans="1:3" x14ac:dyDescent="0.2">
      <c r="A2533" s="1">
        <v>42395</v>
      </c>
      <c r="B2533">
        <v>144.80000000000001</v>
      </c>
      <c r="C2533" s="2">
        <f t="shared" si="40"/>
        <v>1.9526422350355236E-2</v>
      </c>
    </row>
    <row r="2534" spans="1:3" x14ac:dyDescent="0.2">
      <c r="A2534" s="1">
        <v>42394</v>
      </c>
      <c r="B2534">
        <v>142</v>
      </c>
      <c r="C2534" s="2">
        <f t="shared" si="40"/>
        <v>-1.8835576036177418E-2</v>
      </c>
    </row>
    <row r="2535" spans="1:3" x14ac:dyDescent="0.2">
      <c r="A2535" s="1">
        <v>42391</v>
      </c>
      <c r="B2535">
        <v>144.69999999999999</v>
      </c>
      <c r="C2535" s="2">
        <f t="shared" si="40"/>
        <v>4.6684573222191758E-2</v>
      </c>
    </row>
    <row r="2536" spans="1:3" x14ac:dyDescent="0.2">
      <c r="A2536" s="1">
        <v>42390</v>
      </c>
      <c r="B2536">
        <v>138.1</v>
      </c>
      <c r="C2536" s="2">
        <f t="shared" si="40"/>
        <v>2.1222896806382743E-2</v>
      </c>
    </row>
    <row r="2537" spans="1:3" x14ac:dyDescent="0.2">
      <c r="A2537" s="1">
        <v>42389</v>
      </c>
      <c r="B2537">
        <v>135.19999999999999</v>
      </c>
      <c r="C2537" s="2">
        <f t="shared" si="40"/>
        <v>-3.3457666190846357E-2</v>
      </c>
    </row>
    <row r="2538" spans="1:3" x14ac:dyDescent="0.2">
      <c r="A2538" s="1">
        <v>42388</v>
      </c>
      <c r="B2538">
        <v>139.80000000000001</v>
      </c>
      <c r="C2538" s="2">
        <f t="shared" si="40"/>
        <v>1.1510918466140491E-2</v>
      </c>
    </row>
    <row r="2539" spans="1:3" x14ac:dyDescent="0.2">
      <c r="A2539" s="1">
        <v>42387</v>
      </c>
      <c r="B2539">
        <v>138.19999999999999</v>
      </c>
      <c r="C2539" s="2">
        <f t="shared" si="40"/>
        <v>1.448226176364748E-3</v>
      </c>
    </row>
    <row r="2540" spans="1:3" x14ac:dyDescent="0.2">
      <c r="A2540" s="1">
        <v>42384</v>
      </c>
      <c r="B2540">
        <v>138</v>
      </c>
      <c r="C2540" s="2">
        <f t="shared" si="40"/>
        <v>-3.559094510270263E-2</v>
      </c>
    </row>
    <row r="2541" spans="1:3" x14ac:dyDescent="0.2">
      <c r="A2541" s="1">
        <v>42383</v>
      </c>
      <c r="B2541">
        <v>143</v>
      </c>
      <c r="C2541" s="2">
        <f t="shared" si="40"/>
        <v>-2.4863159192643831E-2</v>
      </c>
    </row>
    <row r="2542" spans="1:3" x14ac:dyDescent="0.2">
      <c r="A2542" s="1">
        <v>42382</v>
      </c>
      <c r="B2542">
        <v>146.6</v>
      </c>
      <c r="C2542" s="2">
        <f t="shared" si="40"/>
        <v>1.8589175559228982E-2</v>
      </c>
    </row>
    <row r="2543" spans="1:3" x14ac:dyDescent="0.2">
      <c r="A2543" s="1">
        <v>42381</v>
      </c>
      <c r="B2543">
        <v>143.9</v>
      </c>
      <c r="C2543" s="2">
        <f t="shared" si="40"/>
        <v>1.1181108797515301E-2</v>
      </c>
    </row>
    <row r="2544" spans="1:3" x14ac:dyDescent="0.2">
      <c r="A2544" s="1">
        <v>42380</v>
      </c>
      <c r="B2544">
        <v>142.30000000000001</v>
      </c>
      <c r="C2544" s="2">
        <f t="shared" si="40"/>
        <v>-1.4044946128984469E-3</v>
      </c>
    </row>
    <row r="2545" spans="1:3" x14ac:dyDescent="0.2">
      <c r="A2545" s="1">
        <v>42377</v>
      </c>
      <c r="B2545">
        <v>142.5</v>
      </c>
      <c r="C2545" s="2">
        <f t="shared" si="40"/>
        <v>4.2194155427082896E-3</v>
      </c>
    </row>
    <row r="2546" spans="1:3" x14ac:dyDescent="0.2">
      <c r="A2546" s="1">
        <v>42376</v>
      </c>
      <c r="B2546">
        <v>141.9</v>
      </c>
      <c r="C2546" s="2">
        <f t="shared" si="40"/>
        <v>-3.1220017361214158E-2</v>
      </c>
    </row>
    <row r="2547" spans="1:3" x14ac:dyDescent="0.2">
      <c r="A2547" s="1">
        <v>42374</v>
      </c>
      <c r="B2547">
        <v>146.4</v>
      </c>
      <c r="C2547" s="2">
        <f t="shared" si="40"/>
        <v>-1.3568729206068903E-2</v>
      </c>
    </row>
    <row r="2548" spans="1:3" x14ac:dyDescent="0.2">
      <c r="A2548" s="1">
        <v>42373</v>
      </c>
      <c r="B2548">
        <v>148.4</v>
      </c>
      <c r="C2548" s="2">
        <f t="shared" si="40"/>
        <v>-4.3513786185966449E-2</v>
      </c>
    </row>
    <row r="2549" spans="1:3" x14ac:dyDescent="0.2">
      <c r="A2549" s="1">
        <v>42368</v>
      </c>
      <c r="B2549">
        <v>155</v>
      </c>
      <c r="C2549" s="2">
        <f t="shared" si="40"/>
        <v>-1.2894908298716394E-3</v>
      </c>
    </row>
    <row r="2550" spans="1:3" x14ac:dyDescent="0.2">
      <c r="A2550" s="1">
        <v>42367</v>
      </c>
      <c r="B2550">
        <v>155.19999999999999</v>
      </c>
      <c r="C2550" s="2">
        <f t="shared" si="40"/>
        <v>9.0615506775747322E-3</v>
      </c>
    </row>
    <row r="2551" spans="1:3" x14ac:dyDescent="0.2">
      <c r="A2551" s="1">
        <v>42366</v>
      </c>
      <c r="B2551">
        <v>153.80000000000001</v>
      </c>
      <c r="C2551" s="2">
        <f t="shared" si="40"/>
        <v>-7.7720598477029734E-3</v>
      </c>
    </row>
    <row r="2552" spans="1:3" x14ac:dyDescent="0.2">
      <c r="A2552" s="1">
        <v>42361</v>
      </c>
      <c r="B2552">
        <v>155</v>
      </c>
      <c r="C2552" s="2">
        <f t="shared" si="40"/>
        <v>2.7470661345390817E-2</v>
      </c>
    </row>
    <row r="2553" spans="1:3" x14ac:dyDescent="0.2">
      <c r="A2553" s="1">
        <v>42360</v>
      </c>
      <c r="B2553">
        <v>150.80000000000001</v>
      </c>
      <c r="C2553" s="2">
        <f t="shared" si="40"/>
        <v>9.3271828751388813E-3</v>
      </c>
    </row>
    <row r="2554" spans="1:3" x14ac:dyDescent="0.2">
      <c r="A2554" s="1">
        <v>42359</v>
      </c>
      <c r="B2554">
        <v>149.4</v>
      </c>
      <c r="C2554" s="2">
        <f t="shared" si="40"/>
        <v>-8.6638329337327107E-3</v>
      </c>
    </row>
    <row r="2555" spans="1:3" x14ac:dyDescent="0.2">
      <c r="A2555" s="1">
        <v>42356</v>
      </c>
      <c r="B2555">
        <v>150.69999999999999</v>
      </c>
      <c r="C2555" s="2">
        <f t="shared" si="40"/>
        <v>-2.2310636693620316E-2</v>
      </c>
    </row>
    <row r="2556" spans="1:3" x14ac:dyDescent="0.2">
      <c r="A2556" s="1">
        <v>42355</v>
      </c>
      <c r="B2556">
        <v>154.1</v>
      </c>
      <c r="C2556" s="2">
        <f t="shared" si="40"/>
        <v>1.3721221479793584E-2</v>
      </c>
    </row>
    <row r="2557" spans="1:3" x14ac:dyDescent="0.2">
      <c r="A2557" s="1">
        <v>42354</v>
      </c>
      <c r="B2557">
        <v>152</v>
      </c>
      <c r="C2557" s="2">
        <f t="shared" si="40"/>
        <v>1.9756344917899334E-3</v>
      </c>
    </row>
    <row r="2558" spans="1:3" x14ac:dyDescent="0.2">
      <c r="A2558" s="1">
        <v>42353</v>
      </c>
      <c r="B2558">
        <v>151.69999999999999</v>
      </c>
      <c r="C2558" s="2">
        <f t="shared" si="40"/>
        <v>7.9418021655561534E-3</v>
      </c>
    </row>
    <row r="2559" spans="1:3" x14ac:dyDescent="0.2">
      <c r="A2559" s="1">
        <v>42352</v>
      </c>
      <c r="B2559">
        <v>150.5</v>
      </c>
      <c r="C2559" s="2">
        <f t="shared" si="40"/>
        <v>-3.3167526259939265E-3</v>
      </c>
    </row>
    <row r="2560" spans="1:3" x14ac:dyDescent="0.2">
      <c r="A2560" s="1">
        <v>42349</v>
      </c>
      <c r="B2560">
        <v>151</v>
      </c>
      <c r="C2560" s="2">
        <f t="shared" si="40"/>
        <v>-1.8373220256619294E-2</v>
      </c>
    </row>
    <row r="2561" spans="1:3" x14ac:dyDescent="0.2">
      <c r="A2561" s="1">
        <v>42348</v>
      </c>
      <c r="B2561">
        <v>153.80000000000001</v>
      </c>
      <c r="C2561" s="2">
        <f t="shared" si="40"/>
        <v>0</v>
      </c>
    </row>
    <row r="2562" spans="1:3" x14ac:dyDescent="0.2">
      <c r="A2562" s="1">
        <v>42347</v>
      </c>
      <c r="B2562">
        <v>153.80000000000001</v>
      </c>
      <c r="C2562" s="2">
        <f t="shared" si="40"/>
        <v>6.5231803391234758E-3</v>
      </c>
    </row>
    <row r="2563" spans="1:3" x14ac:dyDescent="0.2">
      <c r="A2563" s="1">
        <v>42346</v>
      </c>
      <c r="B2563">
        <v>152.80000000000001</v>
      </c>
      <c r="C2563" s="2">
        <f t="shared" ref="C2563:C2626" si="41">+LN(B2563/B2564)</f>
        <v>-1.1064219605380015E-2</v>
      </c>
    </row>
    <row r="2564" spans="1:3" x14ac:dyDescent="0.2">
      <c r="A2564" s="1">
        <v>42345</v>
      </c>
      <c r="B2564">
        <v>154.5</v>
      </c>
      <c r="C2564" s="2">
        <f t="shared" si="41"/>
        <v>1.1064219605380067E-2</v>
      </c>
    </row>
    <row r="2565" spans="1:3" x14ac:dyDescent="0.2">
      <c r="A2565" s="1">
        <v>42342</v>
      </c>
      <c r="B2565">
        <v>152.80000000000001</v>
      </c>
      <c r="C2565" s="2">
        <f t="shared" si="41"/>
        <v>-1.7515854886868666E-2</v>
      </c>
    </row>
    <row r="2566" spans="1:3" x14ac:dyDescent="0.2">
      <c r="A2566" s="1">
        <v>42341</v>
      </c>
      <c r="B2566">
        <v>155.5</v>
      </c>
    </row>
    <row r="2567" spans="1:3" x14ac:dyDescent="0.2">
      <c r="A2567" s="1">
        <v>42340</v>
      </c>
      <c r="B2567">
        <v>158.69999999999999</v>
      </c>
      <c r="C2567" s="2">
        <f t="shared" si="41"/>
        <v>4.420594505396609E-3</v>
      </c>
    </row>
    <row r="2568" spans="1:3" x14ac:dyDescent="0.2">
      <c r="A2568" s="1">
        <v>42339</v>
      </c>
      <c r="B2568">
        <v>158</v>
      </c>
      <c r="C2568" s="2">
        <f t="shared" si="41"/>
        <v>-2.0670952104196484E-2</v>
      </c>
    </row>
    <row r="2569" spans="1:3" x14ac:dyDescent="0.2">
      <c r="A2569" s="1">
        <v>42338</v>
      </c>
      <c r="B2569">
        <v>161.30000000000001</v>
      </c>
      <c r="C2569" s="2">
        <f t="shared" si="41"/>
        <v>9.3429517989889084E-3</v>
      </c>
    </row>
    <row r="2570" spans="1:3" x14ac:dyDescent="0.2">
      <c r="A2570" s="1">
        <v>42335</v>
      </c>
      <c r="B2570">
        <v>159.80000000000001</v>
      </c>
      <c r="C2570" s="2">
        <f t="shared" si="41"/>
        <v>-3.7476621002397615E-3</v>
      </c>
    </row>
    <row r="2571" spans="1:3" x14ac:dyDescent="0.2">
      <c r="A2571" s="1">
        <v>42334</v>
      </c>
      <c r="B2571">
        <v>160.4</v>
      </c>
      <c r="C2571" s="2">
        <f t="shared" si="41"/>
        <v>1.381064009886083E-2</v>
      </c>
    </row>
    <row r="2572" spans="1:3" x14ac:dyDescent="0.2">
      <c r="A2572" s="1">
        <v>42333</v>
      </c>
      <c r="B2572">
        <v>158.19999999999999</v>
      </c>
      <c r="C2572" s="2">
        <f t="shared" si="41"/>
        <v>2.8206998262009859E-2</v>
      </c>
    </row>
    <row r="2573" spans="1:3" x14ac:dyDescent="0.2">
      <c r="A2573" s="1">
        <v>42332</v>
      </c>
      <c r="B2573">
        <v>153.80000000000001</v>
      </c>
      <c r="C2573" s="2">
        <f t="shared" si="41"/>
        <v>-2.5675351340230225E-2</v>
      </c>
    </row>
    <row r="2574" spans="1:3" x14ac:dyDescent="0.2">
      <c r="A2574" s="1">
        <v>42331</v>
      </c>
      <c r="B2574">
        <v>157.80000000000001</v>
      </c>
      <c r="C2574" s="2">
        <f t="shared" si="41"/>
        <v>-3.1635584751925788E-3</v>
      </c>
    </row>
    <row r="2575" spans="1:3" x14ac:dyDescent="0.2">
      <c r="A2575" s="1">
        <v>42328</v>
      </c>
      <c r="B2575">
        <v>158.30000000000001</v>
      </c>
      <c r="C2575" s="2">
        <f t="shared" si="41"/>
        <v>2.1712219464143482E-2</v>
      </c>
    </row>
    <row r="2576" spans="1:3" x14ac:dyDescent="0.2">
      <c r="A2576" s="1">
        <v>42327</v>
      </c>
      <c r="B2576">
        <v>154.9</v>
      </c>
      <c r="C2576" s="2">
        <f t="shared" si="41"/>
        <v>-2.578982731818483E-3</v>
      </c>
    </row>
    <row r="2577" spans="1:3" x14ac:dyDescent="0.2">
      <c r="A2577" s="1">
        <v>42326</v>
      </c>
      <c r="B2577">
        <v>155.30000000000001</v>
      </c>
      <c r="C2577" s="2">
        <f t="shared" si="41"/>
        <v>-3.2144032820065303E-3</v>
      </c>
    </row>
    <row r="2578" spans="1:3" x14ac:dyDescent="0.2">
      <c r="A2578" s="1">
        <v>42325</v>
      </c>
      <c r="B2578">
        <v>155.80000000000001</v>
      </c>
      <c r="C2578" s="2">
        <f t="shared" si="41"/>
        <v>2.2720873535531712E-2</v>
      </c>
    </row>
    <row r="2579" spans="1:3" x14ac:dyDescent="0.2">
      <c r="A2579" s="1">
        <v>42324</v>
      </c>
      <c r="B2579">
        <v>152.30000000000001</v>
      </c>
      <c r="C2579" s="2">
        <f t="shared" si="41"/>
        <v>9.8978043272604701E-3</v>
      </c>
    </row>
    <row r="2580" spans="1:3" x14ac:dyDescent="0.2">
      <c r="A2580" s="1">
        <v>42321</v>
      </c>
      <c r="B2580">
        <v>150.80000000000001</v>
      </c>
      <c r="C2580" s="2">
        <f t="shared" si="41"/>
        <v>-1.3253812410685707E-3</v>
      </c>
    </row>
    <row r="2581" spans="1:3" x14ac:dyDescent="0.2">
      <c r="A2581" s="1">
        <v>42320</v>
      </c>
      <c r="B2581">
        <v>151</v>
      </c>
      <c r="C2581" s="2">
        <f t="shared" si="41"/>
        <v>-2.936589480436454E-2</v>
      </c>
    </row>
    <row r="2582" spans="1:3" x14ac:dyDescent="0.2">
      <c r="A2582" s="1">
        <v>42319</v>
      </c>
      <c r="B2582">
        <v>155.5</v>
      </c>
      <c r="C2582" s="2">
        <f t="shared" si="41"/>
        <v>1.8170519394702073E-2</v>
      </c>
    </row>
    <row r="2583" spans="1:3" x14ac:dyDescent="0.2">
      <c r="A2583" s="1">
        <v>42318</v>
      </c>
      <c r="B2583">
        <v>152.69999999999999</v>
      </c>
      <c r="C2583" s="2">
        <f t="shared" si="41"/>
        <v>-1.8813399519704524E-2</v>
      </c>
    </row>
    <row r="2584" spans="1:3" x14ac:dyDescent="0.2">
      <c r="A2584" s="1">
        <v>42317</v>
      </c>
      <c r="B2584">
        <v>155.6</v>
      </c>
      <c r="C2584" s="2">
        <f t="shared" si="41"/>
        <v>-1.4673309517305218E-2</v>
      </c>
    </row>
    <row r="2585" spans="1:3" x14ac:dyDescent="0.2">
      <c r="A2585" s="1">
        <v>42314</v>
      </c>
      <c r="B2585">
        <v>157.9</v>
      </c>
      <c r="C2585" s="2">
        <f t="shared" si="41"/>
        <v>3.807111197364339E-3</v>
      </c>
    </row>
    <row r="2586" spans="1:3" x14ac:dyDescent="0.2">
      <c r="A2586" s="1">
        <v>42313</v>
      </c>
      <c r="B2586">
        <v>157.30000000000001</v>
      </c>
      <c r="C2586" s="2">
        <f t="shared" si="41"/>
        <v>-8.2304991365153672E-3</v>
      </c>
    </row>
    <row r="2587" spans="1:3" x14ac:dyDescent="0.2">
      <c r="A2587" s="1">
        <v>42312</v>
      </c>
      <c r="B2587">
        <v>158.6</v>
      </c>
      <c r="C2587" s="2">
        <f t="shared" si="41"/>
        <v>2.6191212862947476E-2</v>
      </c>
    </row>
    <row r="2588" spans="1:3" x14ac:dyDescent="0.2">
      <c r="A2588" s="1">
        <v>42311</v>
      </c>
      <c r="B2588">
        <v>154.5</v>
      </c>
      <c r="C2588" s="2">
        <f t="shared" si="41"/>
        <v>2.2252227059106261E-2</v>
      </c>
    </row>
    <row r="2589" spans="1:3" x14ac:dyDescent="0.2">
      <c r="A2589" s="1">
        <v>42310</v>
      </c>
      <c r="B2589">
        <v>151.1</v>
      </c>
      <c r="C2589" s="2">
        <f t="shared" si="41"/>
        <v>5.3085725197649985E-3</v>
      </c>
    </row>
    <row r="2590" spans="1:3" x14ac:dyDescent="0.2">
      <c r="A2590" s="1">
        <v>42307</v>
      </c>
      <c r="B2590">
        <v>150.30000000000001</v>
      </c>
      <c r="C2590" s="2">
        <f t="shared" si="41"/>
        <v>6.6555742889448243E-4</v>
      </c>
    </row>
    <row r="2591" spans="1:3" x14ac:dyDescent="0.2">
      <c r="A2591" s="1">
        <v>42306</v>
      </c>
      <c r="B2591">
        <v>150.19999999999999</v>
      </c>
      <c r="C2591" s="2">
        <f t="shared" si="41"/>
        <v>5.3404666313172835E-3</v>
      </c>
    </row>
    <row r="2592" spans="1:3" x14ac:dyDescent="0.2">
      <c r="A2592" s="1">
        <v>42305</v>
      </c>
      <c r="B2592">
        <v>149.4</v>
      </c>
      <c r="C2592" s="2">
        <f t="shared" si="41"/>
        <v>-2.006018726865632E-3</v>
      </c>
    </row>
    <row r="2593" spans="1:3" x14ac:dyDescent="0.2">
      <c r="A2593" s="1">
        <v>42304</v>
      </c>
      <c r="B2593">
        <v>149.69999999999999</v>
      </c>
      <c r="C2593" s="2">
        <f t="shared" si="41"/>
        <v>5.3583517356192148E-3</v>
      </c>
    </row>
    <row r="2594" spans="1:3" x14ac:dyDescent="0.2">
      <c r="A2594" s="1">
        <v>42303</v>
      </c>
      <c r="B2594">
        <v>148.9</v>
      </c>
      <c r="C2594" s="2">
        <f t="shared" si="41"/>
        <v>-3.3523330087536726E-3</v>
      </c>
    </row>
    <row r="2595" spans="1:3" x14ac:dyDescent="0.2">
      <c r="A2595" s="1">
        <v>42300</v>
      </c>
      <c r="B2595">
        <v>149.4</v>
      </c>
      <c r="C2595" s="2">
        <f t="shared" si="41"/>
        <v>4.238501817217185E-2</v>
      </c>
    </row>
    <row r="2596" spans="1:3" x14ac:dyDescent="0.2">
      <c r="A2596" s="1">
        <v>42299</v>
      </c>
      <c r="B2596">
        <v>143.19999999999999</v>
      </c>
      <c r="C2596" s="2">
        <f t="shared" si="41"/>
        <v>1.974676293483428E-2</v>
      </c>
    </row>
    <row r="2597" spans="1:3" x14ac:dyDescent="0.2">
      <c r="A2597" s="1">
        <v>42298</v>
      </c>
      <c r="B2597">
        <v>140.4</v>
      </c>
      <c r="C2597" s="2">
        <f t="shared" si="41"/>
        <v>5.7143012634386352E-3</v>
      </c>
    </row>
    <row r="2598" spans="1:3" x14ac:dyDescent="0.2">
      <c r="A2598" s="1">
        <v>42297</v>
      </c>
      <c r="B2598">
        <v>139.6</v>
      </c>
      <c r="C2598" s="2">
        <f t="shared" si="41"/>
        <v>1.433692001848616E-3</v>
      </c>
    </row>
    <row r="2599" spans="1:3" x14ac:dyDescent="0.2">
      <c r="A2599" s="1">
        <v>42296</v>
      </c>
      <c r="B2599">
        <v>139.4</v>
      </c>
      <c r="C2599" s="2">
        <f t="shared" si="41"/>
        <v>7.1994551428543286E-3</v>
      </c>
    </row>
    <row r="2600" spans="1:3" x14ac:dyDescent="0.2">
      <c r="A2600" s="1">
        <v>42293</v>
      </c>
      <c r="B2600">
        <v>138.4</v>
      </c>
      <c r="C2600" s="2">
        <f t="shared" si="41"/>
        <v>-2.07372465069126E-2</v>
      </c>
    </row>
    <row r="2601" spans="1:3" x14ac:dyDescent="0.2">
      <c r="A2601" s="1">
        <v>42292</v>
      </c>
      <c r="B2601">
        <v>141.30000000000001</v>
      </c>
      <c r="C2601" s="2">
        <f t="shared" si="41"/>
        <v>7.0796463134031613E-4</v>
      </c>
    </row>
    <row r="2602" spans="1:3" x14ac:dyDescent="0.2">
      <c r="A2602" s="1">
        <v>42291</v>
      </c>
      <c r="B2602">
        <v>141.19999999999999</v>
      </c>
      <c r="C2602" s="2">
        <f t="shared" si="41"/>
        <v>-8.4626739187337666E-3</v>
      </c>
    </row>
    <row r="2603" spans="1:3" x14ac:dyDescent="0.2">
      <c r="A2603" s="1">
        <v>42290</v>
      </c>
      <c r="B2603">
        <v>142.4</v>
      </c>
      <c r="C2603" s="2">
        <f t="shared" si="41"/>
        <v>-2.3595820596682426E-2</v>
      </c>
    </row>
    <row r="2604" spans="1:3" x14ac:dyDescent="0.2">
      <c r="A2604" s="1">
        <v>42289</v>
      </c>
      <c r="B2604">
        <v>145.80000000000001</v>
      </c>
      <c r="C2604" s="2">
        <f t="shared" si="41"/>
        <v>-1.0914160180678405E-2</v>
      </c>
    </row>
    <row r="2605" spans="1:3" x14ac:dyDescent="0.2">
      <c r="A2605" s="1">
        <v>42286</v>
      </c>
      <c r="B2605">
        <v>147.4</v>
      </c>
      <c r="C2605" s="2">
        <f t="shared" si="41"/>
        <v>1.4349409178998877E-2</v>
      </c>
    </row>
    <row r="2606" spans="1:3" x14ac:dyDescent="0.2">
      <c r="A2606" s="1">
        <v>42285</v>
      </c>
      <c r="B2606">
        <v>145.30000000000001</v>
      </c>
      <c r="C2606" s="2">
        <f t="shared" si="41"/>
        <v>4.8292608515731117E-3</v>
      </c>
    </row>
    <row r="2607" spans="1:3" x14ac:dyDescent="0.2">
      <c r="A2607" s="1">
        <v>42284</v>
      </c>
      <c r="B2607">
        <v>144.6</v>
      </c>
      <c r="C2607" s="2">
        <f t="shared" si="41"/>
        <v>1.3927801744468804E-2</v>
      </c>
    </row>
    <row r="2608" spans="1:3" x14ac:dyDescent="0.2">
      <c r="A2608" s="1">
        <v>42283</v>
      </c>
      <c r="B2608">
        <v>142.6</v>
      </c>
      <c r="C2608" s="2">
        <f t="shared" si="41"/>
        <v>3.5124728771406201E-3</v>
      </c>
    </row>
    <row r="2609" spans="1:3" x14ac:dyDescent="0.2">
      <c r="A2609" s="1">
        <v>42282</v>
      </c>
      <c r="B2609">
        <v>142.1</v>
      </c>
      <c r="C2609" s="2">
        <f t="shared" si="41"/>
        <v>3.4362722329129458E-2</v>
      </c>
    </row>
    <row r="2610" spans="1:3" x14ac:dyDescent="0.2">
      <c r="A2610" s="1">
        <v>42279</v>
      </c>
      <c r="B2610">
        <v>137.30000000000001</v>
      </c>
      <c r="C2610" s="2">
        <f t="shared" si="41"/>
        <v>5.8436981489109214E-3</v>
      </c>
    </row>
    <row r="2611" spans="1:3" x14ac:dyDescent="0.2">
      <c r="A2611" s="1">
        <v>42278</v>
      </c>
      <c r="B2611">
        <v>136.5</v>
      </c>
      <c r="C2611" s="2">
        <f t="shared" si="41"/>
        <v>-2.9261176693887907E-3</v>
      </c>
    </row>
    <row r="2612" spans="1:3" x14ac:dyDescent="0.2">
      <c r="A2612" s="1">
        <v>42277</v>
      </c>
      <c r="B2612">
        <v>136.9</v>
      </c>
      <c r="C2612" s="2">
        <f t="shared" si="41"/>
        <v>1.3235487328250172E-2</v>
      </c>
    </row>
    <row r="2613" spans="1:3" x14ac:dyDescent="0.2">
      <c r="A2613" s="1">
        <v>42276</v>
      </c>
      <c r="B2613">
        <v>135.1</v>
      </c>
      <c r="C2613" s="2">
        <f t="shared" si="41"/>
        <v>4.2334363826560736E-2</v>
      </c>
    </row>
    <row r="2614" spans="1:3" x14ac:dyDescent="0.2">
      <c r="A2614" s="1">
        <v>42275</v>
      </c>
      <c r="B2614">
        <v>129.5</v>
      </c>
      <c r="C2614" s="2">
        <f t="shared" si="41"/>
        <v>7.7249907279228907E-4</v>
      </c>
    </row>
    <row r="2615" spans="1:3" x14ac:dyDescent="0.2">
      <c r="A2615" s="1">
        <v>42272</v>
      </c>
      <c r="B2615">
        <v>129.4</v>
      </c>
      <c r="C2615" s="2">
        <f t="shared" si="41"/>
        <v>1.9509007346458131E-2</v>
      </c>
    </row>
    <row r="2616" spans="1:3" x14ac:dyDescent="0.2">
      <c r="A2616" s="1">
        <v>42271</v>
      </c>
      <c r="B2616">
        <v>126.9</v>
      </c>
      <c r="C2616" s="2">
        <f t="shared" si="41"/>
        <v>-2.873984212198857E-2</v>
      </c>
    </row>
    <row r="2617" spans="1:3" x14ac:dyDescent="0.2">
      <c r="A2617" s="1">
        <v>42270</v>
      </c>
      <c r="B2617">
        <v>130.6</v>
      </c>
      <c r="C2617" s="2">
        <f t="shared" si="41"/>
        <v>-4.5836596676579284E-3</v>
      </c>
    </row>
    <row r="2618" spans="1:3" x14ac:dyDescent="0.2">
      <c r="A2618" s="1">
        <v>42269</v>
      </c>
      <c r="B2618">
        <v>131.19999999999999</v>
      </c>
      <c r="C2618" s="2">
        <f t="shared" si="41"/>
        <v>-2.7069321968218141E-2</v>
      </c>
    </row>
    <row r="2619" spans="1:3" x14ac:dyDescent="0.2">
      <c r="A2619" s="1">
        <v>42268</v>
      </c>
      <c r="B2619">
        <v>134.80000000000001</v>
      </c>
      <c r="C2619" s="2">
        <f t="shared" si="41"/>
        <v>5.2064081905739716E-3</v>
      </c>
    </row>
    <row r="2620" spans="1:3" x14ac:dyDescent="0.2">
      <c r="A2620" s="1">
        <v>42265</v>
      </c>
      <c r="B2620">
        <v>134.1</v>
      </c>
      <c r="C2620" s="2">
        <f t="shared" si="41"/>
        <v>-3.5168459472665337E-2</v>
      </c>
    </row>
    <row r="2621" spans="1:3" x14ac:dyDescent="0.2">
      <c r="A2621" s="1">
        <v>42264</v>
      </c>
      <c r="B2621">
        <v>138.9</v>
      </c>
      <c r="C2621" s="2">
        <f t="shared" si="41"/>
        <v>-2.6289258219897436E-2</v>
      </c>
    </row>
    <row r="2622" spans="1:3" x14ac:dyDescent="0.2">
      <c r="A2622" s="1">
        <v>42263</v>
      </c>
      <c r="B2622">
        <v>142.6</v>
      </c>
      <c r="C2622" s="2">
        <f t="shared" si="41"/>
        <v>2.2696009653772047E-2</v>
      </c>
    </row>
    <row r="2623" spans="1:3" x14ac:dyDescent="0.2">
      <c r="A2623" s="1">
        <v>42262</v>
      </c>
      <c r="B2623">
        <v>139.4</v>
      </c>
      <c r="C2623" s="2">
        <f t="shared" si="41"/>
        <v>-2.8653314732863936E-3</v>
      </c>
    </row>
    <row r="2624" spans="1:3" x14ac:dyDescent="0.2">
      <c r="A2624" s="1">
        <v>42261</v>
      </c>
      <c r="B2624">
        <v>139.80000000000001</v>
      </c>
      <c r="C2624" s="2">
        <f t="shared" si="41"/>
        <v>-9.964495259431605E-3</v>
      </c>
    </row>
    <row r="2625" spans="1:3" x14ac:dyDescent="0.2">
      <c r="A2625" s="1">
        <v>42258</v>
      </c>
      <c r="B2625">
        <v>141.19999999999999</v>
      </c>
      <c r="C2625" s="2">
        <f t="shared" si="41"/>
        <v>1.4174346809733152E-3</v>
      </c>
    </row>
    <row r="2626" spans="1:3" x14ac:dyDescent="0.2">
      <c r="A2626" s="1">
        <v>42257</v>
      </c>
      <c r="B2626">
        <v>141</v>
      </c>
      <c r="C2626" s="2">
        <f t="shared" si="41"/>
        <v>-2.0358723515153929E-2</v>
      </c>
    </row>
    <row r="2627" spans="1:3" x14ac:dyDescent="0.2">
      <c r="A2627" s="1">
        <v>42256</v>
      </c>
      <c r="B2627">
        <v>143.9</v>
      </c>
      <c r="C2627" s="2">
        <f t="shared" ref="C2627:C2690" si="42">+LN(B2627/B2628)</f>
        <v>1.5406467196687491E-2</v>
      </c>
    </row>
    <row r="2628" spans="1:3" x14ac:dyDescent="0.2">
      <c r="A2628" s="1">
        <v>42255</v>
      </c>
      <c r="B2628">
        <v>141.69999999999999</v>
      </c>
      <c r="C2628" s="2">
        <f t="shared" si="42"/>
        <v>9.929159588219421E-3</v>
      </c>
    </row>
    <row r="2629" spans="1:3" x14ac:dyDescent="0.2">
      <c r="A2629" s="1">
        <v>42254</v>
      </c>
      <c r="B2629">
        <v>140.30000000000001</v>
      </c>
      <c r="C2629" s="2">
        <f t="shared" si="42"/>
        <v>1.1469659787629569E-2</v>
      </c>
    </row>
    <row r="2630" spans="1:3" x14ac:dyDescent="0.2">
      <c r="A2630" s="1">
        <v>42251</v>
      </c>
      <c r="B2630">
        <v>138.69999999999999</v>
      </c>
      <c r="C2630" s="2">
        <f t="shared" si="42"/>
        <v>-3.2627007513340384E-2</v>
      </c>
    </row>
    <row r="2631" spans="1:3" x14ac:dyDescent="0.2">
      <c r="A2631" s="1">
        <v>42250</v>
      </c>
      <c r="B2631">
        <v>143.30000000000001</v>
      </c>
      <c r="C2631" s="2">
        <f t="shared" si="42"/>
        <v>1.4055045143644333E-2</v>
      </c>
    </row>
    <row r="2632" spans="1:3" x14ac:dyDescent="0.2">
      <c r="A2632" s="1">
        <v>42249</v>
      </c>
      <c r="B2632">
        <v>141.30000000000001</v>
      </c>
      <c r="C2632" s="2">
        <f t="shared" si="42"/>
        <v>-6.3492276786585563E-3</v>
      </c>
    </row>
    <row r="2633" spans="1:3" x14ac:dyDescent="0.2">
      <c r="A2633" s="1">
        <v>42248</v>
      </c>
      <c r="B2633">
        <v>142.19999999999999</v>
      </c>
      <c r="C2633" s="2">
        <f t="shared" si="42"/>
        <v>-4.2105325363437172E-3</v>
      </c>
    </row>
    <row r="2634" spans="1:3" x14ac:dyDescent="0.2">
      <c r="A2634" s="1">
        <v>42247</v>
      </c>
      <c r="B2634">
        <v>142.80000000000001</v>
      </c>
      <c r="C2634" s="2">
        <f t="shared" si="42"/>
        <v>-6.2827431794950685E-3</v>
      </c>
    </row>
    <row r="2635" spans="1:3" x14ac:dyDescent="0.2">
      <c r="A2635" s="1">
        <v>42244</v>
      </c>
      <c r="B2635">
        <v>143.69999999999999</v>
      </c>
      <c r="C2635" s="2">
        <f t="shared" si="42"/>
        <v>2.7874582508529231E-3</v>
      </c>
    </row>
    <row r="2636" spans="1:3" x14ac:dyDescent="0.2">
      <c r="A2636" s="1">
        <v>42243</v>
      </c>
      <c r="B2636">
        <v>143.30000000000001</v>
      </c>
      <c r="C2636" s="2">
        <f t="shared" si="42"/>
        <v>3.1906286761422105E-2</v>
      </c>
    </row>
    <row r="2637" spans="1:3" x14ac:dyDescent="0.2">
      <c r="A2637" s="1">
        <v>42242</v>
      </c>
      <c r="B2637">
        <v>138.80000000000001</v>
      </c>
      <c r="C2637" s="2">
        <f t="shared" si="42"/>
        <v>-1.4306395651237858E-2</v>
      </c>
    </row>
    <row r="2638" spans="1:3" x14ac:dyDescent="0.2">
      <c r="A2638" s="1">
        <v>42241</v>
      </c>
      <c r="B2638">
        <v>140.80000000000001</v>
      </c>
      <c r="C2638" s="2">
        <f t="shared" si="42"/>
        <v>1.5748356968139331E-2</v>
      </c>
    </row>
    <row r="2639" spans="1:3" x14ac:dyDescent="0.2">
      <c r="A2639" s="1">
        <v>42240</v>
      </c>
      <c r="B2639">
        <v>138.6</v>
      </c>
      <c r="C2639" s="2">
        <f t="shared" si="42"/>
        <v>-2.212005994083184E-2</v>
      </c>
    </row>
    <row r="2640" spans="1:3" x14ac:dyDescent="0.2">
      <c r="A2640" s="1">
        <v>42237</v>
      </c>
      <c r="B2640">
        <v>141.69999999999999</v>
      </c>
      <c r="C2640" s="2">
        <f t="shared" si="42"/>
        <v>-2.9894475011701761E-2</v>
      </c>
    </row>
    <row r="2641" spans="1:3" x14ac:dyDescent="0.2">
      <c r="A2641" s="1">
        <v>42236</v>
      </c>
      <c r="B2641">
        <v>146</v>
      </c>
      <c r="C2641" s="2">
        <f t="shared" si="42"/>
        <v>-4.1011677442146779E-3</v>
      </c>
    </row>
    <row r="2642" spans="1:3" x14ac:dyDescent="0.2">
      <c r="A2642" s="1">
        <v>42235</v>
      </c>
      <c r="B2642">
        <v>146.6</v>
      </c>
      <c r="C2642" s="2">
        <f t="shared" si="42"/>
        <v>-2.7583316179898582E-2</v>
      </c>
    </row>
    <row r="2643" spans="1:3" x14ac:dyDescent="0.2">
      <c r="A2643" s="1">
        <v>42234</v>
      </c>
      <c r="B2643">
        <v>150.69999999999999</v>
      </c>
      <c r="C2643" s="2">
        <f t="shared" si="42"/>
        <v>-1.4493007302566977E-2</v>
      </c>
    </row>
    <row r="2644" spans="1:3" x14ac:dyDescent="0.2">
      <c r="A2644" s="1">
        <v>42233</v>
      </c>
      <c r="B2644">
        <v>152.9</v>
      </c>
      <c r="C2644" s="2">
        <f t="shared" si="42"/>
        <v>5.2459136697695467E-3</v>
      </c>
    </row>
    <row r="2645" spans="1:3" x14ac:dyDescent="0.2">
      <c r="A2645" s="1">
        <v>42230</v>
      </c>
      <c r="B2645">
        <v>152.1</v>
      </c>
      <c r="C2645" s="2">
        <f t="shared" si="42"/>
        <v>-1.31406063586908E-3</v>
      </c>
    </row>
    <row r="2646" spans="1:3" x14ac:dyDescent="0.2">
      <c r="A2646" s="1">
        <v>42229</v>
      </c>
      <c r="B2646">
        <v>152.30000000000001</v>
      </c>
      <c r="C2646" s="2">
        <f t="shared" si="42"/>
        <v>7.2487961556835512E-3</v>
      </c>
    </row>
    <row r="2647" spans="1:3" x14ac:dyDescent="0.2">
      <c r="A2647" s="1">
        <v>42228</v>
      </c>
      <c r="B2647">
        <v>151.19999999999999</v>
      </c>
      <c r="C2647" s="2">
        <f t="shared" si="42"/>
        <v>-2.0943173845243249E-2</v>
      </c>
    </row>
    <row r="2648" spans="1:3" x14ac:dyDescent="0.2">
      <c r="A2648" s="1">
        <v>42227</v>
      </c>
      <c r="B2648">
        <v>154.4</v>
      </c>
      <c r="C2648" s="2">
        <f t="shared" si="42"/>
        <v>-2.8098911222359531E-2</v>
      </c>
    </row>
    <row r="2649" spans="1:3" x14ac:dyDescent="0.2">
      <c r="A2649" s="1">
        <v>42226</v>
      </c>
      <c r="B2649">
        <v>158.80000000000001</v>
      </c>
      <c r="C2649" s="2">
        <f t="shared" si="42"/>
        <v>9.4907387488032784E-3</v>
      </c>
    </row>
    <row r="2650" spans="1:3" x14ac:dyDescent="0.2">
      <c r="A2650" s="1">
        <v>42223</v>
      </c>
      <c r="B2650">
        <v>157.30000000000001</v>
      </c>
      <c r="C2650" s="2">
        <f t="shared" si="42"/>
        <v>-4.4402229627345758E-3</v>
      </c>
    </row>
    <row r="2651" spans="1:3" x14ac:dyDescent="0.2">
      <c r="A2651" s="1">
        <v>42222</v>
      </c>
      <c r="B2651">
        <v>158</v>
      </c>
      <c r="C2651" s="2">
        <f t="shared" si="42"/>
        <v>-3.1595602903684815E-3</v>
      </c>
    </row>
    <row r="2652" spans="1:3" x14ac:dyDescent="0.2">
      <c r="A2652" s="1">
        <v>42221</v>
      </c>
      <c r="B2652">
        <v>158.5</v>
      </c>
      <c r="C2652" s="2">
        <f t="shared" si="42"/>
        <v>3.7926720557387547E-3</v>
      </c>
    </row>
    <row r="2653" spans="1:3" x14ac:dyDescent="0.2">
      <c r="A2653" s="1">
        <v>42220</v>
      </c>
      <c r="B2653">
        <v>157.9</v>
      </c>
      <c r="C2653" s="2">
        <f t="shared" si="42"/>
        <v>5.7161159132884587E-3</v>
      </c>
    </row>
    <row r="2654" spans="1:3" x14ac:dyDescent="0.2">
      <c r="A2654" s="1">
        <v>42219</v>
      </c>
      <c r="B2654">
        <v>157</v>
      </c>
      <c r="C2654" s="2">
        <f t="shared" si="42"/>
        <v>-1.0769822184055249E-2</v>
      </c>
    </row>
    <row r="2655" spans="1:3" x14ac:dyDescent="0.2">
      <c r="A2655" s="1">
        <v>42216</v>
      </c>
      <c r="B2655">
        <v>158.69999999999999</v>
      </c>
      <c r="C2655" s="2">
        <f t="shared" si="42"/>
        <v>1.2044519616055826E-2</v>
      </c>
    </row>
    <row r="2656" spans="1:3" x14ac:dyDescent="0.2">
      <c r="A2656" s="1">
        <v>42215</v>
      </c>
      <c r="B2656">
        <v>156.80000000000001</v>
      </c>
      <c r="C2656" s="2">
        <f t="shared" si="42"/>
        <v>1.4777011578507474E-2</v>
      </c>
    </row>
    <row r="2657" spans="1:3" x14ac:dyDescent="0.2">
      <c r="A2657" s="1">
        <v>42214</v>
      </c>
      <c r="B2657">
        <v>154.5</v>
      </c>
      <c r="C2657" s="2">
        <f t="shared" si="42"/>
        <v>1.9436352085710307E-3</v>
      </c>
    </row>
    <row r="2658" spans="1:3" x14ac:dyDescent="0.2">
      <c r="A2658" s="1">
        <v>42213</v>
      </c>
      <c r="B2658">
        <v>154.19999999999999</v>
      </c>
      <c r="C2658" s="2">
        <f t="shared" si="42"/>
        <v>1.1741817876683195E-2</v>
      </c>
    </row>
    <row r="2659" spans="1:3" x14ac:dyDescent="0.2">
      <c r="A2659" s="1">
        <v>42212</v>
      </c>
      <c r="B2659">
        <v>152.4</v>
      </c>
      <c r="C2659" s="2">
        <f t="shared" si="42"/>
        <v>-3.6086389774420871E-2</v>
      </c>
    </row>
    <row r="2660" spans="1:3" x14ac:dyDescent="0.2">
      <c r="A2660" s="1">
        <v>42209</v>
      </c>
      <c r="B2660">
        <v>158</v>
      </c>
      <c r="C2660" s="2">
        <f t="shared" si="42"/>
        <v>-1.0075651988741587E-2</v>
      </c>
    </row>
    <row r="2661" spans="1:3" x14ac:dyDescent="0.2">
      <c r="A2661" s="1">
        <v>42208</v>
      </c>
      <c r="B2661">
        <v>159.6</v>
      </c>
      <c r="C2661" s="2">
        <f t="shared" si="42"/>
        <v>8.1787181287419249E-3</v>
      </c>
    </row>
    <row r="2662" spans="1:3" x14ac:dyDescent="0.2">
      <c r="A2662" s="1">
        <v>42207</v>
      </c>
      <c r="B2662">
        <v>158.30000000000001</v>
      </c>
      <c r="C2662" s="2">
        <f t="shared" si="42"/>
        <v>-2.063217920002839E-2</v>
      </c>
    </row>
    <row r="2663" spans="1:3" x14ac:dyDescent="0.2">
      <c r="A2663" s="1">
        <v>42206</v>
      </c>
      <c r="B2663">
        <v>161.6</v>
      </c>
      <c r="C2663" s="2">
        <f t="shared" si="42"/>
        <v>-9.2393635399732246E-3</v>
      </c>
    </row>
    <row r="2664" spans="1:3" x14ac:dyDescent="0.2">
      <c r="A2664" s="1">
        <v>42205</v>
      </c>
      <c r="B2664">
        <v>163.1</v>
      </c>
      <c r="C2664" s="2">
        <f t="shared" si="42"/>
        <v>-2.4494807103399331E-3</v>
      </c>
    </row>
    <row r="2665" spans="1:3" x14ac:dyDescent="0.2">
      <c r="A2665" s="1">
        <v>42202</v>
      </c>
      <c r="B2665">
        <v>163.5</v>
      </c>
      <c r="C2665" s="2">
        <f t="shared" si="42"/>
        <v>-1.3365934095209111E-2</v>
      </c>
    </row>
    <row r="2666" spans="1:3" x14ac:dyDescent="0.2">
      <c r="A2666" s="1">
        <v>42201</v>
      </c>
      <c r="B2666">
        <v>165.7</v>
      </c>
      <c r="C2666" s="2">
        <f t="shared" si="42"/>
        <v>0.11770760096393257</v>
      </c>
    </row>
    <row r="2667" spans="1:3" x14ac:dyDescent="0.2">
      <c r="A2667" s="1">
        <v>42200</v>
      </c>
      <c r="B2667">
        <v>147.30000000000001</v>
      </c>
      <c r="C2667" s="2">
        <f t="shared" si="42"/>
        <v>-1.147498247687446E-2</v>
      </c>
    </row>
    <row r="2668" spans="1:3" x14ac:dyDescent="0.2">
      <c r="A2668" s="1">
        <v>42199</v>
      </c>
      <c r="B2668">
        <v>149</v>
      </c>
      <c r="C2668" s="2">
        <f t="shared" si="42"/>
        <v>1.4194222765627441E-2</v>
      </c>
    </row>
    <row r="2669" spans="1:3" x14ac:dyDescent="0.2">
      <c r="A2669" s="1">
        <v>42198</v>
      </c>
      <c r="B2669">
        <v>146.9</v>
      </c>
      <c r="C2669" s="2">
        <f t="shared" si="42"/>
        <v>-1.3605444275601774E-3</v>
      </c>
    </row>
    <row r="2670" spans="1:3" x14ac:dyDescent="0.2">
      <c r="A2670" s="1">
        <v>42195</v>
      </c>
      <c r="B2670">
        <v>147.1</v>
      </c>
      <c r="C2670" s="2">
        <f t="shared" si="42"/>
        <v>4.0871991502698535E-3</v>
      </c>
    </row>
    <row r="2671" spans="1:3" x14ac:dyDescent="0.2">
      <c r="A2671" s="1">
        <v>42194</v>
      </c>
      <c r="B2671">
        <v>146.5</v>
      </c>
      <c r="C2671" s="2">
        <f t="shared" si="42"/>
        <v>1.9297635372142893E-2</v>
      </c>
    </row>
    <row r="2672" spans="1:3" x14ac:dyDescent="0.2">
      <c r="A2672" s="1">
        <v>42193</v>
      </c>
      <c r="B2672">
        <v>143.69999999999999</v>
      </c>
      <c r="C2672" s="2">
        <f t="shared" si="42"/>
        <v>7.6842851047837215E-3</v>
      </c>
    </row>
    <row r="2673" spans="1:3" x14ac:dyDescent="0.2">
      <c r="A2673" s="1">
        <v>42192</v>
      </c>
      <c r="B2673">
        <v>142.6</v>
      </c>
      <c r="C2673" s="2">
        <f t="shared" si="42"/>
        <v>-1.6000341346441189E-2</v>
      </c>
    </row>
    <row r="2674" spans="1:3" x14ac:dyDescent="0.2">
      <c r="A2674" s="1">
        <v>42191</v>
      </c>
      <c r="B2674">
        <v>144.9</v>
      </c>
      <c r="C2674" s="2">
        <f t="shared" si="42"/>
        <v>-2.386748140664343E-2</v>
      </c>
    </row>
    <row r="2675" spans="1:3" x14ac:dyDescent="0.2">
      <c r="A2675" s="1">
        <v>42188</v>
      </c>
      <c r="B2675">
        <v>148.4</v>
      </c>
      <c r="C2675" s="2">
        <f t="shared" si="42"/>
        <v>-4.7058910374126166E-3</v>
      </c>
    </row>
    <row r="2676" spans="1:3" x14ac:dyDescent="0.2">
      <c r="A2676" s="1">
        <v>42187</v>
      </c>
      <c r="B2676">
        <v>149.1</v>
      </c>
      <c r="C2676" s="2">
        <f t="shared" si="42"/>
        <v>8.7572132565912585E-3</v>
      </c>
    </row>
    <row r="2677" spans="1:3" x14ac:dyDescent="0.2">
      <c r="A2677" s="1">
        <v>42186</v>
      </c>
      <c r="B2677">
        <v>147.80000000000001</v>
      </c>
      <c r="C2677" s="2">
        <f t="shared" si="42"/>
        <v>1.293855298536142E-2</v>
      </c>
    </row>
    <row r="2678" spans="1:3" x14ac:dyDescent="0.2">
      <c r="A2678" s="1">
        <v>42185</v>
      </c>
      <c r="B2678">
        <v>145.9</v>
      </c>
      <c r="C2678" s="2">
        <f t="shared" si="42"/>
        <v>-1.4966265745013075E-2</v>
      </c>
    </row>
    <row r="2679" spans="1:3" x14ac:dyDescent="0.2">
      <c r="A2679" s="1">
        <v>42184</v>
      </c>
      <c r="B2679">
        <v>148.1</v>
      </c>
      <c r="C2679" s="2">
        <f t="shared" si="42"/>
        <v>-1.9392115541171307E-2</v>
      </c>
    </row>
    <row r="2680" spans="1:3" x14ac:dyDescent="0.2">
      <c r="A2680" s="1">
        <v>42181</v>
      </c>
      <c r="B2680">
        <v>151</v>
      </c>
      <c r="C2680" s="2">
        <f t="shared" si="42"/>
        <v>3.9814252991848221E-3</v>
      </c>
    </row>
    <row r="2681" spans="1:3" x14ac:dyDescent="0.2">
      <c r="A2681" s="1">
        <v>42180</v>
      </c>
      <c r="B2681">
        <v>150.4</v>
      </c>
      <c r="C2681" s="2">
        <f t="shared" si="42"/>
        <v>0</v>
      </c>
    </row>
    <row r="2682" spans="1:3" x14ac:dyDescent="0.2">
      <c r="A2682" s="1">
        <v>42179</v>
      </c>
      <c r="B2682">
        <v>150.4</v>
      </c>
      <c r="C2682" s="2">
        <f t="shared" si="42"/>
        <v>3.9973404326203938E-3</v>
      </c>
    </row>
    <row r="2683" spans="1:3" x14ac:dyDescent="0.2">
      <c r="A2683" s="1">
        <v>42178</v>
      </c>
      <c r="B2683">
        <v>149.80000000000001</v>
      </c>
      <c r="C2683" s="2">
        <f t="shared" si="42"/>
        <v>8.0429387994604487E-3</v>
      </c>
    </row>
    <row r="2684" spans="1:3" x14ac:dyDescent="0.2">
      <c r="A2684" s="1">
        <v>42177</v>
      </c>
      <c r="B2684">
        <v>148.6</v>
      </c>
      <c r="C2684" s="2">
        <f t="shared" si="42"/>
        <v>6.0749427463246573E-3</v>
      </c>
    </row>
    <row r="2685" spans="1:3" x14ac:dyDescent="0.2">
      <c r="A2685" s="1">
        <v>42173</v>
      </c>
      <c r="B2685">
        <v>147.69999999999999</v>
      </c>
      <c r="C2685" s="2">
        <f t="shared" si="42"/>
        <v>-6.7681897676743932E-4</v>
      </c>
    </row>
    <row r="2686" spans="1:3" x14ac:dyDescent="0.2">
      <c r="A2686" s="1">
        <v>42172</v>
      </c>
      <c r="B2686">
        <v>147.80000000000001</v>
      </c>
      <c r="C2686" s="2">
        <f t="shared" si="42"/>
        <v>-1.3522652500135386E-3</v>
      </c>
    </row>
    <row r="2687" spans="1:3" x14ac:dyDescent="0.2">
      <c r="A2687" s="1">
        <v>42171</v>
      </c>
      <c r="B2687">
        <v>148</v>
      </c>
      <c r="C2687" s="2">
        <f t="shared" si="42"/>
        <v>-7.4049480065776817E-3</v>
      </c>
    </row>
    <row r="2688" spans="1:3" x14ac:dyDescent="0.2">
      <c r="A2688" s="1">
        <v>42170</v>
      </c>
      <c r="B2688">
        <v>149.1</v>
      </c>
      <c r="C2688" s="2">
        <f t="shared" si="42"/>
        <v>-1.9263299075583686E-2</v>
      </c>
    </row>
    <row r="2689" spans="1:3" x14ac:dyDescent="0.2">
      <c r="A2689" s="1">
        <v>42167</v>
      </c>
      <c r="B2689">
        <v>152</v>
      </c>
      <c r="C2689" s="2">
        <f t="shared" si="42"/>
        <v>-1.9544596072970283E-2</v>
      </c>
    </row>
    <row r="2690" spans="1:3" x14ac:dyDescent="0.2">
      <c r="A2690" s="1">
        <v>42166</v>
      </c>
      <c r="B2690">
        <v>155</v>
      </c>
      <c r="C2690" s="2">
        <f t="shared" si="42"/>
        <v>-1.6635060504532097E-2</v>
      </c>
    </row>
    <row r="2691" spans="1:3" x14ac:dyDescent="0.2">
      <c r="A2691" s="1">
        <v>42165</v>
      </c>
      <c r="B2691">
        <v>157.6</v>
      </c>
      <c r="C2691" s="2">
        <f t="shared" ref="C2691:C2754" si="43">+LN(B2691/B2692)</f>
        <v>7.0041674435708679E-3</v>
      </c>
    </row>
    <row r="2692" spans="1:3" x14ac:dyDescent="0.2">
      <c r="A2692" s="1">
        <v>42164</v>
      </c>
      <c r="B2692">
        <v>156.5</v>
      </c>
      <c r="C2692" s="2">
        <f t="shared" si="43"/>
        <v>3.2000027306708497E-3</v>
      </c>
    </row>
    <row r="2693" spans="1:3" x14ac:dyDescent="0.2">
      <c r="A2693" s="1">
        <v>42163</v>
      </c>
      <c r="B2693">
        <v>156</v>
      </c>
      <c r="C2693" s="2">
        <f t="shared" si="43"/>
        <v>-1.2739025777429714E-2</v>
      </c>
    </row>
    <row r="2694" spans="1:3" x14ac:dyDescent="0.2">
      <c r="A2694" s="1">
        <v>42160</v>
      </c>
      <c r="B2694">
        <v>158</v>
      </c>
      <c r="C2694" s="2">
        <f t="shared" si="43"/>
        <v>-7.5662403833158132E-3</v>
      </c>
    </row>
    <row r="2695" spans="1:3" x14ac:dyDescent="0.2">
      <c r="A2695" s="1">
        <v>42159</v>
      </c>
      <c r="B2695">
        <v>159.19999999999999</v>
      </c>
      <c r="C2695" s="2">
        <f t="shared" si="43"/>
        <v>-1.3104711720880647E-2</v>
      </c>
    </row>
    <row r="2696" spans="1:3" x14ac:dyDescent="0.2">
      <c r="A2696" s="1">
        <v>42158</v>
      </c>
      <c r="B2696">
        <v>161.30000000000001</v>
      </c>
      <c r="C2696" s="2">
        <f t="shared" si="43"/>
        <v>-1.8581609558317731E-3</v>
      </c>
    </row>
    <row r="2697" spans="1:3" x14ac:dyDescent="0.2">
      <c r="A2697" s="1">
        <v>42157</v>
      </c>
      <c r="B2697">
        <v>161.6</v>
      </c>
      <c r="C2697" s="2">
        <f t="shared" si="43"/>
        <v>1.2383902511464008E-3</v>
      </c>
    </row>
    <row r="2698" spans="1:3" x14ac:dyDescent="0.2">
      <c r="A2698" s="1">
        <v>42156</v>
      </c>
      <c r="B2698">
        <v>161.4</v>
      </c>
      <c r="C2698" s="2">
        <f t="shared" si="43"/>
        <v>3.1027018375108799E-3</v>
      </c>
    </row>
    <row r="2699" spans="1:3" x14ac:dyDescent="0.2">
      <c r="A2699" s="1">
        <v>42153</v>
      </c>
      <c r="B2699">
        <v>160.9</v>
      </c>
      <c r="C2699" s="2">
        <f t="shared" si="43"/>
        <v>-2.3949563477033815E-2</v>
      </c>
    </row>
    <row r="2700" spans="1:3" x14ac:dyDescent="0.2">
      <c r="A2700" s="1">
        <v>42152</v>
      </c>
      <c r="B2700">
        <v>164.8</v>
      </c>
      <c r="C2700" s="2">
        <f t="shared" si="43"/>
        <v>-1.0262691945127163E-2</v>
      </c>
    </row>
    <row r="2701" spans="1:3" x14ac:dyDescent="0.2">
      <c r="A2701" s="1">
        <v>42151</v>
      </c>
      <c r="B2701">
        <v>166.5</v>
      </c>
      <c r="C2701" s="2">
        <f t="shared" si="43"/>
        <v>1.5738823670714455E-2</v>
      </c>
    </row>
    <row r="2702" spans="1:3" x14ac:dyDescent="0.2">
      <c r="A2702" s="1">
        <v>42150</v>
      </c>
      <c r="B2702">
        <v>163.9</v>
      </c>
      <c r="C2702" s="2">
        <f t="shared" si="43"/>
        <v>-4.2618024931853184E-3</v>
      </c>
    </row>
    <row r="2703" spans="1:3" x14ac:dyDescent="0.2">
      <c r="A2703" s="1">
        <v>42149</v>
      </c>
      <c r="B2703">
        <v>164.6</v>
      </c>
      <c r="C2703" s="2">
        <f t="shared" si="43"/>
        <v>1.215805620889728E-3</v>
      </c>
    </row>
    <row r="2704" spans="1:3" x14ac:dyDescent="0.2">
      <c r="A2704" s="1">
        <v>42146</v>
      </c>
      <c r="B2704">
        <v>164.4</v>
      </c>
      <c r="C2704" s="2">
        <f t="shared" si="43"/>
        <v>1.5323621938489995E-2</v>
      </c>
    </row>
    <row r="2705" spans="1:3" x14ac:dyDescent="0.2">
      <c r="A2705" s="1">
        <v>42145</v>
      </c>
      <c r="B2705">
        <v>161.9</v>
      </c>
      <c r="C2705" s="2">
        <f t="shared" si="43"/>
        <v>1.1805045449762604E-2</v>
      </c>
    </row>
    <row r="2706" spans="1:3" x14ac:dyDescent="0.2">
      <c r="A2706" s="1">
        <v>42144</v>
      </c>
      <c r="B2706">
        <v>160</v>
      </c>
      <c r="C2706" s="2">
        <f t="shared" si="43"/>
        <v>8.7885060330793376E-3</v>
      </c>
    </row>
    <row r="2707" spans="1:3" x14ac:dyDescent="0.2">
      <c r="A2707" s="1">
        <v>42143</v>
      </c>
      <c r="B2707">
        <v>158.6</v>
      </c>
      <c r="C2707" s="2">
        <f t="shared" si="43"/>
        <v>1.2618298204221654E-3</v>
      </c>
    </row>
    <row r="2708" spans="1:3" x14ac:dyDescent="0.2">
      <c r="A2708" s="1">
        <v>42142</v>
      </c>
      <c r="B2708">
        <v>158.4</v>
      </c>
      <c r="C2708" s="2">
        <f t="shared" si="43"/>
        <v>-1.2618298204220542E-3</v>
      </c>
    </row>
    <row r="2709" spans="1:3" x14ac:dyDescent="0.2">
      <c r="A2709" s="1">
        <v>42139</v>
      </c>
      <c r="B2709">
        <v>158.6</v>
      </c>
      <c r="C2709" s="2">
        <f t="shared" si="43"/>
        <v>-2.5188930194839148E-3</v>
      </c>
    </row>
    <row r="2710" spans="1:3" x14ac:dyDescent="0.2">
      <c r="A2710" s="1">
        <v>42137</v>
      </c>
      <c r="B2710">
        <v>159</v>
      </c>
      <c r="C2710" s="2">
        <f t="shared" si="43"/>
        <v>1.011386623692854E-2</v>
      </c>
    </row>
    <row r="2711" spans="1:3" x14ac:dyDescent="0.2">
      <c r="A2711" s="1">
        <v>42136</v>
      </c>
      <c r="B2711">
        <v>157.4</v>
      </c>
      <c r="C2711" s="2">
        <f t="shared" si="43"/>
        <v>-1.011386623692867E-2</v>
      </c>
    </row>
    <row r="2712" spans="1:3" x14ac:dyDescent="0.2">
      <c r="A2712" s="1">
        <v>42135</v>
      </c>
      <c r="B2712">
        <v>159</v>
      </c>
      <c r="C2712" s="2">
        <f t="shared" si="43"/>
        <v>-5.6444176196770697E-3</v>
      </c>
    </row>
    <row r="2713" spans="1:3" x14ac:dyDescent="0.2">
      <c r="A2713" s="1">
        <v>42132</v>
      </c>
      <c r="B2713">
        <v>159.9</v>
      </c>
      <c r="C2713" s="2">
        <f t="shared" si="43"/>
        <v>2.4051792318522329E-2</v>
      </c>
    </row>
    <row r="2714" spans="1:3" x14ac:dyDescent="0.2">
      <c r="A2714" s="1">
        <v>42131</v>
      </c>
      <c r="B2714">
        <v>156.1</v>
      </c>
      <c r="C2714" s="2">
        <f t="shared" si="43"/>
        <v>4.4943895878392674E-3</v>
      </c>
    </row>
    <row r="2715" spans="1:3" x14ac:dyDescent="0.2">
      <c r="A2715" s="1">
        <v>42130</v>
      </c>
      <c r="B2715">
        <v>155.4</v>
      </c>
      <c r="C2715" s="2">
        <f t="shared" si="43"/>
        <v>-6.4329368574170764E-4</v>
      </c>
    </row>
    <row r="2716" spans="1:3" x14ac:dyDescent="0.2">
      <c r="A2716" s="1">
        <v>42129</v>
      </c>
      <c r="B2716">
        <v>155.5</v>
      </c>
      <c r="C2716" s="2">
        <f t="shared" si="43"/>
        <v>-2.2258470600942697E-2</v>
      </c>
    </row>
    <row r="2717" spans="1:3" x14ac:dyDescent="0.2">
      <c r="A2717" s="1">
        <v>42128</v>
      </c>
      <c r="B2717">
        <v>159</v>
      </c>
      <c r="C2717" s="2">
        <f t="shared" si="43"/>
        <v>2.0331068783583539E-2</v>
      </c>
    </row>
    <row r="2718" spans="1:3" x14ac:dyDescent="0.2">
      <c r="A2718" s="1">
        <v>42124</v>
      </c>
      <c r="B2718">
        <v>155.80000000000001</v>
      </c>
      <c r="C2718" s="2">
        <f t="shared" si="43"/>
        <v>-7.0355263023389562E-3</v>
      </c>
    </row>
    <row r="2719" spans="1:3" x14ac:dyDescent="0.2">
      <c r="A2719" s="1">
        <v>42123</v>
      </c>
      <c r="B2719">
        <v>156.9</v>
      </c>
      <c r="C2719" s="2">
        <f t="shared" si="43"/>
        <v>-3.5684537374723276E-2</v>
      </c>
    </row>
    <row r="2720" spans="1:3" x14ac:dyDescent="0.2">
      <c r="A2720" s="1">
        <v>42122</v>
      </c>
      <c r="B2720">
        <v>162.6</v>
      </c>
      <c r="C2720" s="2">
        <f t="shared" si="43"/>
        <v>-1.8282044837449069E-2</v>
      </c>
    </row>
    <row r="2721" spans="1:3" x14ac:dyDescent="0.2">
      <c r="A2721" s="1">
        <v>42121</v>
      </c>
      <c r="B2721">
        <v>165.6</v>
      </c>
      <c r="C2721" s="2">
        <f t="shared" si="43"/>
        <v>1.092907053219023E-2</v>
      </c>
    </row>
    <row r="2722" spans="1:3" x14ac:dyDescent="0.2">
      <c r="A2722" s="1">
        <v>42118</v>
      </c>
      <c r="B2722">
        <v>163.80000000000001</v>
      </c>
      <c r="C2722" s="2">
        <f t="shared" si="43"/>
        <v>-1.0929070532190206E-2</v>
      </c>
    </row>
    <row r="2723" spans="1:3" x14ac:dyDescent="0.2">
      <c r="A2723" s="1">
        <v>42117</v>
      </c>
      <c r="B2723">
        <v>165.6</v>
      </c>
      <c r="C2723" s="2">
        <f t="shared" si="43"/>
        <v>-5.4067221270275821E-2</v>
      </c>
    </row>
    <row r="2724" spans="1:3" x14ac:dyDescent="0.2">
      <c r="A2724" s="1">
        <v>42116</v>
      </c>
      <c r="B2724">
        <v>174.8</v>
      </c>
      <c r="C2724" s="2">
        <f t="shared" si="43"/>
        <v>5.16204186119785E-3</v>
      </c>
    </row>
    <row r="2725" spans="1:3" x14ac:dyDescent="0.2">
      <c r="A2725" s="1">
        <v>42115</v>
      </c>
      <c r="B2725">
        <v>173.9</v>
      </c>
      <c r="C2725" s="2">
        <f t="shared" si="43"/>
        <v>7.5036427109099191E-3</v>
      </c>
    </row>
    <row r="2726" spans="1:3" x14ac:dyDescent="0.2">
      <c r="A2726" s="1">
        <v>42114</v>
      </c>
      <c r="B2726">
        <v>172.6</v>
      </c>
      <c r="C2726" s="2">
        <f t="shared" si="43"/>
        <v>2.463467684110119E-2</v>
      </c>
    </row>
    <row r="2727" spans="1:3" x14ac:dyDescent="0.2">
      <c r="A2727" s="1">
        <v>42111</v>
      </c>
      <c r="B2727">
        <v>168.4</v>
      </c>
      <c r="C2727" s="2">
        <f t="shared" si="43"/>
        <v>-3.1563111023065402E-2</v>
      </c>
    </row>
    <row r="2728" spans="1:3" x14ac:dyDescent="0.2">
      <c r="A2728" s="1">
        <v>42110</v>
      </c>
      <c r="B2728">
        <v>173.8</v>
      </c>
      <c r="C2728" s="2">
        <f t="shared" si="43"/>
        <v>5.7703564613363597E-3</v>
      </c>
    </row>
    <row r="2729" spans="1:3" x14ac:dyDescent="0.2">
      <c r="A2729" s="1">
        <v>42109</v>
      </c>
      <c r="B2729">
        <v>172.8</v>
      </c>
      <c r="C2729" s="2">
        <f t="shared" si="43"/>
        <v>5.7887121732253086E-4</v>
      </c>
    </row>
    <row r="2730" spans="1:3" x14ac:dyDescent="0.2">
      <c r="A2730" s="1">
        <v>42108</v>
      </c>
      <c r="B2730">
        <v>172.7</v>
      </c>
      <c r="C2730" s="2">
        <f t="shared" si="43"/>
        <v>-3.4682115689276065E-3</v>
      </c>
    </row>
    <row r="2731" spans="1:3" x14ac:dyDescent="0.2">
      <c r="A2731" s="1">
        <v>42107</v>
      </c>
      <c r="B2731">
        <v>173.3</v>
      </c>
      <c r="C2731" s="2">
        <f t="shared" si="43"/>
        <v>1.8637697319744389E-2</v>
      </c>
    </row>
    <row r="2732" spans="1:3" x14ac:dyDescent="0.2">
      <c r="A2732" s="1">
        <v>42104</v>
      </c>
      <c r="B2732">
        <v>170.1</v>
      </c>
      <c r="C2732" s="2">
        <f t="shared" si="43"/>
        <v>-4.1067819526534712E-3</v>
      </c>
    </row>
    <row r="2733" spans="1:3" x14ac:dyDescent="0.2">
      <c r="A2733" s="1">
        <v>42103</v>
      </c>
      <c r="B2733">
        <v>170.8</v>
      </c>
      <c r="C2733" s="2">
        <f t="shared" si="43"/>
        <v>4.6948443042078847E-3</v>
      </c>
    </row>
    <row r="2734" spans="1:3" x14ac:dyDescent="0.2">
      <c r="A2734" s="1">
        <v>42102</v>
      </c>
      <c r="B2734">
        <v>170</v>
      </c>
      <c r="C2734" s="2">
        <f t="shared" si="43"/>
        <v>-8.2015691134176335E-3</v>
      </c>
    </row>
    <row r="2735" spans="1:3" x14ac:dyDescent="0.2">
      <c r="A2735" s="1">
        <v>42101</v>
      </c>
      <c r="B2735">
        <v>171.4</v>
      </c>
      <c r="C2735" s="2">
        <f t="shared" si="43"/>
        <v>1.4101291240605926E-2</v>
      </c>
    </row>
    <row r="2736" spans="1:3" x14ac:dyDescent="0.2">
      <c r="A2736" s="1">
        <v>42096</v>
      </c>
      <c r="B2736">
        <v>169</v>
      </c>
      <c r="C2736" s="2">
        <f t="shared" si="43"/>
        <v>1.0708014272472307E-2</v>
      </c>
    </row>
    <row r="2737" spans="1:3" x14ac:dyDescent="0.2">
      <c r="A2737" s="1">
        <v>42095</v>
      </c>
      <c r="B2737">
        <v>167.2</v>
      </c>
      <c r="C2737" s="2">
        <f t="shared" si="43"/>
        <v>-1.3662226169903716E-2</v>
      </c>
    </row>
    <row r="2738" spans="1:3" x14ac:dyDescent="0.2">
      <c r="A2738" s="1">
        <v>42094</v>
      </c>
      <c r="B2738">
        <v>169.5</v>
      </c>
      <c r="C2738" s="2">
        <f t="shared" si="43"/>
        <v>-9.9795368871367571E-3</v>
      </c>
    </row>
    <row r="2739" spans="1:3" x14ac:dyDescent="0.2">
      <c r="A2739" s="1">
        <v>42093</v>
      </c>
      <c r="B2739">
        <v>171.2</v>
      </c>
      <c r="C2739" s="2">
        <f t="shared" si="43"/>
        <v>1.5303418139886706E-2</v>
      </c>
    </row>
    <row r="2740" spans="1:3" x14ac:dyDescent="0.2">
      <c r="A2740" s="1">
        <v>42090</v>
      </c>
      <c r="B2740">
        <v>168.6</v>
      </c>
      <c r="C2740" s="2">
        <f t="shared" si="43"/>
        <v>-2.3696693553184245E-3</v>
      </c>
    </row>
    <row r="2741" spans="1:3" x14ac:dyDescent="0.2">
      <c r="A2741" s="1">
        <v>42089</v>
      </c>
      <c r="B2741">
        <v>169</v>
      </c>
      <c r="C2741" s="2">
        <f t="shared" si="43"/>
        <v>-6.4877844787426244E-3</v>
      </c>
    </row>
    <row r="2742" spans="1:3" x14ac:dyDescent="0.2">
      <c r="A2742" s="1">
        <v>42088</v>
      </c>
      <c r="B2742">
        <v>170.1</v>
      </c>
      <c r="C2742" s="2">
        <f t="shared" si="43"/>
        <v>4.1237171838619351E-3</v>
      </c>
    </row>
    <row r="2743" spans="1:3" x14ac:dyDescent="0.2">
      <c r="A2743" s="1">
        <v>42087</v>
      </c>
      <c r="B2743">
        <v>169.4</v>
      </c>
      <c r="C2743" s="2">
        <f t="shared" si="43"/>
        <v>9.4899881848482092E-3</v>
      </c>
    </row>
    <row r="2744" spans="1:3" x14ac:dyDescent="0.2">
      <c r="A2744" s="1">
        <v>42086</v>
      </c>
      <c r="B2744">
        <v>167.8</v>
      </c>
      <c r="C2744" s="2">
        <f t="shared" si="43"/>
        <v>-8.8994951059838002E-3</v>
      </c>
    </row>
    <row r="2745" spans="1:3" x14ac:dyDescent="0.2">
      <c r="A2745" s="1">
        <v>42083</v>
      </c>
      <c r="B2745">
        <v>169.3</v>
      </c>
      <c r="C2745" s="2">
        <f t="shared" si="43"/>
        <v>1.9684500782546511E-2</v>
      </c>
    </row>
    <row r="2746" spans="1:3" x14ac:dyDescent="0.2">
      <c r="A2746" s="1">
        <v>42082</v>
      </c>
      <c r="B2746">
        <v>166</v>
      </c>
      <c r="C2746" s="2">
        <f t="shared" si="43"/>
        <v>-3.0075210639553284E-3</v>
      </c>
    </row>
    <row r="2747" spans="1:3" x14ac:dyDescent="0.2">
      <c r="A2747" s="1">
        <v>42081</v>
      </c>
      <c r="B2747">
        <v>166.5</v>
      </c>
      <c r="C2747" s="2">
        <f t="shared" si="43"/>
        <v>2.2472855852058576E-2</v>
      </c>
    </row>
    <row r="2748" spans="1:3" x14ac:dyDescent="0.2">
      <c r="A2748" s="1">
        <v>42080</v>
      </c>
      <c r="B2748">
        <v>162.80000000000001</v>
      </c>
      <c r="C2748" s="2">
        <f t="shared" si="43"/>
        <v>2.460025840862399E-3</v>
      </c>
    </row>
    <row r="2749" spans="1:3" x14ac:dyDescent="0.2">
      <c r="A2749" s="1">
        <v>42079</v>
      </c>
      <c r="B2749">
        <v>162.4</v>
      </c>
      <c r="C2749" s="2">
        <f t="shared" si="43"/>
        <v>2.3046800195214261E-2</v>
      </c>
    </row>
    <row r="2750" spans="1:3" x14ac:dyDescent="0.2">
      <c r="A2750" s="1">
        <v>42076</v>
      </c>
      <c r="B2750">
        <v>158.69999999999999</v>
      </c>
      <c r="C2750" s="2">
        <f t="shared" si="43"/>
        <v>0</v>
      </c>
    </row>
    <row r="2751" spans="1:3" x14ac:dyDescent="0.2">
      <c r="A2751" s="1">
        <v>42075</v>
      </c>
      <c r="B2751">
        <v>158.69999999999999</v>
      </c>
      <c r="C2751" s="2">
        <f t="shared" si="43"/>
        <v>3.1555721988098472E-3</v>
      </c>
    </row>
    <row r="2752" spans="1:3" x14ac:dyDescent="0.2">
      <c r="A2752" s="1">
        <v>42074</v>
      </c>
      <c r="B2752">
        <v>158.19999999999999</v>
      </c>
      <c r="C2752" s="2">
        <f t="shared" si="43"/>
        <v>4.4345970678657748E-3</v>
      </c>
    </row>
    <row r="2753" spans="1:3" x14ac:dyDescent="0.2">
      <c r="A2753" s="1">
        <v>42073</v>
      </c>
      <c r="B2753">
        <v>157.5</v>
      </c>
      <c r="C2753" s="2">
        <f t="shared" si="43"/>
        <v>-8.8496152769826121E-3</v>
      </c>
    </row>
    <row r="2754" spans="1:3" x14ac:dyDescent="0.2">
      <c r="A2754" s="1">
        <v>42072</v>
      </c>
      <c r="B2754">
        <v>158.9</v>
      </c>
      <c r="C2754" s="2">
        <f t="shared" si="43"/>
        <v>0</v>
      </c>
    </row>
    <row r="2755" spans="1:3" x14ac:dyDescent="0.2">
      <c r="A2755" s="1">
        <v>42069</v>
      </c>
      <c r="B2755">
        <v>158.9</v>
      </c>
      <c r="C2755" s="2">
        <f t="shared" ref="C2755:C2817" si="44">+LN(B2755/B2756)</f>
        <v>-1.8861998676121987E-3</v>
      </c>
    </row>
    <row r="2756" spans="1:3" x14ac:dyDescent="0.2">
      <c r="A2756" s="1">
        <v>42068</v>
      </c>
      <c r="B2756">
        <v>159.19999999999999</v>
      </c>
      <c r="C2756" s="2">
        <f t="shared" si="44"/>
        <v>-1.2554929458320908E-3</v>
      </c>
    </row>
    <row r="2757" spans="1:3" x14ac:dyDescent="0.2">
      <c r="A2757" s="1">
        <v>42067</v>
      </c>
      <c r="B2757">
        <v>159.4</v>
      </c>
      <c r="C2757" s="2">
        <f t="shared" si="44"/>
        <v>-3.7570488777121766E-3</v>
      </c>
    </row>
    <row r="2758" spans="1:3" x14ac:dyDescent="0.2">
      <c r="A2758" s="1">
        <v>42066</v>
      </c>
      <c r="B2758">
        <v>160</v>
      </c>
      <c r="C2758" s="2">
        <f t="shared" si="44"/>
        <v>-2.2861669143262237E-2</v>
      </c>
    </row>
    <row r="2759" spans="1:3" x14ac:dyDescent="0.2">
      <c r="A2759" s="1">
        <v>42065</v>
      </c>
      <c r="B2759">
        <v>163.69999999999999</v>
      </c>
      <c r="C2759" s="2">
        <f t="shared" si="44"/>
        <v>-2.2350673678285846E-2</v>
      </c>
    </row>
    <row r="2760" spans="1:3" x14ac:dyDescent="0.2">
      <c r="A2760" s="1">
        <v>42062</v>
      </c>
      <c r="B2760">
        <v>167.4</v>
      </c>
      <c r="C2760" s="2">
        <f t="shared" si="44"/>
        <v>2.3923456386199015E-3</v>
      </c>
    </row>
    <row r="2761" spans="1:3" x14ac:dyDescent="0.2">
      <c r="A2761" s="1">
        <v>42061</v>
      </c>
      <c r="B2761">
        <v>167</v>
      </c>
      <c r="C2761" s="2">
        <f t="shared" si="44"/>
        <v>1.3261194941383612E-2</v>
      </c>
    </row>
    <row r="2762" spans="1:3" x14ac:dyDescent="0.2">
      <c r="A2762" s="1">
        <v>42060</v>
      </c>
      <c r="B2762">
        <v>164.8</v>
      </c>
      <c r="C2762" s="2">
        <f t="shared" si="44"/>
        <v>6.069802917767355E-4</v>
      </c>
    </row>
    <row r="2763" spans="1:3" x14ac:dyDescent="0.2">
      <c r="A2763" s="1">
        <v>42059</v>
      </c>
      <c r="B2763">
        <v>164.7</v>
      </c>
      <c r="C2763" s="2">
        <f t="shared" si="44"/>
        <v>4.2592093593961091E-3</v>
      </c>
    </row>
    <row r="2764" spans="1:3" x14ac:dyDescent="0.2">
      <c r="A2764" s="1">
        <v>42058</v>
      </c>
      <c r="B2764">
        <v>164</v>
      </c>
      <c r="C2764" s="2">
        <f t="shared" si="44"/>
        <v>9.1884260544061701E-3</v>
      </c>
    </row>
    <row r="2765" spans="1:3" x14ac:dyDescent="0.2">
      <c r="A2765" s="1">
        <v>42055</v>
      </c>
      <c r="B2765">
        <v>162.5</v>
      </c>
      <c r="C2765" s="2">
        <f t="shared" si="44"/>
        <v>5.5538556827971208E-3</v>
      </c>
    </row>
    <row r="2766" spans="1:3" x14ac:dyDescent="0.2">
      <c r="A2766" s="1">
        <v>42054</v>
      </c>
      <c r="B2766">
        <v>161.6</v>
      </c>
      <c r="C2766" s="2">
        <f t="shared" si="44"/>
        <v>-6.7838681379970723E-3</v>
      </c>
    </row>
    <row r="2767" spans="1:3" x14ac:dyDescent="0.2">
      <c r="A2767" s="1">
        <v>42053</v>
      </c>
      <c r="B2767">
        <v>162.69999999999999</v>
      </c>
      <c r="C2767" s="2">
        <f t="shared" si="44"/>
        <v>2.8047958891438674E-2</v>
      </c>
    </row>
    <row r="2768" spans="1:3" x14ac:dyDescent="0.2">
      <c r="A2768" s="1">
        <v>42052</v>
      </c>
      <c r="B2768">
        <v>158.19999999999999</v>
      </c>
      <c r="C2768" s="2">
        <f t="shared" si="44"/>
        <v>-9.4369998874132017E-3</v>
      </c>
    </row>
    <row r="2769" spans="1:3" x14ac:dyDescent="0.2">
      <c r="A2769" s="1">
        <v>42051</v>
      </c>
      <c r="B2769">
        <v>159.69999999999999</v>
      </c>
      <c r="C2769" s="2">
        <f t="shared" si="44"/>
        <v>-6.8643015238993681E-3</v>
      </c>
    </row>
    <row r="2770" spans="1:3" x14ac:dyDescent="0.2">
      <c r="A2770" s="1">
        <v>42048</v>
      </c>
      <c r="B2770">
        <v>160.80000000000001</v>
      </c>
      <c r="C2770" s="2">
        <f t="shared" si="44"/>
        <v>1.5037877364540502E-2</v>
      </c>
    </row>
    <row r="2771" spans="1:3" x14ac:dyDescent="0.2">
      <c r="A2771" s="1">
        <v>42047</v>
      </c>
      <c r="B2771">
        <v>158.4</v>
      </c>
      <c r="C2771" s="2">
        <f t="shared" si="44"/>
        <v>2.8170876966696439E-2</v>
      </c>
    </row>
    <row r="2772" spans="1:3" x14ac:dyDescent="0.2">
      <c r="A2772" s="1">
        <v>42046</v>
      </c>
      <c r="B2772">
        <v>154</v>
      </c>
      <c r="C2772" s="2">
        <f t="shared" si="44"/>
        <v>2.6007817000574403E-3</v>
      </c>
    </row>
    <row r="2773" spans="1:3" x14ac:dyDescent="0.2">
      <c r="A2773" s="1">
        <v>42045</v>
      </c>
      <c r="B2773">
        <v>153.6</v>
      </c>
      <c r="C2773" s="2">
        <f t="shared" si="44"/>
        <v>1.30293178041584E-3</v>
      </c>
    </row>
    <row r="2774" spans="1:3" x14ac:dyDescent="0.2">
      <c r="A2774" s="1">
        <v>42044</v>
      </c>
      <c r="B2774">
        <v>153.4</v>
      </c>
      <c r="C2774" s="2">
        <f t="shared" si="44"/>
        <v>-1.808834847242962E-2</v>
      </c>
    </row>
    <row r="2775" spans="1:3" x14ac:dyDescent="0.2">
      <c r="A2775" s="1">
        <v>42041</v>
      </c>
      <c r="B2775">
        <v>156.19999999999999</v>
      </c>
      <c r="C2775" s="2">
        <f t="shared" si="44"/>
        <v>4.4915057862966326E-3</v>
      </c>
    </row>
    <row r="2776" spans="1:3" x14ac:dyDescent="0.2">
      <c r="A2776" s="1">
        <v>42040</v>
      </c>
      <c r="B2776">
        <v>155.5</v>
      </c>
      <c r="C2776" s="2">
        <f t="shared" si="44"/>
        <v>1.8825612768932316E-2</v>
      </c>
    </row>
    <row r="2777" spans="1:3" x14ac:dyDescent="0.2">
      <c r="A2777" s="1">
        <v>42039</v>
      </c>
      <c r="B2777">
        <v>152.6</v>
      </c>
      <c r="C2777" s="2">
        <f t="shared" si="44"/>
        <v>-2.7150989065950974E-2</v>
      </c>
    </row>
    <row r="2778" spans="1:3" x14ac:dyDescent="0.2">
      <c r="A2778" s="1">
        <v>42038</v>
      </c>
      <c r="B2778">
        <v>156.80000000000001</v>
      </c>
      <c r="C2778" s="2">
        <f t="shared" si="44"/>
        <v>1.4129971762986073E-2</v>
      </c>
    </row>
    <row r="2779" spans="1:3" x14ac:dyDescent="0.2">
      <c r="A2779" s="1">
        <v>42037</v>
      </c>
      <c r="B2779">
        <v>154.6</v>
      </c>
      <c r="C2779" s="2">
        <f t="shared" si="44"/>
        <v>5.1880790817778995E-3</v>
      </c>
    </row>
    <row r="2780" spans="1:3" x14ac:dyDescent="0.2">
      <c r="A2780" s="1">
        <v>42034</v>
      </c>
      <c r="B2780">
        <v>153.80000000000001</v>
      </c>
      <c r="C2780" s="2">
        <f t="shared" si="44"/>
        <v>2.1025741705750597E-2</v>
      </c>
    </row>
    <row r="2781" spans="1:3" x14ac:dyDescent="0.2">
      <c r="A2781" s="1">
        <v>42033</v>
      </c>
      <c r="B2781">
        <v>150.6</v>
      </c>
      <c r="C2781" s="2">
        <f t="shared" si="44"/>
        <v>-6.6379026665651093E-4</v>
      </c>
    </row>
    <row r="2782" spans="1:3" x14ac:dyDescent="0.2">
      <c r="A2782" s="1">
        <v>42032</v>
      </c>
      <c r="B2782">
        <v>150.69999999999999</v>
      </c>
      <c r="C2782" s="2">
        <f t="shared" si="44"/>
        <v>2.2141125877213501E-2</v>
      </c>
    </row>
    <row r="2783" spans="1:3" x14ac:dyDescent="0.2">
      <c r="A2783" s="1">
        <v>42031</v>
      </c>
      <c r="B2783">
        <v>147.4</v>
      </c>
      <c r="C2783" s="2">
        <f t="shared" si="44"/>
        <v>-2.9413885206293341E-2</v>
      </c>
    </row>
    <row r="2784" spans="1:3" x14ac:dyDescent="0.2">
      <c r="A2784" s="1">
        <v>42030</v>
      </c>
      <c r="B2784">
        <v>151.80000000000001</v>
      </c>
      <c r="C2784" s="2">
        <f t="shared" si="44"/>
        <v>1.0596125631495253E-2</v>
      </c>
    </row>
    <row r="2785" spans="1:3" x14ac:dyDescent="0.2">
      <c r="A2785" s="1">
        <v>42027</v>
      </c>
      <c r="B2785">
        <v>150.19999999999999</v>
      </c>
      <c r="C2785" s="2">
        <f t="shared" si="44"/>
        <v>1.2056408596754121E-2</v>
      </c>
    </row>
    <row r="2786" spans="1:3" x14ac:dyDescent="0.2">
      <c r="A2786" s="1">
        <v>42026</v>
      </c>
      <c r="B2786">
        <v>148.4</v>
      </c>
      <c r="C2786" s="2">
        <f t="shared" si="44"/>
        <v>3.9867822753084647E-2</v>
      </c>
    </row>
    <row r="2787" spans="1:3" x14ac:dyDescent="0.2">
      <c r="A2787" s="1">
        <v>42025</v>
      </c>
      <c r="B2787">
        <v>142.6</v>
      </c>
      <c r="C2787" s="2">
        <f t="shared" si="44"/>
        <v>2.5569574849503823E-2</v>
      </c>
    </row>
    <row r="2788" spans="1:3" x14ac:dyDescent="0.2">
      <c r="A2788" s="1">
        <v>42024</v>
      </c>
      <c r="B2788">
        <v>139</v>
      </c>
      <c r="C2788" s="2">
        <f t="shared" si="44"/>
        <v>1.4398850579875444E-3</v>
      </c>
    </row>
    <row r="2789" spans="1:3" x14ac:dyDescent="0.2">
      <c r="A2789" s="1">
        <v>42023</v>
      </c>
      <c r="B2789">
        <v>138.80000000000001</v>
      </c>
      <c r="C2789" s="2">
        <f t="shared" si="44"/>
        <v>-3.5958327130558411E-3</v>
      </c>
    </row>
    <row r="2790" spans="1:3" x14ac:dyDescent="0.2">
      <c r="A2790" s="1">
        <v>42020</v>
      </c>
      <c r="B2790">
        <v>139.30000000000001</v>
      </c>
      <c r="C2790" s="2">
        <f t="shared" si="44"/>
        <v>4.3165534649742213E-3</v>
      </c>
    </row>
    <row r="2791" spans="1:3" x14ac:dyDescent="0.2">
      <c r="A2791" s="1">
        <v>42019</v>
      </c>
      <c r="B2791">
        <v>138.69999999999999</v>
      </c>
      <c r="C2791" s="2">
        <f t="shared" si="44"/>
        <v>2.0394006163687691E-2</v>
      </c>
    </row>
    <row r="2792" spans="1:3" x14ac:dyDescent="0.2">
      <c r="A2792" s="1">
        <v>42018</v>
      </c>
      <c r="B2792">
        <v>135.9</v>
      </c>
      <c r="C2792" s="2">
        <f t="shared" si="44"/>
        <v>-1.5334364000106574E-2</v>
      </c>
    </row>
    <row r="2793" spans="1:3" x14ac:dyDescent="0.2">
      <c r="A2793" s="1">
        <v>42017</v>
      </c>
      <c r="B2793">
        <v>138</v>
      </c>
      <c r="C2793" s="2">
        <f t="shared" si="44"/>
        <v>-4.3384015985981298E-3</v>
      </c>
    </row>
    <row r="2794" spans="1:3" x14ac:dyDescent="0.2">
      <c r="A2794" s="1">
        <v>42016</v>
      </c>
      <c r="B2794">
        <v>138.6</v>
      </c>
      <c r="C2794" s="2">
        <f t="shared" si="44"/>
        <v>-1.432689262076162E-2</v>
      </c>
    </row>
    <row r="2795" spans="1:3" x14ac:dyDescent="0.2">
      <c r="A2795" s="1">
        <v>42013</v>
      </c>
      <c r="B2795">
        <v>140.6</v>
      </c>
      <c r="C2795" s="2">
        <f t="shared" si="44"/>
        <v>-2.8052330348099796E-2</v>
      </c>
    </row>
    <row r="2796" spans="1:3" x14ac:dyDescent="0.2">
      <c r="A2796" s="1">
        <v>42012</v>
      </c>
      <c r="B2796">
        <v>144.6</v>
      </c>
      <c r="C2796" s="2">
        <f t="shared" si="44"/>
        <v>2.8052330348099681E-2</v>
      </c>
    </row>
    <row r="2797" spans="1:3" x14ac:dyDescent="0.2">
      <c r="A2797" s="1">
        <v>42011</v>
      </c>
      <c r="B2797">
        <v>140.6</v>
      </c>
      <c r="C2797" s="2">
        <f t="shared" si="44"/>
        <v>-2.9434500575051585E-2</v>
      </c>
    </row>
    <row r="2798" spans="1:3" x14ac:dyDescent="0.2">
      <c r="A2798" s="1">
        <v>42009</v>
      </c>
      <c r="B2798">
        <v>144.80000000000001</v>
      </c>
      <c r="C2798" s="2">
        <f t="shared" si="44"/>
        <v>-1.8474695828258458E-2</v>
      </c>
    </row>
    <row r="2799" spans="1:3" x14ac:dyDescent="0.2">
      <c r="A2799" s="1">
        <v>42006</v>
      </c>
      <c r="B2799">
        <v>147.5</v>
      </c>
      <c r="C2799" s="2">
        <f t="shared" si="44"/>
        <v>-5.4090733640119711E-3</v>
      </c>
    </row>
    <row r="2800" spans="1:3" x14ac:dyDescent="0.2">
      <c r="A2800" s="1">
        <v>42003</v>
      </c>
      <c r="B2800">
        <v>148.30000000000001</v>
      </c>
      <c r="C2800" s="2">
        <f t="shared" si="44"/>
        <v>-1.3396047615042414E-2</v>
      </c>
    </row>
    <row r="2801" spans="1:3" x14ac:dyDescent="0.2">
      <c r="A2801" s="1">
        <v>42002</v>
      </c>
      <c r="B2801">
        <v>150.30000000000001</v>
      </c>
      <c r="C2801" s="2">
        <f t="shared" si="44"/>
        <v>-9.2715895955576035E-3</v>
      </c>
    </row>
    <row r="2802" spans="1:3" x14ac:dyDescent="0.2">
      <c r="A2802" s="1">
        <v>41996</v>
      </c>
      <c r="B2802">
        <v>151.69999999999999</v>
      </c>
      <c r="C2802" s="2">
        <f t="shared" si="44"/>
        <v>1.1269592258230678E-2</v>
      </c>
    </row>
    <row r="2803" spans="1:3" x14ac:dyDescent="0.2">
      <c r="A2803" s="1">
        <v>41995</v>
      </c>
      <c r="B2803">
        <v>150</v>
      </c>
      <c r="C2803" s="2">
        <f t="shared" si="44"/>
        <v>6.6889881507967101E-3</v>
      </c>
    </row>
    <row r="2804" spans="1:3" x14ac:dyDescent="0.2">
      <c r="A2804" s="1">
        <v>41992</v>
      </c>
      <c r="B2804">
        <v>149</v>
      </c>
      <c r="C2804" s="2">
        <f t="shared" si="44"/>
        <v>1.0796326190222864E-2</v>
      </c>
    </row>
    <row r="2805" spans="1:3" x14ac:dyDescent="0.2">
      <c r="A2805" s="1">
        <v>41991</v>
      </c>
      <c r="B2805">
        <v>147.4</v>
      </c>
      <c r="C2805" s="2">
        <f t="shared" si="44"/>
        <v>1.6416237334661948E-2</v>
      </c>
    </row>
    <row r="2806" spans="1:3" x14ac:dyDescent="0.2">
      <c r="A2806" s="1">
        <v>41990</v>
      </c>
      <c r="B2806">
        <v>145</v>
      </c>
      <c r="C2806" s="2">
        <f t="shared" si="44"/>
        <v>2.0711087831363196E-3</v>
      </c>
    </row>
    <row r="2807" spans="1:3" x14ac:dyDescent="0.2">
      <c r="A2807" s="1">
        <v>41989</v>
      </c>
      <c r="B2807">
        <v>144.69999999999999</v>
      </c>
      <c r="C2807" s="2">
        <f t="shared" si="44"/>
        <v>3.0879646529022722E-2</v>
      </c>
    </row>
    <row r="2808" spans="1:3" x14ac:dyDescent="0.2">
      <c r="A2808" s="1">
        <v>41988</v>
      </c>
      <c r="B2808">
        <v>140.30000000000001</v>
      </c>
      <c r="C2808" s="2">
        <f t="shared" si="44"/>
        <v>3.5701573087054822E-3</v>
      </c>
    </row>
    <row r="2809" spans="1:3" x14ac:dyDescent="0.2">
      <c r="A2809" s="1">
        <v>41985</v>
      </c>
      <c r="B2809">
        <v>139.80000000000001</v>
      </c>
      <c r="C2809" s="2">
        <f t="shared" si="44"/>
        <v>-1.4909754366287038E-2</v>
      </c>
    </row>
    <row r="2810" spans="1:3" x14ac:dyDescent="0.2">
      <c r="A2810" s="1">
        <v>41984</v>
      </c>
      <c r="B2810">
        <v>141.9</v>
      </c>
      <c r="C2810" s="2">
        <f t="shared" si="44"/>
        <v>-9.8177506681292083E-3</v>
      </c>
    </row>
    <row r="2811" spans="1:3" x14ac:dyDescent="0.2">
      <c r="A2811" s="1">
        <v>41983</v>
      </c>
      <c r="B2811">
        <v>143.30000000000001</v>
      </c>
      <c r="C2811" s="2">
        <f t="shared" si="44"/>
        <v>-1.1793407586448193E-2</v>
      </c>
    </row>
    <row r="2812" spans="1:3" x14ac:dyDescent="0.2">
      <c r="A2812" s="1">
        <v>41982</v>
      </c>
      <c r="B2812">
        <v>145</v>
      </c>
      <c r="C2812" s="2">
        <f t="shared" si="44"/>
        <v>-1.9126266093527047E-2</v>
      </c>
    </row>
    <row r="2813" spans="1:3" x14ac:dyDescent="0.2">
      <c r="A2813" s="1">
        <v>41981</v>
      </c>
      <c r="B2813">
        <v>147.80000000000001</v>
      </c>
      <c r="C2813" s="2">
        <f t="shared" si="44"/>
        <v>-4.7249497286528655E-3</v>
      </c>
    </row>
    <row r="2814" spans="1:3" x14ac:dyDescent="0.2">
      <c r="A2814" s="1">
        <v>41978</v>
      </c>
      <c r="B2814">
        <v>148.5</v>
      </c>
      <c r="C2814" s="2">
        <f t="shared" si="44"/>
        <v>2.1784387666516917E-2</v>
      </c>
    </row>
    <row r="2815" spans="1:3" x14ac:dyDescent="0.2">
      <c r="A2815" s="1">
        <v>41977</v>
      </c>
      <c r="B2815">
        <v>145.30000000000001</v>
      </c>
      <c r="C2815" s="2">
        <f t="shared" si="44"/>
        <v>-2.0625651863482564E-3</v>
      </c>
    </row>
    <row r="2816" spans="1:3" x14ac:dyDescent="0.2">
      <c r="A2816" s="1">
        <v>41976</v>
      </c>
      <c r="B2816">
        <v>145.6</v>
      </c>
      <c r="C2816" s="2">
        <f t="shared" si="44"/>
        <v>-4.1124115530925482E-3</v>
      </c>
    </row>
    <row r="2817" spans="1:3" x14ac:dyDescent="0.2">
      <c r="A2817" s="1">
        <v>41975</v>
      </c>
      <c r="B2817">
        <v>146.19999999999999</v>
      </c>
      <c r="C2817" s="2">
        <f t="shared" si="44"/>
        <v>4.7994607041309083E-3</v>
      </c>
    </row>
    <row r="2818" spans="1:3" x14ac:dyDescent="0.2">
      <c r="A2818" s="1">
        <v>41974</v>
      </c>
      <c r="B2818">
        <v>145.5</v>
      </c>
    </row>
    <row r="2819" spans="1:3" x14ac:dyDescent="0.2">
      <c r="A2819" s="1">
        <v>41971</v>
      </c>
      <c r="B2819">
        <v>148.4</v>
      </c>
      <c r="C2819" s="2">
        <f t="shared" ref="C2819:C2882" si="45">+LN(B2819/B2820)</f>
        <v>-2.0014010270068355E-2</v>
      </c>
    </row>
    <row r="2820" spans="1:3" x14ac:dyDescent="0.2">
      <c r="A2820" s="1">
        <v>41970</v>
      </c>
      <c r="B2820">
        <v>151.4</v>
      </c>
      <c r="C2820" s="2">
        <f t="shared" si="45"/>
        <v>6.6072020903802512E-4</v>
      </c>
    </row>
    <row r="2821" spans="1:3" x14ac:dyDescent="0.2">
      <c r="A2821" s="1">
        <v>41969</v>
      </c>
      <c r="B2821">
        <v>151.30000000000001</v>
      </c>
      <c r="C2821" s="2">
        <f t="shared" si="45"/>
        <v>-9.8652559381098726E-3</v>
      </c>
    </row>
    <row r="2822" spans="1:3" x14ac:dyDescent="0.2">
      <c r="A2822" s="1">
        <v>41968</v>
      </c>
      <c r="B2822">
        <v>152.80000000000001</v>
      </c>
      <c r="C2822" s="2">
        <f t="shared" si="45"/>
        <v>-1.1064219605380015E-2</v>
      </c>
    </row>
    <row r="2823" spans="1:3" x14ac:dyDescent="0.2">
      <c r="A2823" s="1">
        <v>41967</v>
      </c>
      <c r="B2823">
        <v>154.5</v>
      </c>
      <c r="C2823" s="2">
        <f t="shared" si="45"/>
        <v>1.1064219605380067E-2</v>
      </c>
    </row>
    <row r="2824" spans="1:3" x14ac:dyDescent="0.2">
      <c r="A2824" s="1">
        <v>41964</v>
      </c>
      <c r="B2824">
        <v>152.80000000000001</v>
      </c>
      <c r="C2824" s="2">
        <f t="shared" si="45"/>
        <v>7.8844035241490557E-3</v>
      </c>
    </row>
    <row r="2825" spans="1:3" x14ac:dyDescent="0.2">
      <c r="A2825" s="1">
        <v>41963</v>
      </c>
      <c r="B2825">
        <v>151.6</v>
      </c>
      <c r="C2825" s="2">
        <f t="shared" si="45"/>
        <v>-1.4407583863272408E-2</v>
      </c>
    </row>
    <row r="2826" spans="1:3" x14ac:dyDescent="0.2">
      <c r="A2826" s="1">
        <v>41962</v>
      </c>
      <c r="B2826">
        <v>153.80000000000001</v>
      </c>
      <c r="C2826" s="2">
        <f t="shared" si="45"/>
        <v>-1.0992674547745137E-2</v>
      </c>
    </row>
    <row r="2827" spans="1:3" x14ac:dyDescent="0.2">
      <c r="A2827" s="1">
        <v>41961</v>
      </c>
      <c r="B2827">
        <v>155.5</v>
      </c>
      <c r="C2827" s="2">
        <f t="shared" si="45"/>
        <v>2.2107532354041694E-2</v>
      </c>
    </row>
    <row r="2828" spans="1:3" x14ac:dyDescent="0.2">
      <c r="A2828" s="1">
        <v>41960</v>
      </c>
      <c r="B2828">
        <v>152.1</v>
      </c>
      <c r="C2828" s="2">
        <f t="shared" si="45"/>
        <v>-1.0464451279302981E-2</v>
      </c>
    </row>
    <row r="2829" spans="1:3" x14ac:dyDescent="0.2">
      <c r="A2829" s="1">
        <v>41957</v>
      </c>
      <c r="B2829">
        <v>153.69999999999999</v>
      </c>
      <c r="C2829" s="2">
        <f t="shared" si="45"/>
        <v>3.2583932380592963E-3</v>
      </c>
    </row>
    <row r="2830" spans="1:3" x14ac:dyDescent="0.2">
      <c r="A2830" s="1">
        <v>41956</v>
      </c>
      <c r="B2830">
        <v>153.19999999999999</v>
      </c>
      <c r="C2830" s="2">
        <f t="shared" si="45"/>
        <v>-3.9087997650528311E-3</v>
      </c>
    </row>
    <row r="2831" spans="1:3" x14ac:dyDescent="0.2">
      <c r="A2831" s="1">
        <v>41955</v>
      </c>
      <c r="B2831">
        <v>153.80000000000001</v>
      </c>
      <c r="C2831" s="2">
        <f t="shared" si="45"/>
        <v>-2.2501752992688483E-2</v>
      </c>
    </row>
    <row r="2832" spans="1:3" x14ac:dyDescent="0.2">
      <c r="A2832" s="1">
        <v>41954</v>
      </c>
      <c r="B2832">
        <v>157.30000000000001</v>
      </c>
      <c r="C2832" s="2">
        <f t="shared" si="45"/>
        <v>-1.2706482014555418E-3</v>
      </c>
    </row>
    <row r="2833" spans="1:3" x14ac:dyDescent="0.2">
      <c r="A2833" s="1">
        <v>41953</v>
      </c>
      <c r="B2833">
        <v>157.5</v>
      </c>
      <c r="C2833" s="2">
        <f t="shared" si="45"/>
        <v>3.1796529173798056E-3</v>
      </c>
    </row>
    <row r="2834" spans="1:3" x14ac:dyDescent="0.2">
      <c r="A2834" s="1">
        <v>41950</v>
      </c>
      <c r="B2834">
        <v>157</v>
      </c>
      <c r="C2834" s="2">
        <f t="shared" si="45"/>
        <v>6.3897980987709883E-3</v>
      </c>
    </row>
    <row r="2835" spans="1:3" x14ac:dyDescent="0.2">
      <c r="A2835" s="1">
        <v>41949</v>
      </c>
      <c r="B2835">
        <v>156</v>
      </c>
      <c r="C2835" s="2">
        <f t="shared" si="45"/>
        <v>1.3552966404703449E-2</v>
      </c>
    </row>
    <row r="2836" spans="1:3" x14ac:dyDescent="0.2">
      <c r="A2836" s="1">
        <v>41948</v>
      </c>
      <c r="B2836">
        <v>153.9</v>
      </c>
      <c r="C2836" s="2">
        <f t="shared" si="45"/>
        <v>1.242251999855711E-2</v>
      </c>
    </row>
    <row r="2837" spans="1:3" x14ac:dyDescent="0.2">
      <c r="A2837" s="1">
        <v>41947</v>
      </c>
      <c r="B2837">
        <v>152</v>
      </c>
      <c r="C2837" s="2">
        <f t="shared" si="45"/>
        <v>7.2631550724731563E-3</v>
      </c>
    </row>
    <row r="2838" spans="1:3" x14ac:dyDescent="0.2">
      <c r="A2838" s="1">
        <v>41946</v>
      </c>
      <c r="B2838">
        <v>150.9</v>
      </c>
      <c r="C2838" s="2">
        <f t="shared" si="45"/>
        <v>-5.9464991877264152E-3</v>
      </c>
    </row>
    <row r="2839" spans="1:3" x14ac:dyDescent="0.2">
      <c r="A2839" s="1">
        <v>41943</v>
      </c>
      <c r="B2839">
        <v>151.80000000000001</v>
      </c>
      <c r="C2839" s="2">
        <f t="shared" si="45"/>
        <v>3.2992441672192729E-3</v>
      </c>
    </row>
    <row r="2840" spans="1:3" x14ac:dyDescent="0.2">
      <c r="A2840" s="1">
        <v>41942</v>
      </c>
      <c r="B2840">
        <v>151.30000000000001</v>
      </c>
      <c r="C2840" s="2">
        <f t="shared" si="45"/>
        <v>1.0631329368727719E-2</v>
      </c>
    </row>
    <row r="2841" spans="1:3" x14ac:dyDescent="0.2">
      <c r="A2841" s="1">
        <v>41941</v>
      </c>
      <c r="B2841">
        <v>149.69999999999999</v>
      </c>
      <c r="C2841" s="2">
        <f t="shared" si="45"/>
        <v>-3.3344479044517057E-3</v>
      </c>
    </row>
    <row r="2842" spans="1:3" x14ac:dyDescent="0.2">
      <c r="A2842" s="1">
        <v>41940</v>
      </c>
      <c r="B2842">
        <v>150.19999999999999</v>
      </c>
      <c r="C2842" s="2">
        <f t="shared" si="45"/>
        <v>-3.2102330852458845E-2</v>
      </c>
    </row>
    <row r="2843" spans="1:3" x14ac:dyDescent="0.2">
      <c r="A2843" s="1">
        <v>41939</v>
      </c>
      <c r="B2843">
        <v>155.1</v>
      </c>
      <c r="C2843" s="2">
        <f t="shared" si="45"/>
        <v>-6.4453756662523527E-4</v>
      </c>
    </row>
    <row r="2844" spans="1:3" x14ac:dyDescent="0.2">
      <c r="A2844" s="1">
        <v>41936</v>
      </c>
      <c r="B2844">
        <v>155.19999999999999</v>
      </c>
      <c r="C2844" s="2">
        <f t="shared" si="45"/>
        <v>-7.7022203620924629E-3</v>
      </c>
    </row>
    <row r="2845" spans="1:3" x14ac:dyDescent="0.2">
      <c r="A2845" s="1">
        <v>41935</v>
      </c>
      <c r="B2845">
        <v>156.4</v>
      </c>
      <c r="C2845" s="2">
        <f t="shared" si="45"/>
        <v>2.3286951378790478E-2</v>
      </c>
    </row>
    <row r="2846" spans="1:3" x14ac:dyDescent="0.2">
      <c r="A2846" s="1">
        <v>41934</v>
      </c>
      <c r="B2846">
        <v>152.80000000000001</v>
      </c>
      <c r="C2846" s="2">
        <f t="shared" si="45"/>
        <v>1.1188007453726338E-2</v>
      </c>
    </row>
    <row r="2847" spans="1:3" x14ac:dyDescent="0.2">
      <c r="A2847" s="1">
        <v>41933</v>
      </c>
      <c r="B2847">
        <v>151.1</v>
      </c>
      <c r="C2847" s="2">
        <f t="shared" si="45"/>
        <v>2.6149662983918069E-2</v>
      </c>
    </row>
    <row r="2848" spans="1:3" x14ac:dyDescent="0.2">
      <c r="A2848" s="1">
        <v>41932</v>
      </c>
      <c r="B2848">
        <v>147.19999999999999</v>
      </c>
      <c r="C2848" s="2">
        <f t="shared" si="45"/>
        <v>-1.4835066403941142E-2</v>
      </c>
    </row>
    <row r="2849" spans="1:3" x14ac:dyDescent="0.2">
      <c r="A2849" s="1">
        <v>41929</v>
      </c>
      <c r="B2849">
        <v>149.4</v>
      </c>
      <c r="C2849" s="2">
        <f t="shared" si="45"/>
        <v>2.9893530278142674E-2</v>
      </c>
    </row>
    <row r="2850" spans="1:3" x14ac:dyDescent="0.2">
      <c r="A2850" s="1">
        <v>41928</v>
      </c>
      <c r="B2850">
        <v>145</v>
      </c>
      <c r="C2850" s="2">
        <f t="shared" si="45"/>
        <v>1.0398707220898517E-2</v>
      </c>
    </row>
    <row r="2851" spans="1:3" x14ac:dyDescent="0.2">
      <c r="A2851" s="1">
        <v>41927</v>
      </c>
      <c r="B2851">
        <v>143.5</v>
      </c>
      <c r="C2851" s="2">
        <f t="shared" si="45"/>
        <v>-3.3576295533604326E-2</v>
      </c>
    </row>
    <row r="2852" spans="1:3" x14ac:dyDescent="0.2">
      <c r="A2852" s="1">
        <v>41926</v>
      </c>
      <c r="B2852">
        <v>148.4</v>
      </c>
      <c r="C2852" s="2">
        <f t="shared" si="45"/>
        <v>2.3177588312705805E-2</v>
      </c>
    </row>
    <row r="2853" spans="1:3" x14ac:dyDescent="0.2">
      <c r="A2853" s="1">
        <v>41925</v>
      </c>
      <c r="B2853">
        <v>145</v>
      </c>
      <c r="C2853" s="2">
        <f t="shared" si="45"/>
        <v>5.5325175697256979E-3</v>
      </c>
    </row>
    <row r="2854" spans="1:3" x14ac:dyDescent="0.2">
      <c r="A2854" s="1">
        <v>41922</v>
      </c>
      <c r="B2854">
        <v>144.19999999999999</v>
      </c>
      <c r="C2854" s="2">
        <f t="shared" si="45"/>
        <v>-3.6095167979892463E-2</v>
      </c>
    </row>
    <row r="2855" spans="1:3" x14ac:dyDescent="0.2">
      <c r="A2855" s="1">
        <v>41921</v>
      </c>
      <c r="B2855">
        <v>149.5</v>
      </c>
      <c r="C2855" s="2">
        <f t="shared" si="45"/>
        <v>2.6433257068155646E-2</v>
      </c>
    </row>
    <row r="2856" spans="1:3" x14ac:dyDescent="0.2">
      <c r="A2856" s="1">
        <v>41920</v>
      </c>
      <c r="B2856">
        <v>145.6</v>
      </c>
      <c r="C2856" s="2">
        <f t="shared" si="45"/>
        <v>-5.4794657646257076E-3</v>
      </c>
    </row>
    <row r="2857" spans="1:3" x14ac:dyDescent="0.2">
      <c r="A2857" s="1">
        <v>41919</v>
      </c>
      <c r="B2857">
        <v>146.4</v>
      </c>
      <c r="C2857" s="2">
        <f t="shared" si="45"/>
        <v>-3.2922019267099083E-2</v>
      </c>
    </row>
    <row r="2858" spans="1:3" x14ac:dyDescent="0.2">
      <c r="A2858" s="1">
        <v>41918</v>
      </c>
      <c r="B2858">
        <v>151.30000000000001</v>
      </c>
      <c r="C2858" s="2">
        <f t="shared" si="45"/>
        <v>5.3015366053798946E-3</v>
      </c>
    </row>
    <row r="2859" spans="1:3" x14ac:dyDescent="0.2">
      <c r="A2859" s="1">
        <v>41915</v>
      </c>
      <c r="B2859">
        <v>150.5</v>
      </c>
      <c r="C2859" s="2">
        <f t="shared" si="45"/>
        <v>1.9953448588961877E-3</v>
      </c>
    </row>
    <row r="2860" spans="1:3" x14ac:dyDescent="0.2">
      <c r="A2860" s="1">
        <v>41914</v>
      </c>
      <c r="B2860">
        <v>150.19999999999999</v>
      </c>
      <c r="C2860" s="2">
        <f t="shared" si="45"/>
        <v>-1.7816373604982311E-2</v>
      </c>
    </row>
    <row r="2861" spans="1:3" x14ac:dyDescent="0.2">
      <c r="A2861" s="1">
        <v>41913</v>
      </c>
      <c r="B2861">
        <v>152.9</v>
      </c>
      <c r="C2861" s="2">
        <f t="shared" si="45"/>
        <v>-9.7625246556592143E-3</v>
      </c>
    </row>
    <row r="2862" spans="1:3" x14ac:dyDescent="0.2">
      <c r="A2862" s="1">
        <v>41912</v>
      </c>
      <c r="B2862">
        <v>154.4</v>
      </c>
      <c r="C2862" s="2">
        <f t="shared" si="45"/>
        <v>2.4919322224882572E-2</v>
      </c>
    </row>
    <row r="2863" spans="1:3" x14ac:dyDescent="0.2">
      <c r="A2863" s="1">
        <v>41911</v>
      </c>
      <c r="B2863">
        <v>150.6</v>
      </c>
      <c r="C2863" s="2">
        <f t="shared" si="45"/>
        <v>8.6696108206484081E-3</v>
      </c>
    </row>
    <row r="2864" spans="1:3" x14ac:dyDescent="0.2">
      <c r="A2864" s="1">
        <v>41908</v>
      </c>
      <c r="B2864">
        <v>149.30000000000001</v>
      </c>
      <c r="C2864" s="2">
        <f t="shared" si="45"/>
        <v>6.7001677548428123E-4</v>
      </c>
    </row>
    <row r="2865" spans="1:3" x14ac:dyDescent="0.2">
      <c r="A2865" s="1">
        <v>41907</v>
      </c>
      <c r="B2865">
        <v>149.19999999999999</v>
      </c>
      <c r="C2865" s="2">
        <f t="shared" si="45"/>
        <v>-6.0140508697558081E-3</v>
      </c>
    </row>
    <row r="2866" spans="1:3" x14ac:dyDescent="0.2">
      <c r="A2866" s="1">
        <v>41906</v>
      </c>
      <c r="B2866">
        <v>150.1</v>
      </c>
      <c r="C2866" s="2">
        <f t="shared" si="45"/>
        <v>-1.3315581195126823E-3</v>
      </c>
    </row>
    <row r="2867" spans="1:3" x14ac:dyDescent="0.2">
      <c r="A2867" s="1">
        <v>41905</v>
      </c>
      <c r="B2867">
        <v>150.30000000000001</v>
      </c>
      <c r="C2867" s="2">
        <f t="shared" si="45"/>
        <v>-1.3875346493617068E-2</v>
      </c>
    </row>
    <row r="2868" spans="1:3" x14ac:dyDescent="0.2">
      <c r="A2868" s="1">
        <v>41904</v>
      </c>
      <c r="B2868">
        <v>152.4</v>
      </c>
      <c r="C2868" s="2">
        <f t="shared" si="45"/>
        <v>-6.559527949203843E-4</v>
      </c>
    </row>
    <row r="2869" spans="1:3" x14ac:dyDescent="0.2">
      <c r="A2869" s="1">
        <v>41901</v>
      </c>
      <c r="B2869">
        <v>152.5</v>
      </c>
      <c r="C2869" s="2">
        <f t="shared" si="45"/>
        <v>-6.5552280289032884E-4</v>
      </c>
    </row>
    <row r="2870" spans="1:3" x14ac:dyDescent="0.2">
      <c r="A2870" s="1">
        <v>41900</v>
      </c>
      <c r="B2870">
        <v>152.6</v>
      </c>
      <c r="C2870" s="2">
        <f t="shared" si="45"/>
        <v>-2.2035888399180449E-2</v>
      </c>
    </row>
    <row r="2871" spans="1:3" x14ac:dyDescent="0.2">
      <c r="A2871" s="1">
        <v>41899</v>
      </c>
      <c r="B2871">
        <v>156</v>
      </c>
      <c r="C2871" s="2">
        <f t="shared" si="45"/>
        <v>1.5504186535965254E-2</v>
      </c>
    </row>
    <row r="2872" spans="1:3" x14ac:dyDescent="0.2">
      <c r="A2872" s="1">
        <v>41898</v>
      </c>
      <c r="B2872">
        <v>153.6</v>
      </c>
      <c r="C2872" s="2">
        <f t="shared" si="45"/>
        <v>0</v>
      </c>
    </row>
    <row r="2873" spans="1:3" x14ac:dyDescent="0.2">
      <c r="A2873" s="1">
        <v>41897</v>
      </c>
      <c r="B2873">
        <v>153.6</v>
      </c>
      <c r="C2873" s="2">
        <f t="shared" si="45"/>
        <v>-5.1948168771040228E-3</v>
      </c>
    </row>
    <row r="2874" spans="1:3" x14ac:dyDescent="0.2">
      <c r="A2874" s="1">
        <v>41894</v>
      </c>
      <c r="B2874">
        <v>154.4</v>
      </c>
      <c r="C2874" s="2">
        <f t="shared" si="45"/>
        <v>4.5439870461257319E-3</v>
      </c>
    </row>
    <row r="2875" spans="1:3" x14ac:dyDescent="0.2">
      <c r="A2875" s="1">
        <v>41893</v>
      </c>
      <c r="B2875">
        <v>153.69999999999999</v>
      </c>
      <c r="C2875" s="2">
        <f t="shared" si="45"/>
        <v>-1.1643081074738732E-2</v>
      </c>
    </row>
    <row r="2876" spans="1:3" x14ac:dyDescent="0.2">
      <c r="A2876" s="1">
        <v>41892</v>
      </c>
      <c r="B2876">
        <v>155.5</v>
      </c>
      <c r="C2876" s="2">
        <f t="shared" si="45"/>
        <v>-1.9274018173591249E-3</v>
      </c>
    </row>
    <row r="2877" spans="1:3" x14ac:dyDescent="0.2">
      <c r="A2877" s="1">
        <v>41891</v>
      </c>
      <c r="B2877">
        <v>155.80000000000001</v>
      </c>
      <c r="C2877" s="2">
        <f t="shared" si="45"/>
        <v>-1.2121360532344624E-2</v>
      </c>
    </row>
    <row r="2878" spans="1:3" x14ac:dyDescent="0.2">
      <c r="A2878" s="1">
        <v>41890</v>
      </c>
      <c r="B2878">
        <v>157.69999999999999</v>
      </c>
      <c r="C2878" s="2">
        <f t="shared" si="45"/>
        <v>-8.2097082512389355E-3</v>
      </c>
    </row>
    <row r="2879" spans="1:3" x14ac:dyDescent="0.2">
      <c r="A2879" s="1">
        <v>41887</v>
      </c>
      <c r="B2879">
        <v>159</v>
      </c>
      <c r="C2879" s="2">
        <f t="shared" si="45"/>
        <v>-1.4361782910931761E-2</v>
      </c>
    </row>
    <row r="2880" spans="1:3" x14ac:dyDescent="0.2">
      <c r="A2880" s="1">
        <v>41886</v>
      </c>
      <c r="B2880">
        <v>161.30000000000001</v>
      </c>
      <c r="C2880" s="2">
        <f t="shared" si="45"/>
        <v>-1.2391575315479787E-3</v>
      </c>
    </row>
    <row r="2881" spans="1:3" x14ac:dyDescent="0.2">
      <c r="A2881" s="1">
        <v>41885</v>
      </c>
      <c r="B2881">
        <v>161.5</v>
      </c>
      <c r="C2881" s="2">
        <f t="shared" si="45"/>
        <v>1.239157531548053E-3</v>
      </c>
    </row>
    <row r="2882" spans="1:3" x14ac:dyDescent="0.2">
      <c r="A2882" s="1">
        <v>41884</v>
      </c>
      <c r="B2882">
        <v>161.30000000000001</v>
      </c>
      <c r="C2882" s="2">
        <f t="shared" si="45"/>
        <v>9.9689299101965671E-3</v>
      </c>
    </row>
    <row r="2883" spans="1:3" x14ac:dyDescent="0.2">
      <c r="A2883" s="1">
        <v>41883</v>
      </c>
      <c r="B2883">
        <v>159.69999999999999</v>
      </c>
      <c r="C2883" s="2">
        <f t="shared" ref="C2883:C2946" si="46">+LN(B2883/B2884)</f>
        <v>6.2637020525834451E-4</v>
      </c>
    </row>
    <row r="2884" spans="1:3" x14ac:dyDescent="0.2">
      <c r="A2884" s="1">
        <v>41880</v>
      </c>
      <c r="B2884">
        <v>159.6</v>
      </c>
      <c r="C2884" s="2">
        <f t="shared" si="46"/>
        <v>3.7664827954768648E-3</v>
      </c>
    </row>
    <row r="2885" spans="1:3" x14ac:dyDescent="0.2">
      <c r="A2885" s="1">
        <v>41879</v>
      </c>
      <c r="B2885">
        <v>159</v>
      </c>
      <c r="C2885" s="2">
        <f t="shared" si="46"/>
        <v>-1.6838564362829593E-2</v>
      </c>
    </row>
    <row r="2886" spans="1:3" x14ac:dyDescent="0.2">
      <c r="A2886" s="1">
        <v>41878</v>
      </c>
      <c r="B2886">
        <v>161.69999999999999</v>
      </c>
      <c r="C2886" s="2">
        <f t="shared" si="46"/>
        <v>1.0568951349234126E-2</v>
      </c>
    </row>
    <row r="2887" spans="1:3" x14ac:dyDescent="0.2">
      <c r="A2887" s="1">
        <v>41877</v>
      </c>
      <c r="B2887">
        <v>160</v>
      </c>
      <c r="C2887" s="2">
        <f t="shared" si="46"/>
        <v>-4.9875415110391622E-3</v>
      </c>
    </row>
    <row r="2888" spans="1:3" x14ac:dyDescent="0.2">
      <c r="A2888" s="1">
        <v>41876</v>
      </c>
      <c r="B2888">
        <v>160.80000000000001</v>
      </c>
      <c r="C2888" s="2">
        <f t="shared" si="46"/>
        <v>9.3721398288632522E-3</v>
      </c>
    </row>
    <row r="2889" spans="1:3" x14ac:dyDescent="0.2">
      <c r="A2889" s="1">
        <v>41873</v>
      </c>
      <c r="B2889">
        <v>159.30000000000001</v>
      </c>
      <c r="C2889" s="2">
        <f t="shared" si="46"/>
        <v>-5.009403086666084E-3</v>
      </c>
    </row>
    <row r="2890" spans="1:3" x14ac:dyDescent="0.2">
      <c r="A2890" s="1">
        <v>41872</v>
      </c>
      <c r="B2890">
        <v>160.1</v>
      </c>
      <c r="C2890" s="2">
        <f t="shared" si="46"/>
        <v>-6.2441463158984596E-4</v>
      </c>
    </row>
    <row r="2891" spans="1:3" x14ac:dyDescent="0.2">
      <c r="A2891" s="1">
        <v>41871</v>
      </c>
      <c r="B2891">
        <v>160.19999999999999</v>
      </c>
      <c r="C2891" s="2">
        <f t="shared" si="46"/>
        <v>1.2492194004318981E-3</v>
      </c>
    </row>
    <row r="2892" spans="1:3" x14ac:dyDescent="0.2">
      <c r="A2892" s="1">
        <v>41870</v>
      </c>
      <c r="B2892">
        <v>160</v>
      </c>
      <c r="C2892" s="2">
        <f t="shared" si="46"/>
        <v>2.5031302181184748E-3</v>
      </c>
    </row>
    <row r="2893" spans="1:3" x14ac:dyDescent="0.2">
      <c r="A2893" s="1">
        <v>41869</v>
      </c>
      <c r="B2893">
        <v>159.6</v>
      </c>
      <c r="C2893" s="2">
        <f t="shared" si="46"/>
        <v>1.3880349032405519E-2</v>
      </c>
    </row>
    <row r="2894" spans="1:3" x14ac:dyDescent="0.2">
      <c r="A2894" s="1">
        <v>41866</v>
      </c>
      <c r="B2894">
        <v>157.4</v>
      </c>
      <c r="C2894" s="2">
        <f t="shared" si="46"/>
        <v>-5.0697193502505112E-3</v>
      </c>
    </row>
    <row r="2895" spans="1:3" x14ac:dyDescent="0.2">
      <c r="A2895" s="1">
        <v>41865</v>
      </c>
      <c r="B2895">
        <v>158.19999999999999</v>
      </c>
      <c r="C2895" s="2">
        <f t="shared" si="46"/>
        <v>2.531646921779505E-3</v>
      </c>
    </row>
    <row r="2896" spans="1:3" x14ac:dyDescent="0.2">
      <c r="A2896" s="1">
        <v>41864</v>
      </c>
      <c r="B2896">
        <v>157.80000000000001</v>
      </c>
      <c r="C2896" s="2">
        <f t="shared" si="46"/>
        <v>8.2723984315660904E-3</v>
      </c>
    </row>
    <row r="2897" spans="1:3" x14ac:dyDescent="0.2">
      <c r="A2897" s="1">
        <v>41863</v>
      </c>
      <c r="B2897">
        <v>156.5</v>
      </c>
      <c r="C2897" s="2">
        <f t="shared" si="46"/>
        <v>-2.5526497587790896E-3</v>
      </c>
    </row>
    <row r="2898" spans="1:3" x14ac:dyDescent="0.2">
      <c r="A2898" s="1">
        <v>41862</v>
      </c>
      <c r="B2898">
        <v>156.9</v>
      </c>
      <c r="C2898" s="2">
        <f t="shared" si="46"/>
        <v>2.3211873861218466E-2</v>
      </c>
    </row>
    <row r="2899" spans="1:3" x14ac:dyDescent="0.2">
      <c r="A2899" s="1">
        <v>41859</v>
      </c>
      <c r="B2899">
        <v>153.30000000000001</v>
      </c>
      <c r="C2899" s="2">
        <f t="shared" si="46"/>
        <v>1.9588644853329716E-3</v>
      </c>
    </row>
    <row r="2900" spans="1:3" x14ac:dyDescent="0.2">
      <c r="A2900" s="1">
        <v>41858</v>
      </c>
      <c r="B2900">
        <v>153</v>
      </c>
      <c r="C2900" s="2">
        <f t="shared" si="46"/>
        <v>-1.3632148790057644E-2</v>
      </c>
    </row>
    <row r="2901" spans="1:3" x14ac:dyDescent="0.2">
      <c r="A2901" s="1">
        <v>41857</v>
      </c>
      <c r="B2901">
        <v>155.1</v>
      </c>
      <c r="C2901" s="2">
        <f t="shared" si="46"/>
        <v>-1.0263079179481955E-2</v>
      </c>
    </row>
    <row r="2902" spans="1:3" x14ac:dyDescent="0.2">
      <c r="A2902" s="1">
        <v>41856</v>
      </c>
      <c r="B2902">
        <v>156.69999999999999</v>
      </c>
      <c r="C2902" s="2">
        <f t="shared" si="46"/>
        <v>4.4771421124380822E-3</v>
      </c>
    </row>
    <row r="2903" spans="1:3" x14ac:dyDescent="0.2">
      <c r="A2903" s="1">
        <v>41855</v>
      </c>
      <c r="B2903">
        <v>156</v>
      </c>
      <c r="C2903" s="2">
        <f t="shared" si="46"/>
        <v>3.8535693159899723E-3</v>
      </c>
    </row>
    <row r="2904" spans="1:3" x14ac:dyDescent="0.2">
      <c r="A2904" s="1">
        <v>41852</v>
      </c>
      <c r="B2904">
        <v>155.4</v>
      </c>
      <c r="C2904" s="2">
        <f t="shared" si="46"/>
        <v>-1.0880107328028299E-2</v>
      </c>
    </row>
    <row r="2905" spans="1:3" x14ac:dyDescent="0.2">
      <c r="A2905" s="1">
        <v>41851</v>
      </c>
      <c r="B2905">
        <v>157.1</v>
      </c>
      <c r="C2905" s="2">
        <f t="shared" si="46"/>
        <v>-1.6414509959391199E-2</v>
      </c>
    </row>
    <row r="2906" spans="1:3" x14ac:dyDescent="0.2">
      <c r="A2906" s="1">
        <v>41850</v>
      </c>
      <c r="B2906">
        <v>159.69999999999999</v>
      </c>
      <c r="C2906" s="2">
        <f t="shared" si="46"/>
        <v>-6.2422175225001425E-3</v>
      </c>
    </row>
    <row r="2907" spans="1:3" x14ac:dyDescent="0.2">
      <c r="A2907" s="1">
        <v>41849</v>
      </c>
      <c r="B2907">
        <v>160.69999999999999</v>
      </c>
      <c r="C2907" s="2">
        <f t="shared" si="46"/>
        <v>-2.48601743946179E-3</v>
      </c>
    </row>
    <row r="2908" spans="1:3" x14ac:dyDescent="0.2">
      <c r="A2908" s="1">
        <v>41848</v>
      </c>
      <c r="B2908">
        <v>161.1</v>
      </c>
      <c r="C2908" s="2">
        <f t="shared" si="46"/>
        <v>-4.9535705006608253E-3</v>
      </c>
    </row>
    <row r="2909" spans="1:3" x14ac:dyDescent="0.2">
      <c r="A2909" s="1">
        <v>41845</v>
      </c>
      <c r="B2909">
        <v>161.9</v>
      </c>
      <c r="C2909" s="2">
        <f t="shared" si="46"/>
        <v>-1.1056623693499683E-2</v>
      </c>
    </row>
    <row r="2910" spans="1:3" x14ac:dyDescent="0.2">
      <c r="A2910" s="1">
        <v>41844</v>
      </c>
      <c r="B2910">
        <v>163.69999999999999</v>
      </c>
      <c r="C2910" s="2">
        <f t="shared" si="46"/>
        <v>1.3530341714377838E-2</v>
      </c>
    </row>
    <row r="2911" spans="1:3" x14ac:dyDescent="0.2">
      <c r="A2911" s="1">
        <v>41843</v>
      </c>
      <c r="B2911">
        <v>161.5</v>
      </c>
      <c r="C2911" s="2">
        <f t="shared" si="46"/>
        <v>-1.2307847674596814E-2</v>
      </c>
    </row>
    <row r="2912" spans="1:3" x14ac:dyDescent="0.2">
      <c r="A2912" s="1">
        <v>41842</v>
      </c>
      <c r="B2912">
        <v>163.5</v>
      </c>
      <c r="C2912" s="2">
        <f t="shared" si="46"/>
        <v>6.7505626097304284E-3</v>
      </c>
    </row>
    <row r="2913" spans="1:3" x14ac:dyDescent="0.2">
      <c r="A2913" s="1">
        <v>41841</v>
      </c>
      <c r="B2913">
        <v>162.4</v>
      </c>
      <c r="C2913" s="2">
        <f t="shared" si="46"/>
        <v>-8.5837436913915547E-3</v>
      </c>
    </row>
    <row r="2914" spans="1:3" x14ac:dyDescent="0.2">
      <c r="A2914" s="1">
        <v>41838</v>
      </c>
      <c r="B2914">
        <v>163.80000000000001</v>
      </c>
      <c r="C2914" s="2">
        <f t="shared" si="46"/>
        <v>-1.0929070532190206E-2</v>
      </c>
    </row>
    <row r="2915" spans="1:3" x14ac:dyDescent="0.2">
      <c r="A2915" s="1">
        <v>41837</v>
      </c>
      <c r="B2915">
        <v>165.6</v>
      </c>
      <c r="C2915" s="2">
        <f t="shared" si="46"/>
        <v>-3.5008024654835275E-2</v>
      </c>
    </row>
    <row r="2916" spans="1:3" x14ac:dyDescent="0.2">
      <c r="A2916" s="1">
        <v>41836</v>
      </c>
      <c r="B2916">
        <v>171.5</v>
      </c>
      <c r="C2916" s="2">
        <f t="shared" si="46"/>
        <v>1.8241164797768258E-2</v>
      </c>
    </row>
    <row r="2917" spans="1:3" x14ac:dyDescent="0.2">
      <c r="A2917" s="1">
        <v>41835</v>
      </c>
      <c r="B2917">
        <v>168.4</v>
      </c>
      <c r="C2917" s="2">
        <f t="shared" si="46"/>
        <v>-1.4736488313318872E-2</v>
      </c>
    </row>
    <row r="2918" spans="1:3" x14ac:dyDescent="0.2">
      <c r="A2918" s="1">
        <v>41834</v>
      </c>
      <c r="B2918">
        <v>170.9</v>
      </c>
      <c r="C2918" s="2">
        <f t="shared" si="46"/>
        <v>2.0692432066170219E-2</v>
      </c>
    </row>
    <row r="2919" spans="1:3" x14ac:dyDescent="0.2">
      <c r="A2919" s="1">
        <v>41831</v>
      </c>
      <c r="B2919">
        <v>167.4</v>
      </c>
      <c r="C2919" s="2">
        <f t="shared" si="46"/>
        <v>-1.1940299926076895E-3</v>
      </c>
    </row>
    <row r="2920" spans="1:3" x14ac:dyDescent="0.2">
      <c r="A2920" s="1">
        <v>41830</v>
      </c>
      <c r="B2920">
        <v>167.6</v>
      </c>
      <c r="C2920" s="2">
        <f t="shared" si="46"/>
        <v>-1.9498402073562664E-2</v>
      </c>
    </row>
    <row r="2921" spans="1:3" x14ac:dyDescent="0.2">
      <c r="A2921" s="1">
        <v>41829</v>
      </c>
      <c r="B2921">
        <v>170.9</v>
      </c>
      <c r="C2921" s="2">
        <f t="shared" si="46"/>
        <v>-2.9214160421341868E-3</v>
      </c>
    </row>
    <row r="2922" spans="1:3" x14ac:dyDescent="0.2">
      <c r="A2922" s="1">
        <v>41828</v>
      </c>
      <c r="B2922">
        <v>171.4</v>
      </c>
      <c r="C2922" s="2">
        <f t="shared" si="46"/>
        <v>-1.3329667083379784E-2</v>
      </c>
    </row>
    <row r="2923" spans="1:3" x14ac:dyDescent="0.2">
      <c r="A2923" s="1">
        <v>41827</v>
      </c>
      <c r="B2923">
        <v>173.7</v>
      </c>
      <c r="C2923" s="2">
        <f t="shared" si="46"/>
        <v>-5.740543892951611E-3</v>
      </c>
    </row>
    <row r="2924" spans="1:3" x14ac:dyDescent="0.2">
      <c r="A2924" s="1">
        <v>41824</v>
      </c>
      <c r="B2924">
        <v>174.7</v>
      </c>
      <c r="C2924" s="2">
        <f t="shared" si="46"/>
        <v>-8.5494963620682384E-3</v>
      </c>
    </row>
    <row r="2925" spans="1:3" x14ac:dyDescent="0.2">
      <c r="A2925" s="1">
        <v>41823</v>
      </c>
      <c r="B2925">
        <v>176.2</v>
      </c>
      <c r="C2925" s="2">
        <f t="shared" si="46"/>
        <v>2.5288703951924004E-2</v>
      </c>
    </row>
    <row r="2926" spans="1:3" x14ac:dyDescent="0.2">
      <c r="A2926" s="1">
        <v>41822</v>
      </c>
      <c r="B2926">
        <v>171.8</v>
      </c>
      <c r="C2926" s="2">
        <f t="shared" si="46"/>
        <v>-2.3255824434752987E-3</v>
      </c>
    </row>
    <row r="2927" spans="1:3" x14ac:dyDescent="0.2">
      <c r="A2927" s="1">
        <v>41821</v>
      </c>
      <c r="B2927">
        <v>172.2</v>
      </c>
      <c r="C2927" s="2">
        <f t="shared" si="46"/>
        <v>0</v>
      </c>
    </row>
    <row r="2928" spans="1:3" x14ac:dyDescent="0.2">
      <c r="A2928" s="1">
        <v>41820</v>
      </c>
      <c r="B2928">
        <v>172.2</v>
      </c>
      <c r="C2928" s="2">
        <f t="shared" si="46"/>
        <v>4.0733253876356476E-3</v>
      </c>
    </row>
    <row r="2929" spans="1:3" x14ac:dyDescent="0.2">
      <c r="A2929" s="1">
        <v>41817</v>
      </c>
      <c r="B2929">
        <v>171.5</v>
      </c>
      <c r="C2929" s="2">
        <f t="shared" si="46"/>
        <v>8.1967672041784907E-3</v>
      </c>
    </row>
    <row r="2930" spans="1:3" x14ac:dyDescent="0.2">
      <c r="A2930" s="1">
        <v>41816</v>
      </c>
      <c r="B2930">
        <v>170.1</v>
      </c>
      <c r="C2930" s="2">
        <f t="shared" si="46"/>
        <v>1.7652255245689274E-3</v>
      </c>
    </row>
    <row r="2931" spans="1:3" x14ac:dyDescent="0.2">
      <c r="A2931" s="1">
        <v>41815</v>
      </c>
      <c r="B2931">
        <v>169.8</v>
      </c>
      <c r="C2931" s="2">
        <f t="shared" si="46"/>
        <v>-1.0544913176614887E-2</v>
      </c>
    </row>
    <row r="2932" spans="1:3" x14ac:dyDescent="0.2">
      <c r="A2932" s="1">
        <v>41814</v>
      </c>
      <c r="B2932">
        <v>171.6</v>
      </c>
      <c r="C2932" s="2">
        <f t="shared" si="46"/>
        <v>6.4308903302903314E-3</v>
      </c>
    </row>
    <row r="2933" spans="1:3" x14ac:dyDescent="0.2">
      <c r="A2933" s="1">
        <v>41813</v>
      </c>
      <c r="B2933">
        <v>170.5</v>
      </c>
      <c r="C2933" s="2">
        <f t="shared" si="46"/>
        <v>1.0020714561714637E-2</v>
      </c>
    </row>
    <row r="2934" spans="1:3" x14ac:dyDescent="0.2">
      <c r="A2934" s="1">
        <v>41809</v>
      </c>
      <c r="B2934">
        <v>168.8</v>
      </c>
      <c r="C2934" s="2">
        <f t="shared" si="46"/>
        <v>1.1855365941017652E-3</v>
      </c>
    </row>
    <row r="2935" spans="1:3" x14ac:dyDescent="0.2">
      <c r="A2935" s="1">
        <v>41808</v>
      </c>
      <c r="B2935">
        <v>168.6</v>
      </c>
      <c r="C2935" s="2">
        <f t="shared" si="46"/>
        <v>-9.4451705715186459E-3</v>
      </c>
    </row>
    <row r="2936" spans="1:3" x14ac:dyDescent="0.2">
      <c r="A2936" s="1">
        <v>41807</v>
      </c>
      <c r="B2936">
        <v>170.2</v>
      </c>
      <c r="C2936" s="2">
        <f t="shared" si="46"/>
        <v>0</v>
      </c>
    </row>
    <row r="2937" spans="1:3" x14ac:dyDescent="0.2">
      <c r="A2937" s="1">
        <v>41806</v>
      </c>
      <c r="B2937">
        <v>170.2</v>
      </c>
      <c r="C2937" s="2">
        <f t="shared" si="46"/>
        <v>-8.1919709145881463E-3</v>
      </c>
    </row>
    <row r="2938" spans="1:3" x14ac:dyDescent="0.2">
      <c r="A2938" s="1">
        <v>41803</v>
      </c>
      <c r="B2938">
        <v>171.6</v>
      </c>
      <c r="C2938" s="2">
        <f t="shared" si="46"/>
        <v>1.1661808901823939E-3</v>
      </c>
    </row>
    <row r="2939" spans="1:3" x14ac:dyDescent="0.2">
      <c r="A2939" s="1">
        <v>41802</v>
      </c>
      <c r="B2939">
        <v>171.4</v>
      </c>
      <c r="C2939" s="2">
        <f t="shared" si="46"/>
        <v>-5.8173520659133143E-3</v>
      </c>
    </row>
    <row r="2940" spans="1:3" x14ac:dyDescent="0.2">
      <c r="A2940" s="1">
        <v>41801</v>
      </c>
      <c r="B2940">
        <v>172.4</v>
      </c>
      <c r="C2940" s="2">
        <f t="shared" si="46"/>
        <v>-8.0878546016990051E-3</v>
      </c>
    </row>
    <row r="2941" spans="1:3" x14ac:dyDescent="0.2">
      <c r="A2941" s="1">
        <v>41800</v>
      </c>
      <c r="B2941">
        <v>173.8</v>
      </c>
      <c r="C2941" s="2">
        <f t="shared" si="46"/>
        <v>-5.752085289455973E-4</v>
      </c>
    </row>
    <row r="2942" spans="1:3" x14ac:dyDescent="0.2">
      <c r="A2942" s="1">
        <v>41799</v>
      </c>
      <c r="B2942">
        <v>173.9</v>
      </c>
      <c r="C2942" s="2">
        <f t="shared" si="46"/>
        <v>7.5036427109099191E-3</v>
      </c>
    </row>
    <row r="2943" spans="1:3" x14ac:dyDescent="0.2">
      <c r="A2943" s="1">
        <v>41795</v>
      </c>
      <c r="B2943">
        <v>172.6</v>
      </c>
      <c r="C2943" s="2">
        <f t="shared" si="46"/>
        <v>-1.2093438490683303E-2</v>
      </c>
    </row>
    <row r="2944" spans="1:3" x14ac:dyDescent="0.2">
      <c r="A2944" s="1">
        <v>41794</v>
      </c>
      <c r="B2944">
        <v>174.7</v>
      </c>
      <c r="C2944" s="2">
        <f t="shared" si="46"/>
        <v>-3.9988627980718497E-3</v>
      </c>
    </row>
    <row r="2945" spans="1:3" x14ac:dyDescent="0.2">
      <c r="A2945" s="1">
        <v>41793</v>
      </c>
      <c r="B2945">
        <v>175.4</v>
      </c>
      <c r="C2945" s="2">
        <f t="shared" si="46"/>
        <v>-2.2779053129939539E-3</v>
      </c>
    </row>
    <row r="2946" spans="1:3" x14ac:dyDescent="0.2">
      <c r="A2946" s="1">
        <v>41792</v>
      </c>
      <c r="B2946">
        <v>175.8</v>
      </c>
      <c r="C2946" s="2">
        <f t="shared" si="46"/>
        <v>2.8481933238877354E-3</v>
      </c>
    </row>
    <row r="2947" spans="1:3" x14ac:dyDescent="0.2">
      <c r="A2947" s="1">
        <v>41789</v>
      </c>
      <c r="B2947">
        <v>175.3</v>
      </c>
      <c r="C2947" s="2">
        <f t="shared" ref="C2947:C3010" si="47">+LN(B2947/B2948)</f>
        <v>7.4434927126597831E-3</v>
      </c>
    </row>
    <row r="2948" spans="1:3" x14ac:dyDescent="0.2">
      <c r="A2948" s="1">
        <v>41787</v>
      </c>
      <c r="B2948">
        <v>174</v>
      </c>
      <c r="C2948" s="2">
        <f t="shared" si="47"/>
        <v>-5.745475596142432E-4</v>
      </c>
    </row>
    <row r="2949" spans="1:3" x14ac:dyDescent="0.2">
      <c r="A2949" s="1">
        <v>41786</v>
      </c>
      <c r="B2949">
        <v>174.1</v>
      </c>
      <c r="C2949" s="2">
        <f t="shared" si="47"/>
        <v>5.7603845919798145E-3</v>
      </c>
    </row>
    <row r="2950" spans="1:3" x14ac:dyDescent="0.2">
      <c r="A2950" s="1">
        <v>41785</v>
      </c>
      <c r="B2950">
        <v>173.1</v>
      </c>
      <c r="C2950" s="2">
        <f t="shared" si="47"/>
        <v>-4.610959178073866E-3</v>
      </c>
    </row>
    <row r="2951" spans="1:3" x14ac:dyDescent="0.2">
      <c r="A2951" s="1">
        <v>41782</v>
      </c>
      <c r="B2951">
        <v>173.9</v>
      </c>
      <c r="C2951" s="2">
        <f t="shared" si="47"/>
        <v>4.6109591780738868E-3</v>
      </c>
    </row>
    <row r="2952" spans="1:3" x14ac:dyDescent="0.2">
      <c r="A2952" s="1">
        <v>41781</v>
      </c>
      <c r="B2952">
        <v>173.1</v>
      </c>
      <c r="C2952" s="2">
        <f t="shared" si="47"/>
        <v>1.6307874513520865E-2</v>
      </c>
    </row>
    <row r="2953" spans="1:3" x14ac:dyDescent="0.2">
      <c r="A2953" s="1">
        <v>41780</v>
      </c>
      <c r="B2953">
        <v>170.3</v>
      </c>
      <c r="C2953" s="2">
        <f t="shared" si="47"/>
        <v>-6.4384184950368366E-3</v>
      </c>
    </row>
    <row r="2954" spans="1:3" x14ac:dyDescent="0.2">
      <c r="A2954" s="1">
        <v>41779</v>
      </c>
      <c r="B2954">
        <v>171.4</v>
      </c>
      <c r="C2954" s="2">
        <f t="shared" si="47"/>
        <v>2.3016654898558329E-2</v>
      </c>
    </row>
    <row r="2955" spans="1:3" x14ac:dyDescent="0.2">
      <c r="A2955" s="1">
        <v>41778</v>
      </c>
      <c r="B2955">
        <v>167.5</v>
      </c>
      <c r="C2955" s="2">
        <f t="shared" si="47"/>
        <v>4.1878613404747154E-3</v>
      </c>
    </row>
    <row r="2956" spans="1:3" x14ac:dyDescent="0.2">
      <c r="A2956" s="1">
        <v>41775</v>
      </c>
      <c r="B2956">
        <v>166.8</v>
      </c>
      <c r="C2956" s="2">
        <f t="shared" si="47"/>
        <v>-5.9934074314298494E-4</v>
      </c>
    </row>
    <row r="2957" spans="1:3" x14ac:dyDescent="0.2">
      <c r="A2957" s="1">
        <v>41774</v>
      </c>
      <c r="B2957">
        <v>166.9</v>
      </c>
      <c r="C2957" s="2">
        <f t="shared" si="47"/>
        <v>-2.3683759453755775E-2</v>
      </c>
    </row>
    <row r="2958" spans="1:3" x14ac:dyDescent="0.2">
      <c r="A2958" s="1">
        <v>41773</v>
      </c>
      <c r="B2958">
        <v>170.9</v>
      </c>
      <c r="C2958" s="2">
        <f t="shared" si="47"/>
        <v>-3.5046764844493625E-3</v>
      </c>
    </row>
    <row r="2959" spans="1:3" x14ac:dyDescent="0.2">
      <c r="A2959" s="1">
        <v>41772</v>
      </c>
      <c r="B2959">
        <v>171.5</v>
      </c>
      <c r="C2959" s="2">
        <f t="shared" si="47"/>
        <v>1.17303397854896E-2</v>
      </c>
    </row>
    <row r="2960" spans="1:3" x14ac:dyDescent="0.2">
      <c r="A2960" s="1">
        <v>41771</v>
      </c>
      <c r="B2960">
        <v>169.5</v>
      </c>
      <c r="C2960" s="2">
        <f t="shared" si="47"/>
        <v>3.5461030067504905E-3</v>
      </c>
    </row>
    <row r="2961" spans="1:3" x14ac:dyDescent="0.2">
      <c r="A2961" s="1">
        <v>41768</v>
      </c>
      <c r="B2961">
        <v>168.9</v>
      </c>
      <c r="C2961" s="2">
        <f t="shared" si="47"/>
        <v>-5.9189110931906356E-4</v>
      </c>
    </row>
    <row r="2962" spans="1:3" x14ac:dyDescent="0.2">
      <c r="A2962" s="1">
        <v>41767</v>
      </c>
      <c r="B2962">
        <v>169</v>
      </c>
      <c r="C2962" s="2">
        <f t="shared" si="47"/>
        <v>7.1259208899676638E-3</v>
      </c>
    </row>
    <row r="2963" spans="1:3" x14ac:dyDescent="0.2">
      <c r="A2963" s="1">
        <v>41766</v>
      </c>
      <c r="B2963">
        <v>167.8</v>
      </c>
      <c r="C2963" s="2">
        <f t="shared" si="47"/>
        <v>-8.3086531390169464E-3</v>
      </c>
    </row>
    <row r="2964" spans="1:3" x14ac:dyDescent="0.2">
      <c r="A2964" s="1">
        <v>41765</v>
      </c>
      <c r="B2964">
        <v>169.2</v>
      </c>
      <c r="C2964" s="2">
        <f t="shared" si="47"/>
        <v>-1.0582109330536972E-2</v>
      </c>
    </row>
    <row r="2965" spans="1:3" x14ac:dyDescent="0.2">
      <c r="A2965" s="1">
        <v>41764</v>
      </c>
      <c r="B2965">
        <v>171</v>
      </c>
      <c r="C2965" s="2">
        <f t="shared" si="47"/>
        <v>-9.3132221466677174E-3</v>
      </c>
    </row>
    <row r="2966" spans="1:3" x14ac:dyDescent="0.2">
      <c r="A2966" s="1">
        <v>41761</v>
      </c>
      <c r="B2966">
        <v>172.6</v>
      </c>
      <c r="C2966" s="2">
        <f t="shared" si="47"/>
        <v>5.7954217791300177E-4</v>
      </c>
    </row>
    <row r="2967" spans="1:3" x14ac:dyDescent="0.2">
      <c r="A2967" s="1">
        <v>41759</v>
      </c>
      <c r="B2967">
        <v>172.5</v>
      </c>
      <c r="C2967" s="2">
        <f t="shared" si="47"/>
        <v>2.0498521548340969E-2</v>
      </c>
    </row>
    <row r="2968" spans="1:3" x14ac:dyDescent="0.2">
      <c r="A2968" s="1">
        <v>41758</v>
      </c>
      <c r="B2968">
        <v>169</v>
      </c>
      <c r="C2968" s="2">
        <f t="shared" si="47"/>
        <v>-8.8365818004980008E-3</v>
      </c>
    </row>
    <row r="2969" spans="1:3" x14ac:dyDescent="0.2">
      <c r="A2969" s="1">
        <v>41757</v>
      </c>
      <c r="B2969">
        <v>170.5</v>
      </c>
      <c r="C2969" s="2">
        <f t="shared" si="47"/>
        <v>-5.5332048450666013E-2</v>
      </c>
    </row>
    <row r="2970" spans="1:3" x14ac:dyDescent="0.2">
      <c r="A2970" s="1">
        <v>41754</v>
      </c>
      <c r="B2970">
        <v>180.2</v>
      </c>
      <c r="C2970" s="2">
        <f t="shared" si="47"/>
        <v>-6.0857725865679458E-3</v>
      </c>
    </row>
    <row r="2971" spans="1:3" x14ac:dyDescent="0.2">
      <c r="A2971" s="1">
        <v>41753</v>
      </c>
      <c r="B2971">
        <v>181.3</v>
      </c>
      <c r="C2971" s="2">
        <f t="shared" si="47"/>
        <v>6.0857725865679007E-3</v>
      </c>
    </row>
    <row r="2972" spans="1:3" x14ac:dyDescent="0.2">
      <c r="A2972" s="1">
        <v>41752</v>
      </c>
      <c r="B2972">
        <v>180.2</v>
      </c>
      <c r="C2972" s="2">
        <f t="shared" si="47"/>
        <v>-6.0857725865679458E-3</v>
      </c>
    </row>
    <row r="2973" spans="1:3" x14ac:dyDescent="0.2">
      <c r="A2973" s="1">
        <v>41751</v>
      </c>
      <c r="B2973">
        <v>181.3</v>
      </c>
      <c r="C2973" s="2">
        <f t="shared" si="47"/>
        <v>1.7807927465189447E-2</v>
      </c>
    </row>
    <row r="2974" spans="1:3" x14ac:dyDescent="0.2">
      <c r="A2974" s="1">
        <v>41746</v>
      </c>
      <c r="B2974">
        <v>178.1</v>
      </c>
      <c r="C2974" s="2">
        <f t="shared" si="47"/>
        <v>4.5019772154536036E-3</v>
      </c>
    </row>
    <row r="2975" spans="1:3" x14ac:dyDescent="0.2">
      <c r="A2975" s="1">
        <v>41745</v>
      </c>
      <c r="B2975">
        <v>177.3</v>
      </c>
      <c r="C2975" s="2">
        <f t="shared" si="47"/>
        <v>1.1344421152973322E-2</v>
      </c>
    </row>
    <row r="2976" spans="1:3" x14ac:dyDescent="0.2">
      <c r="A2976" s="1">
        <v>41744</v>
      </c>
      <c r="B2976">
        <v>175.3</v>
      </c>
      <c r="C2976" s="2">
        <f t="shared" si="47"/>
        <v>-1.6968732941905925E-2</v>
      </c>
    </row>
    <row r="2977" spans="1:3" x14ac:dyDescent="0.2">
      <c r="A2977" s="1">
        <v>41743</v>
      </c>
      <c r="B2977">
        <v>178.3</v>
      </c>
      <c r="C2977" s="2">
        <f t="shared" si="47"/>
        <v>2.2459301973052248E-3</v>
      </c>
    </row>
    <row r="2978" spans="1:3" x14ac:dyDescent="0.2">
      <c r="A2978" s="1">
        <v>41740</v>
      </c>
      <c r="B2978">
        <v>177.9</v>
      </c>
      <c r="C2978" s="2">
        <f t="shared" si="47"/>
        <v>-1.4509183101146102E-2</v>
      </c>
    </row>
    <row r="2979" spans="1:3" x14ac:dyDescent="0.2">
      <c r="A2979" s="1">
        <v>41739</v>
      </c>
      <c r="B2979">
        <v>180.5</v>
      </c>
      <c r="C2979" s="2">
        <f t="shared" si="47"/>
        <v>-8.8252089606265828E-3</v>
      </c>
    </row>
    <row r="2980" spans="1:3" x14ac:dyDescent="0.2">
      <c r="A2980" s="1">
        <v>41738</v>
      </c>
      <c r="B2980">
        <v>182.1</v>
      </c>
      <c r="C2980" s="2">
        <f t="shared" si="47"/>
        <v>1.648804990183664E-3</v>
      </c>
    </row>
    <row r="2981" spans="1:3" x14ac:dyDescent="0.2">
      <c r="A2981" s="1">
        <v>41737</v>
      </c>
      <c r="B2981">
        <v>181.8</v>
      </c>
      <c r="C2981" s="2">
        <f t="shared" si="47"/>
        <v>1.2731973815044879E-2</v>
      </c>
    </row>
    <row r="2982" spans="1:3" x14ac:dyDescent="0.2">
      <c r="A2982" s="1">
        <v>41736</v>
      </c>
      <c r="B2982">
        <v>179.5</v>
      </c>
      <c r="C2982" s="2">
        <f t="shared" si="47"/>
        <v>1.0641377370263848E-2</v>
      </c>
    </row>
    <row r="2983" spans="1:3" x14ac:dyDescent="0.2">
      <c r="A2983" s="1">
        <v>41733</v>
      </c>
      <c r="B2983">
        <v>177.6</v>
      </c>
      <c r="C2983" s="2">
        <f t="shared" si="47"/>
        <v>6.7796869853787691E-3</v>
      </c>
    </row>
    <row r="2984" spans="1:3" x14ac:dyDescent="0.2">
      <c r="A2984" s="1">
        <v>41732</v>
      </c>
      <c r="B2984">
        <v>176.4</v>
      </c>
      <c r="C2984" s="2">
        <f t="shared" si="47"/>
        <v>-5.652926302788212E-3</v>
      </c>
    </row>
    <row r="2985" spans="1:3" x14ac:dyDescent="0.2">
      <c r="A2985" s="1">
        <v>41731</v>
      </c>
      <c r="B2985">
        <v>177.4</v>
      </c>
      <c r="C2985" s="2">
        <f t="shared" si="47"/>
        <v>5.6529263027882311E-3</v>
      </c>
    </row>
    <row r="2986" spans="1:3" x14ac:dyDescent="0.2">
      <c r="A2986" s="1">
        <v>41730</v>
      </c>
      <c r="B2986">
        <v>176.4</v>
      </c>
      <c r="C2986" s="2">
        <f t="shared" si="47"/>
        <v>7.3969042808848225E-3</v>
      </c>
    </row>
    <row r="2987" spans="1:3" x14ac:dyDescent="0.2">
      <c r="A2987" s="1">
        <v>41729</v>
      </c>
      <c r="B2987">
        <v>175.1</v>
      </c>
      <c r="C2987" s="2">
        <f t="shared" si="47"/>
        <v>8.0275660447468467E-3</v>
      </c>
    </row>
    <row r="2988" spans="1:3" x14ac:dyDescent="0.2">
      <c r="A2988" s="1">
        <v>41726</v>
      </c>
      <c r="B2988">
        <v>173.7</v>
      </c>
      <c r="C2988" s="2">
        <f t="shared" si="47"/>
        <v>4.6162805578143819E-3</v>
      </c>
    </row>
    <row r="2989" spans="1:3" x14ac:dyDescent="0.2">
      <c r="A2989" s="1">
        <v>41725</v>
      </c>
      <c r="B2989">
        <v>172.9</v>
      </c>
      <c r="C2989" s="2">
        <f t="shared" si="47"/>
        <v>-1.7336034390898565E-3</v>
      </c>
    </row>
    <row r="2990" spans="1:3" x14ac:dyDescent="0.2">
      <c r="A2990" s="1">
        <v>41724</v>
      </c>
      <c r="B2990">
        <v>173.2</v>
      </c>
      <c r="C2990" s="2">
        <f t="shared" si="47"/>
        <v>1.4539366327939859E-2</v>
      </c>
    </row>
    <row r="2991" spans="1:3" x14ac:dyDescent="0.2">
      <c r="A2991" s="1">
        <v>41723</v>
      </c>
      <c r="B2991">
        <v>170.7</v>
      </c>
      <c r="C2991" s="2">
        <f t="shared" si="47"/>
        <v>1.8924278535273734E-2</v>
      </c>
    </row>
    <row r="2992" spans="1:3" x14ac:dyDescent="0.2">
      <c r="A2992" s="1">
        <v>41722</v>
      </c>
      <c r="B2992">
        <v>167.5</v>
      </c>
      <c r="C2992" s="2">
        <f t="shared" si="47"/>
        <v>-1.6578236403521587E-2</v>
      </c>
    </row>
    <row r="2993" spans="1:3" x14ac:dyDescent="0.2">
      <c r="A2993" s="1">
        <v>41719</v>
      </c>
      <c r="B2993">
        <v>170.3</v>
      </c>
      <c r="C2993" s="2">
        <f t="shared" si="47"/>
        <v>-5.8702672657274147E-4</v>
      </c>
    </row>
    <row r="2994" spans="1:3" x14ac:dyDescent="0.2">
      <c r="A2994" s="1">
        <v>41718</v>
      </c>
      <c r="B2994">
        <v>170.4</v>
      </c>
      <c r="C2994" s="2">
        <f t="shared" si="47"/>
        <v>-1.1668743834377378E-2</v>
      </c>
    </row>
    <row r="2995" spans="1:3" x14ac:dyDescent="0.2">
      <c r="A2995" s="1">
        <v>41717</v>
      </c>
      <c r="B2995">
        <v>172.4</v>
      </c>
      <c r="C2995" s="2">
        <f t="shared" si="47"/>
        <v>-6.9364439966569866E-3</v>
      </c>
    </row>
    <row r="2996" spans="1:3" x14ac:dyDescent="0.2">
      <c r="A2996" s="1">
        <v>41716</v>
      </c>
      <c r="B2996">
        <v>173.6</v>
      </c>
      <c r="C2996" s="2">
        <f t="shared" si="47"/>
        <v>-9.1743762760412694E-3</v>
      </c>
    </row>
    <row r="2997" spans="1:3" x14ac:dyDescent="0.2">
      <c r="A2997" s="1">
        <v>41715</v>
      </c>
      <c r="B2997">
        <v>175.2</v>
      </c>
      <c r="C2997" s="2">
        <f t="shared" si="47"/>
        <v>1.3793322132335769E-2</v>
      </c>
    </row>
    <row r="2998" spans="1:3" x14ac:dyDescent="0.2">
      <c r="A2998" s="1">
        <v>41712</v>
      </c>
      <c r="B2998">
        <v>172.8</v>
      </c>
      <c r="C2998" s="2">
        <f t="shared" si="47"/>
        <v>2.3174981403624824E-3</v>
      </c>
    </row>
    <row r="2999" spans="1:3" x14ac:dyDescent="0.2">
      <c r="A2999" s="1">
        <v>41711</v>
      </c>
      <c r="B2999">
        <v>172.4</v>
      </c>
      <c r="C2999" s="2">
        <f t="shared" si="47"/>
        <v>-8.6630631306446639E-3</v>
      </c>
    </row>
    <row r="3000" spans="1:3" x14ac:dyDescent="0.2">
      <c r="A3000" s="1">
        <v>41710</v>
      </c>
      <c r="B3000">
        <v>173.9</v>
      </c>
      <c r="C3000" s="2">
        <f t="shared" si="47"/>
        <v>3.456224638676857E-3</v>
      </c>
    </row>
    <row r="3001" spans="1:3" x14ac:dyDescent="0.2">
      <c r="A3001" s="1">
        <v>41709</v>
      </c>
      <c r="B3001">
        <v>173.3</v>
      </c>
      <c r="C3001" s="2">
        <f t="shared" si="47"/>
        <v>-8.0460204184503691E-3</v>
      </c>
    </row>
    <row r="3002" spans="1:3" x14ac:dyDescent="0.2">
      <c r="A3002" s="1">
        <v>41708</v>
      </c>
      <c r="B3002">
        <v>174.7</v>
      </c>
      <c r="C3002" s="2">
        <f t="shared" si="47"/>
        <v>-5.7224608142434187E-4</v>
      </c>
    </row>
    <row r="3003" spans="1:3" x14ac:dyDescent="0.2">
      <c r="A3003" s="1">
        <v>41705</v>
      </c>
      <c r="B3003">
        <v>174.8</v>
      </c>
      <c r="C3003" s="2">
        <f t="shared" si="47"/>
        <v>-9.6784131519163426E-3</v>
      </c>
    </row>
    <row r="3004" spans="1:3" x14ac:dyDescent="0.2">
      <c r="A3004" s="1">
        <v>41704</v>
      </c>
      <c r="B3004">
        <v>176.5</v>
      </c>
      <c r="C3004" s="2">
        <f t="shared" si="47"/>
        <v>8.5349024498375062E-3</v>
      </c>
    </row>
    <row r="3005" spans="1:3" x14ac:dyDescent="0.2">
      <c r="A3005" s="1">
        <v>41703</v>
      </c>
      <c r="B3005">
        <v>175</v>
      </c>
      <c r="C3005" s="2">
        <f t="shared" si="47"/>
        <v>4.0080213975386466E-3</v>
      </c>
    </row>
    <row r="3006" spans="1:3" x14ac:dyDescent="0.2">
      <c r="A3006" s="1">
        <v>41702</v>
      </c>
      <c r="B3006">
        <v>174.3</v>
      </c>
      <c r="C3006" s="2">
        <f t="shared" si="47"/>
        <v>2.910566338688551E-2</v>
      </c>
    </row>
    <row r="3007" spans="1:3" x14ac:dyDescent="0.2">
      <c r="A3007" s="1">
        <v>41701</v>
      </c>
      <c r="B3007">
        <v>169.3</v>
      </c>
      <c r="C3007" s="2">
        <f t="shared" si="47"/>
        <v>-2.7383010075439355E-2</v>
      </c>
    </row>
    <row r="3008" spans="1:3" x14ac:dyDescent="0.2">
      <c r="A3008" s="1">
        <v>41698</v>
      </c>
      <c r="B3008">
        <v>174</v>
      </c>
      <c r="C3008" s="2">
        <f t="shared" si="47"/>
        <v>0</v>
      </c>
    </row>
    <row r="3009" spans="1:3" x14ac:dyDescent="0.2">
      <c r="A3009" s="1">
        <v>41697</v>
      </c>
      <c r="B3009">
        <v>174</v>
      </c>
      <c r="C3009" s="2">
        <f t="shared" si="47"/>
        <v>4.6083030861944025E-3</v>
      </c>
    </row>
    <row r="3010" spans="1:3" x14ac:dyDescent="0.2">
      <c r="A3010" s="1">
        <v>41696</v>
      </c>
      <c r="B3010">
        <v>173.2</v>
      </c>
      <c r="C3010" s="2">
        <f t="shared" si="47"/>
        <v>-6.9045153465445985E-3</v>
      </c>
    </row>
    <row r="3011" spans="1:3" x14ac:dyDescent="0.2">
      <c r="A3011" s="1">
        <v>41695</v>
      </c>
      <c r="B3011">
        <v>174.4</v>
      </c>
      <c r="C3011" s="2">
        <f t="shared" ref="C3011:C3074" si="48">+LN(B3011/B3012)</f>
        <v>8.0599169771002482E-3</v>
      </c>
    </row>
    <row r="3012" spans="1:3" x14ac:dyDescent="0.2">
      <c r="A3012" s="1">
        <v>41694</v>
      </c>
      <c r="B3012">
        <v>173</v>
      </c>
      <c r="C3012" s="2">
        <f t="shared" si="48"/>
        <v>1.7493157447517119E-2</v>
      </c>
    </row>
    <row r="3013" spans="1:3" x14ac:dyDescent="0.2">
      <c r="A3013" s="1">
        <v>41691</v>
      </c>
      <c r="B3013">
        <v>170</v>
      </c>
      <c r="C3013" s="2">
        <f t="shared" si="48"/>
        <v>5.8840837237535007E-4</v>
      </c>
    </row>
    <row r="3014" spans="1:3" x14ac:dyDescent="0.2">
      <c r="A3014" s="1">
        <v>41690</v>
      </c>
      <c r="B3014">
        <v>169.9</v>
      </c>
      <c r="C3014" s="2">
        <f t="shared" si="48"/>
        <v>-9.9561583759754796E-3</v>
      </c>
    </row>
    <row r="3015" spans="1:3" x14ac:dyDescent="0.2">
      <c r="A3015" s="1">
        <v>41689</v>
      </c>
      <c r="B3015">
        <v>171.6</v>
      </c>
      <c r="C3015" s="2">
        <f t="shared" si="48"/>
        <v>8.1919709145881585E-3</v>
      </c>
    </row>
    <row r="3016" spans="1:3" x14ac:dyDescent="0.2">
      <c r="A3016" s="1">
        <v>41688</v>
      </c>
      <c r="B3016">
        <v>170.2</v>
      </c>
      <c r="C3016" s="2">
        <f t="shared" si="48"/>
        <v>-4.6893403633861712E-3</v>
      </c>
    </row>
    <row r="3017" spans="1:3" x14ac:dyDescent="0.2">
      <c r="A3017" s="1">
        <v>41687</v>
      </c>
      <c r="B3017">
        <v>171</v>
      </c>
      <c r="C3017" s="2">
        <f t="shared" si="48"/>
        <v>5.2770571008438193E-3</v>
      </c>
    </row>
    <row r="3018" spans="1:3" x14ac:dyDescent="0.2">
      <c r="A3018" s="1">
        <v>41684</v>
      </c>
      <c r="B3018">
        <v>170.1</v>
      </c>
      <c r="C3018" s="2">
        <f t="shared" si="48"/>
        <v>8.2645098498934314E-3</v>
      </c>
    </row>
    <row r="3019" spans="1:3" x14ac:dyDescent="0.2">
      <c r="A3019" s="1">
        <v>41683</v>
      </c>
      <c r="B3019">
        <v>168.7</v>
      </c>
      <c r="C3019" s="2">
        <f t="shared" si="48"/>
        <v>1.7798877436962146E-3</v>
      </c>
    </row>
    <row r="3020" spans="1:3" x14ac:dyDescent="0.2">
      <c r="A3020" s="1">
        <v>41682</v>
      </c>
      <c r="B3020">
        <v>168.4</v>
      </c>
      <c r="C3020" s="2">
        <f t="shared" si="48"/>
        <v>-7.1006215495763155E-3</v>
      </c>
    </row>
    <row r="3021" spans="1:3" x14ac:dyDescent="0.2">
      <c r="A3021" s="1">
        <v>41681</v>
      </c>
      <c r="B3021">
        <v>169.6</v>
      </c>
      <c r="C3021" s="2">
        <f t="shared" si="48"/>
        <v>1.1862535309819948E-2</v>
      </c>
    </row>
    <row r="3022" spans="1:3" x14ac:dyDescent="0.2">
      <c r="A3022" s="1">
        <v>41680</v>
      </c>
      <c r="B3022">
        <v>167.6</v>
      </c>
      <c r="C3022" s="2">
        <f t="shared" si="48"/>
        <v>1.1940299926075468E-3</v>
      </c>
    </row>
    <row r="3023" spans="1:3" x14ac:dyDescent="0.2">
      <c r="A3023" s="1">
        <v>41677</v>
      </c>
      <c r="B3023">
        <v>167.4</v>
      </c>
      <c r="C3023" s="2">
        <f t="shared" si="48"/>
        <v>-1.1940299926076895E-3</v>
      </c>
    </row>
    <row r="3024" spans="1:3" x14ac:dyDescent="0.2">
      <c r="A3024" s="1">
        <v>41676</v>
      </c>
      <c r="B3024">
        <v>167.6</v>
      </c>
      <c r="C3024" s="2">
        <f t="shared" si="48"/>
        <v>2.905773447954255E-2</v>
      </c>
    </row>
    <row r="3025" spans="1:3" x14ac:dyDescent="0.2">
      <c r="A3025" s="1">
        <v>41675</v>
      </c>
      <c r="B3025">
        <v>162.80000000000001</v>
      </c>
      <c r="C3025" s="2">
        <f t="shared" si="48"/>
        <v>4.5233841824148711E-2</v>
      </c>
    </row>
    <row r="3026" spans="1:3" x14ac:dyDescent="0.2">
      <c r="A3026" s="1">
        <v>41674</v>
      </c>
      <c r="B3026">
        <v>155.6</v>
      </c>
      <c r="C3026" s="2">
        <f t="shared" si="48"/>
        <v>6.4288012500235208E-4</v>
      </c>
    </row>
    <row r="3027" spans="1:3" x14ac:dyDescent="0.2">
      <c r="A3027" s="1">
        <v>41673</v>
      </c>
      <c r="B3027">
        <v>155.5</v>
      </c>
      <c r="C3027" s="2">
        <f t="shared" si="48"/>
        <v>-2.2258470600942697E-2</v>
      </c>
    </row>
    <row r="3028" spans="1:3" x14ac:dyDescent="0.2">
      <c r="A3028" s="1">
        <v>41670</v>
      </c>
      <c r="B3028">
        <v>159</v>
      </c>
      <c r="C3028" s="2">
        <f t="shared" si="48"/>
        <v>-5.0188311119428461E-3</v>
      </c>
    </row>
    <row r="3029" spans="1:3" x14ac:dyDescent="0.2">
      <c r="A3029" s="1">
        <v>41669</v>
      </c>
      <c r="B3029">
        <v>159.80000000000001</v>
      </c>
      <c r="C3029" s="2">
        <f t="shared" si="48"/>
        <v>3.1338164161714842E-3</v>
      </c>
    </row>
    <row r="3030" spans="1:3" x14ac:dyDescent="0.2">
      <c r="A3030" s="1">
        <v>41668</v>
      </c>
      <c r="B3030">
        <v>159.30000000000001</v>
      </c>
      <c r="C3030" s="2">
        <f t="shared" si="48"/>
        <v>-1.1856613156524936E-2</v>
      </c>
    </row>
    <row r="3031" spans="1:3" x14ac:dyDescent="0.2">
      <c r="A3031" s="1">
        <v>41667</v>
      </c>
      <c r="B3031">
        <v>161.19999999999999</v>
      </c>
      <c r="C3031" s="2">
        <f t="shared" si="48"/>
        <v>2.0050797045561002E-2</v>
      </c>
    </row>
    <row r="3032" spans="1:3" x14ac:dyDescent="0.2">
      <c r="A3032" s="1">
        <v>41666</v>
      </c>
      <c r="B3032">
        <v>158</v>
      </c>
      <c r="C3032" s="2">
        <f t="shared" si="48"/>
        <v>8.9002494702640784E-3</v>
      </c>
    </row>
    <row r="3033" spans="1:3" x14ac:dyDescent="0.2">
      <c r="A3033" s="1">
        <v>41663</v>
      </c>
      <c r="B3033">
        <v>156.6</v>
      </c>
      <c r="C3033" s="2">
        <f t="shared" si="48"/>
        <v>-1.7094433359300183E-2</v>
      </c>
    </row>
    <row r="3034" spans="1:3" x14ac:dyDescent="0.2">
      <c r="A3034" s="1">
        <v>41662</v>
      </c>
      <c r="B3034">
        <v>159.30000000000001</v>
      </c>
      <c r="C3034" s="2">
        <f t="shared" si="48"/>
        <v>-2.9077210908195494E-2</v>
      </c>
    </row>
    <row r="3035" spans="1:3" x14ac:dyDescent="0.2">
      <c r="A3035" s="1">
        <v>41661</v>
      </c>
      <c r="B3035">
        <v>164</v>
      </c>
      <c r="C3035" s="2">
        <f t="shared" si="48"/>
        <v>9.8040000966208348E-3</v>
      </c>
    </row>
    <row r="3036" spans="1:3" x14ac:dyDescent="0.2">
      <c r="A3036" s="1">
        <v>41660</v>
      </c>
      <c r="B3036">
        <v>162.4</v>
      </c>
      <c r="C3036" s="2">
        <f t="shared" si="48"/>
        <v>-1.0413570368467552E-2</v>
      </c>
    </row>
    <row r="3037" spans="1:3" x14ac:dyDescent="0.2">
      <c r="A3037" s="1">
        <v>41659</v>
      </c>
      <c r="B3037">
        <v>164.1</v>
      </c>
      <c r="C3037" s="2">
        <f t="shared" si="48"/>
        <v>-4.2566193793262489E-3</v>
      </c>
    </row>
    <row r="3038" spans="1:3" x14ac:dyDescent="0.2">
      <c r="A3038" s="1">
        <v>41656</v>
      </c>
      <c r="B3038">
        <v>164.8</v>
      </c>
      <c r="C3038" s="2">
        <f t="shared" si="48"/>
        <v>8.5314350494687958E-3</v>
      </c>
    </row>
    <row r="3039" spans="1:3" x14ac:dyDescent="0.2">
      <c r="A3039" s="1">
        <v>41655</v>
      </c>
      <c r="B3039">
        <v>163.4</v>
      </c>
      <c r="C3039" s="2">
        <f t="shared" si="48"/>
        <v>6.7547079053569183E-3</v>
      </c>
    </row>
    <row r="3040" spans="1:3" x14ac:dyDescent="0.2">
      <c r="A3040" s="1">
        <v>41654</v>
      </c>
      <c r="B3040">
        <v>162.30000000000001</v>
      </c>
      <c r="C3040" s="2">
        <f t="shared" si="48"/>
        <v>8.6634205222080873E-3</v>
      </c>
    </row>
    <row r="3041" spans="1:3" x14ac:dyDescent="0.2">
      <c r="A3041" s="1">
        <v>41653</v>
      </c>
      <c r="B3041">
        <v>160.9</v>
      </c>
      <c r="C3041" s="2">
        <f t="shared" si="48"/>
        <v>4.9844339956685571E-3</v>
      </c>
    </row>
    <row r="3042" spans="1:3" x14ac:dyDescent="0.2">
      <c r="A3042" s="1">
        <v>41652</v>
      </c>
      <c r="B3042">
        <v>160.1</v>
      </c>
      <c r="C3042" s="2">
        <f t="shared" si="48"/>
        <v>-1.6109394222323024E-2</v>
      </c>
    </row>
    <row r="3043" spans="1:3" x14ac:dyDescent="0.2">
      <c r="A3043" s="1">
        <v>41649</v>
      </c>
      <c r="B3043">
        <v>162.69999999999999</v>
      </c>
      <c r="C3043" s="2">
        <f t="shared" si="48"/>
        <v>8.0222583891436262E-3</v>
      </c>
    </row>
    <row r="3044" spans="1:3" x14ac:dyDescent="0.2">
      <c r="A3044" s="1">
        <v>41648</v>
      </c>
      <c r="B3044">
        <v>161.4</v>
      </c>
      <c r="C3044" s="2">
        <f t="shared" si="48"/>
        <v>-3.7105793965356015E-3</v>
      </c>
    </row>
    <row r="3045" spans="1:3" x14ac:dyDescent="0.2">
      <c r="A3045" s="1">
        <v>41647</v>
      </c>
      <c r="B3045">
        <v>162</v>
      </c>
      <c r="C3045" s="2">
        <f t="shared" si="48"/>
        <v>-1.8501392881614773E-3</v>
      </c>
    </row>
    <row r="3046" spans="1:3" x14ac:dyDescent="0.2">
      <c r="A3046" s="1">
        <v>41646</v>
      </c>
      <c r="B3046">
        <v>162.30000000000001</v>
      </c>
      <c r="C3046" s="2">
        <f t="shared" si="48"/>
        <v>-1.0419953303652791E-2</v>
      </c>
    </row>
    <row r="3047" spans="1:3" x14ac:dyDescent="0.2">
      <c r="A3047" s="1">
        <v>41642</v>
      </c>
      <c r="B3047">
        <v>164</v>
      </c>
      <c r="C3047" s="2">
        <f t="shared" si="48"/>
        <v>3.0534374868902482E-3</v>
      </c>
    </row>
    <row r="3048" spans="1:3" x14ac:dyDescent="0.2">
      <c r="A3048" s="1">
        <v>41641</v>
      </c>
      <c r="B3048">
        <v>163.5</v>
      </c>
      <c r="C3048" s="2">
        <f t="shared" si="48"/>
        <v>-9.1324835632724741E-3</v>
      </c>
    </row>
    <row r="3049" spans="1:3" x14ac:dyDescent="0.2">
      <c r="A3049" s="1">
        <v>41638</v>
      </c>
      <c r="B3049">
        <v>165</v>
      </c>
      <c r="C3049" s="2">
        <f t="shared" si="48"/>
        <v>2.4271856576111375E-3</v>
      </c>
    </row>
    <row r="3050" spans="1:3" x14ac:dyDescent="0.2">
      <c r="A3050" s="1">
        <v>41635</v>
      </c>
      <c r="B3050">
        <v>164.6</v>
      </c>
      <c r="C3050" s="2">
        <f t="shared" si="48"/>
        <v>3.6518604187710177E-3</v>
      </c>
    </row>
    <row r="3051" spans="1:3" x14ac:dyDescent="0.2">
      <c r="A3051" s="1">
        <v>41631</v>
      </c>
      <c r="B3051">
        <v>164</v>
      </c>
      <c r="C3051" s="2">
        <f t="shared" si="48"/>
        <v>1.1652999082568127E-2</v>
      </c>
    </row>
    <row r="3052" spans="1:3" x14ac:dyDescent="0.2">
      <c r="A3052" s="1">
        <v>41628</v>
      </c>
      <c r="B3052">
        <v>162.1</v>
      </c>
      <c r="C3052" s="2">
        <f t="shared" si="48"/>
        <v>2.8153251317851711E-2</v>
      </c>
    </row>
    <row r="3053" spans="1:3" x14ac:dyDescent="0.2">
      <c r="A3053" s="1">
        <v>41627</v>
      </c>
      <c r="B3053">
        <v>157.6</v>
      </c>
      <c r="C3053" s="2">
        <f t="shared" si="48"/>
        <v>4.2118308145084909E-2</v>
      </c>
    </row>
    <row r="3054" spans="1:3" x14ac:dyDescent="0.2">
      <c r="A3054" s="1">
        <v>41626</v>
      </c>
      <c r="B3054">
        <v>151.1</v>
      </c>
      <c r="C3054" s="2">
        <f t="shared" si="48"/>
        <v>1.3324647508001093E-2</v>
      </c>
    </row>
    <row r="3055" spans="1:3" x14ac:dyDescent="0.2">
      <c r="A3055" s="1">
        <v>41625</v>
      </c>
      <c r="B3055">
        <v>149.1</v>
      </c>
      <c r="C3055" s="2">
        <f t="shared" si="48"/>
        <v>-7.3505175593415878E-3</v>
      </c>
    </row>
    <row r="3056" spans="1:3" x14ac:dyDescent="0.2">
      <c r="A3056" s="1">
        <v>41624</v>
      </c>
      <c r="B3056">
        <v>150.19999999999999</v>
      </c>
      <c r="C3056" s="2">
        <f t="shared" si="48"/>
        <v>2.0855111722642532E-2</v>
      </c>
    </row>
    <row r="3057" spans="1:3" x14ac:dyDescent="0.2">
      <c r="A3057" s="1">
        <v>41621</v>
      </c>
      <c r="B3057">
        <v>147.1</v>
      </c>
      <c r="C3057" s="2">
        <f t="shared" si="48"/>
        <v>4.7700260801805169E-3</v>
      </c>
    </row>
    <row r="3058" spans="1:3" x14ac:dyDescent="0.2">
      <c r="A3058" s="1">
        <v>41620</v>
      </c>
      <c r="B3058">
        <v>146.4</v>
      </c>
      <c r="C3058" s="2">
        <f t="shared" si="48"/>
        <v>-1.0869672236903879E-2</v>
      </c>
    </row>
    <row r="3059" spans="1:3" x14ac:dyDescent="0.2">
      <c r="A3059" s="1">
        <v>41619</v>
      </c>
      <c r="B3059">
        <v>148</v>
      </c>
      <c r="C3059" s="2">
        <f t="shared" si="48"/>
        <v>7.4601905842833693E-3</v>
      </c>
    </row>
    <row r="3060" spans="1:3" x14ac:dyDescent="0.2">
      <c r="A3060" s="1">
        <v>41618</v>
      </c>
      <c r="B3060">
        <v>146.9</v>
      </c>
      <c r="C3060" s="2">
        <f t="shared" si="48"/>
        <v>-1.3522856510131732E-2</v>
      </c>
    </row>
    <row r="3061" spans="1:3" x14ac:dyDescent="0.2">
      <c r="A3061" s="1">
        <v>41617</v>
      </c>
      <c r="B3061">
        <v>148.9</v>
      </c>
      <c r="C3061" s="2">
        <f t="shared" si="48"/>
        <v>-6.7136625549582801E-4</v>
      </c>
    </row>
    <row r="3062" spans="1:3" x14ac:dyDescent="0.2">
      <c r="A3062" s="1">
        <v>41614</v>
      </c>
      <c r="B3062">
        <v>149</v>
      </c>
      <c r="C3062" s="2">
        <f t="shared" si="48"/>
        <v>1.0118130165584686E-2</v>
      </c>
    </row>
    <row r="3063" spans="1:3" x14ac:dyDescent="0.2">
      <c r="A3063" s="1">
        <v>41613</v>
      </c>
      <c r="B3063">
        <v>147.5</v>
      </c>
      <c r="C3063" s="2">
        <f t="shared" si="48"/>
        <v>-1.6807118316381289E-2</v>
      </c>
    </row>
    <row r="3064" spans="1:3" x14ac:dyDescent="0.2">
      <c r="A3064" s="1">
        <v>41612</v>
      </c>
      <c r="B3064">
        <v>150</v>
      </c>
      <c r="C3064" s="2">
        <f t="shared" si="48"/>
        <v>-4.6558115361939288E-3</v>
      </c>
    </row>
    <row r="3065" spans="1:3" x14ac:dyDescent="0.2">
      <c r="A3065" s="1">
        <v>41611</v>
      </c>
      <c r="B3065">
        <v>150.69999999999999</v>
      </c>
      <c r="C3065" s="2">
        <f t="shared" si="48"/>
        <v>-2.3607653736665478E-2</v>
      </c>
    </row>
    <row r="3066" spans="1:3" x14ac:dyDescent="0.2">
      <c r="A3066" s="1">
        <v>41610</v>
      </c>
      <c r="B3066">
        <v>154.30000000000001</v>
      </c>
      <c r="C3066" s="2">
        <f t="shared" si="48"/>
        <v>-7.746972250173614E-3</v>
      </c>
    </row>
    <row r="3067" spans="1:3" x14ac:dyDescent="0.2">
      <c r="A3067" s="1">
        <v>41607</v>
      </c>
      <c r="B3067">
        <v>155.5</v>
      </c>
      <c r="C3067" s="2">
        <f t="shared" si="48"/>
        <v>6.4329368574172021E-4</v>
      </c>
    </row>
    <row r="3068" spans="1:3" x14ac:dyDescent="0.2">
      <c r="A3068" s="1">
        <v>41606</v>
      </c>
      <c r="B3068">
        <v>155.4</v>
      </c>
    </row>
    <row r="3069" spans="1:3" x14ac:dyDescent="0.2">
      <c r="A3069" s="1">
        <v>41605</v>
      </c>
      <c r="B3069">
        <v>155.80000000000001</v>
      </c>
      <c r="C3069" s="2">
        <f t="shared" si="48"/>
        <v>1.357048289209783E-2</v>
      </c>
    </row>
    <row r="3070" spans="1:3" x14ac:dyDescent="0.2">
      <c r="A3070" s="1">
        <v>41604</v>
      </c>
      <c r="B3070">
        <v>153.69999999999999</v>
      </c>
      <c r="C3070" s="2">
        <f t="shared" si="48"/>
        <v>3.9113478809121027E-3</v>
      </c>
    </row>
    <row r="3071" spans="1:3" x14ac:dyDescent="0.2">
      <c r="A3071" s="1">
        <v>41603</v>
      </c>
      <c r="B3071">
        <v>153.1</v>
      </c>
      <c r="C3071" s="2">
        <f t="shared" si="48"/>
        <v>1.5136847089782289E-2</v>
      </c>
    </row>
    <row r="3072" spans="1:3" x14ac:dyDescent="0.2">
      <c r="A3072" s="1">
        <v>41600</v>
      </c>
      <c r="B3072">
        <v>150.80000000000001</v>
      </c>
      <c r="C3072" s="2">
        <f t="shared" si="48"/>
        <v>-1.1865663276500814E-2</v>
      </c>
    </row>
    <row r="3073" spans="1:3" x14ac:dyDescent="0.2">
      <c r="A3073" s="1">
        <v>41599</v>
      </c>
      <c r="B3073">
        <v>152.6</v>
      </c>
      <c r="C3073" s="2">
        <f t="shared" si="48"/>
        <v>6.5746456420853853E-3</v>
      </c>
    </row>
    <row r="3074" spans="1:3" x14ac:dyDescent="0.2">
      <c r="A3074" s="1">
        <v>41598</v>
      </c>
      <c r="B3074">
        <v>151.6</v>
      </c>
      <c r="C3074" s="2">
        <f t="shared" si="48"/>
        <v>7.9470616925317195E-3</v>
      </c>
    </row>
    <row r="3075" spans="1:3" x14ac:dyDescent="0.2">
      <c r="A3075" s="1">
        <v>41597</v>
      </c>
      <c r="B3075">
        <v>150.4</v>
      </c>
      <c r="C3075" s="2">
        <f t="shared" ref="C3075:C3138" si="49">+LN(B3075/B3076)</f>
        <v>-2.1704239028810659E-2</v>
      </c>
    </row>
    <row r="3076" spans="1:3" x14ac:dyDescent="0.2">
      <c r="A3076" s="1">
        <v>41596</v>
      </c>
      <c r="B3076">
        <v>153.69999999999999</v>
      </c>
      <c r="C3076" s="2">
        <f t="shared" si="49"/>
        <v>7.182531694193456E-3</v>
      </c>
    </row>
    <row r="3077" spans="1:3" x14ac:dyDescent="0.2">
      <c r="A3077" s="1">
        <v>41593</v>
      </c>
      <c r="B3077">
        <v>152.6</v>
      </c>
      <c r="C3077" s="2">
        <f t="shared" si="49"/>
        <v>-1.9639940846600552E-3</v>
      </c>
    </row>
    <row r="3078" spans="1:3" x14ac:dyDescent="0.2">
      <c r="A3078" s="1">
        <v>41592</v>
      </c>
      <c r="B3078">
        <v>152.9</v>
      </c>
      <c r="C3078" s="2">
        <f t="shared" si="49"/>
        <v>2.2487720104275574E-2</v>
      </c>
    </row>
    <row r="3079" spans="1:3" x14ac:dyDescent="0.2">
      <c r="A3079" s="1">
        <v>41591</v>
      </c>
      <c r="B3079">
        <v>149.5</v>
      </c>
      <c r="C3079" s="2">
        <f t="shared" si="49"/>
        <v>0</v>
      </c>
    </row>
    <row r="3080" spans="1:3" x14ac:dyDescent="0.2">
      <c r="A3080" s="1">
        <v>41590</v>
      </c>
      <c r="B3080">
        <v>149.5</v>
      </c>
      <c r="C3080" s="2">
        <f t="shared" si="49"/>
        <v>-1.1968227963569226E-2</v>
      </c>
    </row>
    <row r="3081" spans="1:3" x14ac:dyDescent="0.2">
      <c r="A3081" s="1">
        <v>41589</v>
      </c>
      <c r="B3081">
        <v>151.30000000000001</v>
      </c>
      <c r="C3081" s="2">
        <f t="shared" si="49"/>
        <v>1.263734809559324E-2</v>
      </c>
    </row>
    <row r="3082" spans="1:3" x14ac:dyDescent="0.2">
      <c r="A3082" s="1">
        <v>41586</v>
      </c>
      <c r="B3082">
        <v>149.4</v>
      </c>
      <c r="C3082" s="2">
        <f t="shared" si="49"/>
        <v>3.3523330087536708E-3</v>
      </c>
    </row>
    <row r="3083" spans="1:3" x14ac:dyDescent="0.2">
      <c r="A3083" s="1">
        <v>41585</v>
      </c>
      <c r="B3083">
        <v>148.9</v>
      </c>
      <c r="C3083" s="2">
        <f t="shared" si="49"/>
        <v>7.4149311758619557E-3</v>
      </c>
    </row>
    <row r="3084" spans="1:3" x14ac:dyDescent="0.2">
      <c r="A3084" s="1">
        <v>41584</v>
      </c>
      <c r="B3084">
        <v>147.80000000000001</v>
      </c>
      <c r="C3084" s="2">
        <f t="shared" si="49"/>
        <v>1.088446119842338E-2</v>
      </c>
    </row>
    <row r="3085" spans="1:3" x14ac:dyDescent="0.2">
      <c r="A3085" s="1">
        <v>41583</v>
      </c>
      <c r="B3085">
        <v>146.19999999999999</v>
      </c>
      <c r="C3085" s="2">
        <f t="shared" si="49"/>
        <v>-2.0498811414439871E-3</v>
      </c>
    </row>
    <row r="3086" spans="1:3" x14ac:dyDescent="0.2">
      <c r="A3086" s="1">
        <v>41582</v>
      </c>
      <c r="B3086">
        <v>146.5</v>
      </c>
      <c r="C3086" s="2">
        <f t="shared" si="49"/>
        <v>9.6022685669799671E-3</v>
      </c>
    </row>
    <row r="3087" spans="1:3" x14ac:dyDescent="0.2">
      <c r="A3087" s="1">
        <v>41579</v>
      </c>
      <c r="B3087">
        <v>145.1</v>
      </c>
      <c r="C3087" s="2">
        <f t="shared" si="49"/>
        <v>-1.9789113873972981E-2</v>
      </c>
    </row>
    <row r="3088" spans="1:3" x14ac:dyDescent="0.2">
      <c r="A3088" s="1">
        <v>41578</v>
      </c>
      <c r="B3088">
        <v>148</v>
      </c>
      <c r="C3088" s="2">
        <f t="shared" si="49"/>
        <v>-5.3908486348765343E-3</v>
      </c>
    </row>
    <row r="3089" spans="1:3" x14ac:dyDescent="0.2">
      <c r="A3089" s="1">
        <v>41577</v>
      </c>
      <c r="B3089">
        <v>148.80000000000001</v>
      </c>
      <c r="C3089" s="2">
        <f t="shared" si="49"/>
        <v>-1.7982502550432246E-2</v>
      </c>
    </row>
    <row r="3090" spans="1:3" x14ac:dyDescent="0.2">
      <c r="A3090" s="1">
        <v>41576</v>
      </c>
      <c r="B3090">
        <v>151.5</v>
      </c>
      <c r="C3090" s="2">
        <f t="shared" si="49"/>
        <v>-9.1984879855928087E-3</v>
      </c>
    </row>
    <row r="3091" spans="1:3" x14ac:dyDescent="0.2">
      <c r="A3091" s="1">
        <v>41575</v>
      </c>
      <c r="B3091">
        <v>152.9</v>
      </c>
      <c r="C3091" s="2">
        <f t="shared" si="49"/>
        <v>-2.5824546803970286E-2</v>
      </c>
    </row>
    <row r="3092" spans="1:3" x14ac:dyDescent="0.2">
      <c r="A3092" s="1">
        <v>41572</v>
      </c>
      <c r="B3092">
        <v>156.9</v>
      </c>
      <c r="C3092" s="2">
        <f t="shared" si="49"/>
        <v>-6.9863732879798211E-3</v>
      </c>
    </row>
    <row r="3093" spans="1:3" x14ac:dyDescent="0.2">
      <c r="A3093" s="1">
        <v>41571</v>
      </c>
      <c r="B3093">
        <v>158</v>
      </c>
      <c r="C3093" s="2">
        <f t="shared" si="49"/>
        <v>9.5390230467589099E-3</v>
      </c>
    </row>
    <row r="3094" spans="1:3" x14ac:dyDescent="0.2">
      <c r="A3094" s="1">
        <v>41570</v>
      </c>
      <c r="B3094">
        <v>156.5</v>
      </c>
      <c r="C3094" s="2">
        <f t="shared" si="49"/>
        <v>6.3918186899707369E-4</v>
      </c>
    </row>
    <row r="3095" spans="1:3" x14ac:dyDescent="0.2">
      <c r="A3095" s="1">
        <v>41569</v>
      </c>
      <c r="B3095">
        <v>156.4</v>
      </c>
      <c r="C3095" s="2">
        <f t="shared" si="49"/>
        <v>7.0580979565692216E-3</v>
      </c>
    </row>
    <row r="3096" spans="1:3" x14ac:dyDescent="0.2">
      <c r="A3096" s="1">
        <v>41568</v>
      </c>
      <c r="B3096">
        <v>155.30000000000001</v>
      </c>
      <c r="C3096" s="2">
        <f t="shared" si="49"/>
        <v>1.5574617219624871E-2</v>
      </c>
    </row>
    <row r="3097" spans="1:3" x14ac:dyDescent="0.2">
      <c r="A3097" s="1">
        <v>41565</v>
      </c>
      <c r="B3097">
        <v>152.9</v>
      </c>
      <c r="C3097" s="2">
        <f t="shared" si="49"/>
        <v>2.7853259468907276E-2</v>
      </c>
    </row>
    <row r="3098" spans="1:3" x14ac:dyDescent="0.2">
      <c r="A3098" s="1">
        <v>41564</v>
      </c>
      <c r="B3098">
        <v>148.69999999999999</v>
      </c>
      <c r="C3098" s="2">
        <f t="shared" si="49"/>
        <v>-8.7044406301464063E-3</v>
      </c>
    </row>
    <row r="3099" spans="1:3" x14ac:dyDescent="0.2">
      <c r="A3099" s="1">
        <v>41563</v>
      </c>
      <c r="B3099">
        <v>150</v>
      </c>
      <c r="C3099" s="2">
        <f t="shared" si="49"/>
        <v>-3.327790092674691E-3</v>
      </c>
    </row>
    <row r="3100" spans="1:3" x14ac:dyDescent="0.2">
      <c r="A3100" s="1">
        <v>41562</v>
      </c>
      <c r="B3100">
        <v>150.5</v>
      </c>
      <c r="C3100" s="2">
        <f t="shared" si="49"/>
        <v>-1.516679254348975E-2</v>
      </c>
    </row>
    <row r="3101" spans="1:3" x14ac:dyDescent="0.2">
      <c r="A3101" s="1">
        <v>41561</v>
      </c>
      <c r="B3101">
        <v>152.80000000000001</v>
      </c>
      <c r="C3101" s="2">
        <f t="shared" si="49"/>
        <v>-9.1205843968088542E-3</v>
      </c>
    </row>
    <row r="3102" spans="1:3" x14ac:dyDescent="0.2">
      <c r="A3102" s="1">
        <v>41558</v>
      </c>
      <c r="B3102">
        <v>154.19999999999999</v>
      </c>
      <c r="C3102" s="2">
        <f t="shared" si="49"/>
        <v>3.2478105846788607E-3</v>
      </c>
    </row>
    <row r="3103" spans="1:3" x14ac:dyDescent="0.2">
      <c r="A3103" s="1">
        <v>41557</v>
      </c>
      <c r="B3103">
        <v>153.69999999999999</v>
      </c>
      <c r="C3103" s="2">
        <f t="shared" si="49"/>
        <v>1.9048194970694411E-2</v>
      </c>
    </row>
    <row r="3104" spans="1:3" x14ac:dyDescent="0.2">
      <c r="A3104" s="1">
        <v>41556</v>
      </c>
      <c r="B3104">
        <v>150.80000000000001</v>
      </c>
      <c r="C3104" s="2">
        <f t="shared" si="49"/>
        <v>-1.7094433359300068E-2</v>
      </c>
    </row>
    <row r="3105" spans="1:3" x14ac:dyDescent="0.2">
      <c r="A3105" s="1">
        <v>41555</v>
      </c>
      <c r="B3105">
        <v>153.4</v>
      </c>
      <c r="C3105" s="2">
        <f t="shared" si="49"/>
        <v>-3.2541519116777852E-3</v>
      </c>
    </row>
    <row r="3106" spans="1:3" x14ac:dyDescent="0.2">
      <c r="A3106" s="1">
        <v>41554</v>
      </c>
      <c r="B3106">
        <v>153.9</v>
      </c>
      <c r="C3106" s="2">
        <f t="shared" si="49"/>
        <v>-7.767029337659547E-3</v>
      </c>
    </row>
    <row r="3107" spans="1:3" x14ac:dyDescent="0.2">
      <c r="A3107" s="1">
        <v>41551</v>
      </c>
      <c r="B3107">
        <v>155.1</v>
      </c>
      <c r="C3107" s="2">
        <f t="shared" si="49"/>
        <v>-1.535538808319465E-2</v>
      </c>
    </row>
    <row r="3108" spans="1:3" x14ac:dyDescent="0.2">
      <c r="A3108" s="1">
        <v>41550</v>
      </c>
      <c r="B3108">
        <v>157.5</v>
      </c>
      <c r="C3108" s="2">
        <f t="shared" si="49"/>
        <v>-5.6980211146377786E-3</v>
      </c>
    </row>
    <row r="3109" spans="1:3" x14ac:dyDescent="0.2">
      <c r="A3109" s="1">
        <v>41549</v>
      </c>
      <c r="B3109">
        <v>158.4</v>
      </c>
      <c r="C3109" s="2">
        <f t="shared" si="49"/>
        <v>2.5284463533586906E-3</v>
      </c>
    </row>
    <row r="3110" spans="1:3" x14ac:dyDescent="0.2">
      <c r="A3110" s="1">
        <v>41548</v>
      </c>
      <c r="B3110">
        <v>158</v>
      </c>
      <c r="C3110" s="2">
        <f t="shared" si="49"/>
        <v>1.8524962844473601E-2</v>
      </c>
    </row>
    <row r="3111" spans="1:3" x14ac:dyDescent="0.2">
      <c r="A3111" s="1">
        <v>41547</v>
      </c>
      <c r="B3111">
        <v>155.1</v>
      </c>
      <c r="C3111" s="2">
        <f t="shared" si="49"/>
        <v>-9.6247133742095575E-3</v>
      </c>
    </row>
    <row r="3112" spans="1:3" x14ac:dyDescent="0.2">
      <c r="A3112" s="1">
        <v>41544</v>
      </c>
      <c r="B3112">
        <v>156.6</v>
      </c>
      <c r="C3112" s="2">
        <f t="shared" si="49"/>
        <v>-2.55102179160533E-3</v>
      </c>
    </row>
    <row r="3113" spans="1:3" x14ac:dyDescent="0.2">
      <c r="A3113" s="1">
        <v>41543</v>
      </c>
      <c r="B3113">
        <v>157</v>
      </c>
      <c r="C3113" s="2">
        <f t="shared" si="49"/>
        <v>-3.8143720754706774E-3</v>
      </c>
    </row>
    <row r="3114" spans="1:3" x14ac:dyDescent="0.2">
      <c r="A3114" s="1">
        <v>41542</v>
      </c>
      <c r="B3114">
        <v>157.6</v>
      </c>
      <c r="C3114" s="2">
        <f t="shared" si="49"/>
        <v>-1.0729039492224202E-2</v>
      </c>
    </row>
    <row r="3115" spans="1:3" x14ac:dyDescent="0.2">
      <c r="A3115" s="1">
        <v>41541</v>
      </c>
      <c r="B3115">
        <v>159.30000000000001</v>
      </c>
      <c r="C3115" s="2">
        <f t="shared" si="49"/>
        <v>2.994808076268143E-2</v>
      </c>
    </row>
    <row r="3116" spans="1:3" x14ac:dyDescent="0.2">
      <c r="A3116" s="1">
        <v>41540</v>
      </c>
      <c r="B3116">
        <v>154.6</v>
      </c>
      <c r="C3116" s="2">
        <f t="shared" si="49"/>
        <v>-4.5175940013198771E-3</v>
      </c>
    </row>
    <row r="3117" spans="1:3" x14ac:dyDescent="0.2">
      <c r="A3117" s="1">
        <v>41537</v>
      </c>
      <c r="B3117">
        <v>155.30000000000001</v>
      </c>
      <c r="C3117" s="2">
        <f t="shared" si="49"/>
        <v>5.1646338168413923E-3</v>
      </c>
    </row>
    <row r="3118" spans="1:3" x14ac:dyDescent="0.2">
      <c r="A3118" s="1">
        <v>41536</v>
      </c>
      <c r="B3118">
        <v>154.5</v>
      </c>
      <c r="C3118" s="2">
        <f t="shared" si="49"/>
        <v>1.6971686736072907E-2</v>
      </c>
    </row>
    <row r="3119" spans="1:3" x14ac:dyDescent="0.2">
      <c r="A3119" s="1">
        <v>41535</v>
      </c>
      <c r="B3119">
        <v>151.9</v>
      </c>
      <c r="C3119" s="2">
        <f t="shared" si="49"/>
        <v>7.2679540278713572E-3</v>
      </c>
    </row>
    <row r="3120" spans="1:3" x14ac:dyDescent="0.2">
      <c r="A3120" s="1">
        <v>41534</v>
      </c>
      <c r="B3120">
        <v>150.80000000000001</v>
      </c>
      <c r="C3120" s="2">
        <f t="shared" si="49"/>
        <v>-4.6311693755681019E-3</v>
      </c>
    </row>
    <row r="3121" spans="1:3" x14ac:dyDescent="0.2">
      <c r="A3121" s="1">
        <v>41533</v>
      </c>
      <c r="B3121">
        <v>151.5</v>
      </c>
      <c r="C3121" s="2">
        <f t="shared" si="49"/>
        <v>7.9523281904950154E-3</v>
      </c>
    </row>
    <row r="3122" spans="1:3" x14ac:dyDescent="0.2">
      <c r="A3122" s="1">
        <v>41530</v>
      </c>
      <c r="B3122">
        <v>150.30000000000001</v>
      </c>
      <c r="C3122" s="2">
        <f t="shared" si="49"/>
        <v>1.331558119512613E-3</v>
      </c>
    </row>
    <row r="3123" spans="1:3" x14ac:dyDescent="0.2">
      <c r="A3123" s="1">
        <v>41529</v>
      </c>
      <c r="B3123">
        <v>150.1</v>
      </c>
      <c r="C3123" s="2">
        <f t="shared" si="49"/>
        <v>-9.283886310007608E-3</v>
      </c>
    </row>
    <row r="3124" spans="1:3" x14ac:dyDescent="0.2">
      <c r="A3124" s="1">
        <v>41528</v>
      </c>
      <c r="B3124">
        <v>151.5</v>
      </c>
      <c r="C3124" s="2">
        <f t="shared" si="49"/>
        <v>4.6311693755680802E-3</v>
      </c>
    </row>
    <row r="3125" spans="1:3" x14ac:dyDescent="0.2">
      <c r="A3125" s="1">
        <v>41527</v>
      </c>
      <c r="B3125">
        <v>150.80000000000001</v>
      </c>
      <c r="C3125" s="2">
        <f t="shared" si="49"/>
        <v>1.8066734300102749E-2</v>
      </c>
    </row>
    <row r="3126" spans="1:3" x14ac:dyDescent="0.2">
      <c r="A3126" s="1">
        <v>41526</v>
      </c>
      <c r="B3126">
        <v>148.1</v>
      </c>
      <c r="C3126" s="2">
        <f t="shared" si="49"/>
        <v>2.027712759651613E-3</v>
      </c>
    </row>
    <row r="3127" spans="1:3" x14ac:dyDescent="0.2">
      <c r="A3127" s="1">
        <v>41523</v>
      </c>
      <c r="B3127">
        <v>147.80000000000001</v>
      </c>
      <c r="C3127" s="2">
        <f t="shared" si="49"/>
        <v>6.1079253342698394E-3</v>
      </c>
    </row>
    <row r="3128" spans="1:3" x14ac:dyDescent="0.2">
      <c r="A3128" s="1">
        <v>41522</v>
      </c>
      <c r="B3128">
        <v>146.9</v>
      </c>
      <c r="C3128" s="2">
        <f t="shared" si="49"/>
        <v>-6.7842865369224662E-3</v>
      </c>
    </row>
    <row r="3129" spans="1:3" x14ac:dyDescent="0.2">
      <c r="A3129" s="1">
        <v>41521</v>
      </c>
      <c r="B3129">
        <v>147.9</v>
      </c>
      <c r="C3129" s="2">
        <f t="shared" si="49"/>
        <v>1.1560822401076006E-2</v>
      </c>
    </row>
    <row r="3130" spans="1:3" x14ac:dyDescent="0.2">
      <c r="A3130" s="1">
        <v>41520</v>
      </c>
      <c r="B3130">
        <v>146.19999999999999</v>
      </c>
      <c r="C3130" s="2">
        <f t="shared" si="49"/>
        <v>5.4869822162589774E-3</v>
      </c>
    </row>
    <row r="3131" spans="1:3" x14ac:dyDescent="0.2">
      <c r="A3131" s="1">
        <v>41519</v>
      </c>
      <c r="B3131">
        <v>145.4</v>
      </c>
      <c r="C3131" s="2">
        <f t="shared" si="49"/>
        <v>1.5246310572873885E-2</v>
      </c>
    </row>
    <row r="3132" spans="1:3" x14ac:dyDescent="0.2">
      <c r="A3132" s="1">
        <v>41516</v>
      </c>
      <c r="B3132">
        <v>143.19999999999999</v>
      </c>
      <c r="C3132" s="2">
        <f t="shared" si="49"/>
        <v>-1.3180905363596996E-2</v>
      </c>
    </row>
    <row r="3133" spans="1:3" x14ac:dyDescent="0.2">
      <c r="A3133" s="1">
        <v>41515</v>
      </c>
      <c r="B3133">
        <v>145.1</v>
      </c>
      <c r="C3133" s="2">
        <f t="shared" si="49"/>
        <v>-1.3774106860951713E-3</v>
      </c>
    </row>
    <row r="3134" spans="1:3" x14ac:dyDescent="0.2">
      <c r="A3134" s="1">
        <v>41514</v>
      </c>
      <c r="B3134">
        <v>145.30000000000001</v>
      </c>
      <c r="C3134" s="2">
        <f t="shared" si="49"/>
        <v>-6.1749767394407625E-3</v>
      </c>
    </row>
    <row r="3135" spans="1:3" x14ac:dyDescent="0.2">
      <c r="A3135" s="1">
        <v>41513</v>
      </c>
      <c r="B3135">
        <v>146.19999999999999</v>
      </c>
      <c r="C3135" s="2">
        <f t="shared" si="49"/>
        <v>-1.4261701828208469E-2</v>
      </c>
    </row>
    <row r="3136" spans="1:3" x14ac:dyDescent="0.2">
      <c r="A3136" s="1">
        <v>41512</v>
      </c>
      <c r="B3136">
        <v>148.30000000000001</v>
      </c>
      <c r="C3136" s="2">
        <f t="shared" si="49"/>
        <v>0</v>
      </c>
    </row>
    <row r="3137" spans="1:3" x14ac:dyDescent="0.2">
      <c r="A3137" s="1">
        <v>41509</v>
      </c>
      <c r="B3137">
        <v>148.30000000000001</v>
      </c>
      <c r="C3137" s="2">
        <f t="shared" si="49"/>
        <v>8.1246215364945834E-3</v>
      </c>
    </row>
    <row r="3138" spans="1:3" x14ac:dyDescent="0.2">
      <c r="A3138" s="1">
        <v>41508</v>
      </c>
      <c r="B3138">
        <v>147.1</v>
      </c>
      <c r="C3138" s="2">
        <f t="shared" si="49"/>
        <v>4.7700260801805169E-3</v>
      </c>
    </row>
    <row r="3139" spans="1:3" x14ac:dyDescent="0.2">
      <c r="A3139" s="1">
        <v>41507</v>
      </c>
      <c r="B3139">
        <v>146.4</v>
      </c>
      <c r="C3139" s="2">
        <f t="shared" ref="C3139:C3202" si="50">+LN(B3139/B3140)</f>
        <v>-1.222011133477522E-2</v>
      </c>
    </row>
    <row r="3140" spans="1:3" x14ac:dyDescent="0.2">
      <c r="A3140" s="1">
        <v>41506</v>
      </c>
      <c r="B3140">
        <v>148.19999999999999</v>
      </c>
      <c r="C3140" s="2">
        <f t="shared" si="50"/>
        <v>2.0263431452322458E-3</v>
      </c>
    </row>
    <row r="3141" spans="1:3" x14ac:dyDescent="0.2">
      <c r="A3141" s="1">
        <v>41505</v>
      </c>
      <c r="B3141">
        <v>147.9</v>
      </c>
      <c r="C3141" s="2">
        <f t="shared" si="50"/>
        <v>-8.7513180529061995E-3</v>
      </c>
    </row>
    <row r="3142" spans="1:3" x14ac:dyDescent="0.2">
      <c r="A3142" s="1">
        <v>41502</v>
      </c>
      <c r="B3142">
        <v>149.19999999999999</v>
      </c>
      <c r="C3142" s="2">
        <f t="shared" si="50"/>
        <v>1.0104498232326259E-2</v>
      </c>
    </row>
    <row r="3143" spans="1:3" x14ac:dyDescent="0.2">
      <c r="A3143" s="1">
        <v>41501</v>
      </c>
      <c r="B3143">
        <v>147.69999999999999</v>
      </c>
      <c r="C3143" s="2">
        <f t="shared" si="50"/>
        <v>-1.6784549792700297E-2</v>
      </c>
    </row>
    <row r="3144" spans="1:3" x14ac:dyDescent="0.2">
      <c r="A3144" s="1">
        <v>41500</v>
      </c>
      <c r="B3144">
        <v>150.19999999999999</v>
      </c>
      <c r="C3144" s="2">
        <f t="shared" si="50"/>
        <v>5.3404666313172835E-3</v>
      </c>
    </row>
    <row r="3145" spans="1:3" x14ac:dyDescent="0.2">
      <c r="A3145" s="1">
        <v>41499</v>
      </c>
      <c r="B3145">
        <v>149.4</v>
      </c>
      <c r="C3145" s="2">
        <f t="shared" si="50"/>
        <v>-6.0060240602119218E-3</v>
      </c>
    </row>
    <row r="3146" spans="1:3" x14ac:dyDescent="0.2">
      <c r="A3146" s="1">
        <v>41498</v>
      </c>
      <c r="B3146">
        <v>150.30000000000001</v>
      </c>
      <c r="C3146" s="2">
        <f t="shared" si="50"/>
        <v>-7.2920442444195724E-3</v>
      </c>
    </row>
    <row r="3147" spans="1:3" x14ac:dyDescent="0.2">
      <c r="A3147" s="1">
        <v>41495</v>
      </c>
      <c r="B3147">
        <v>151.4</v>
      </c>
      <c r="C3147" s="2">
        <f t="shared" si="50"/>
        <v>6.6072020903802512E-4</v>
      </c>
    </row>
    <row r="3148" spans="1:3" x14ac:dyDescent="0.2">
      <c r="A3148" s="1">
        <v>41494</v>
      </c>
      <c r="B3148">
        <v>151.30000000000001</v>
      </c>
      <c r="C3148" s="2">
        <f t="shared" si="50"/>
        <v>4.6373054285172481E-3</v>
      </c>
    </row>
    <row r="3149" spans="1:3" x14ac:dyDescent="0.2">
      <c r="A3149" s="1">
        <v>41493</v>
      </c>
      <c r="B3149">
        <v>150.6</v>
      </c>
      <c r="C3149" s="2">
        <f t="shared" si="50"/>
        <v>-9.9108838994540188E-3</v>
      </c>
    </row>
    <row r="3150" spans="1:3" x14ac:dyDescent="0.2">
      <c r="A3150" s="1">
        <v>41492</v>
      </c>
      <c r="B3150">
        <v>152.1</v>
      </c>
      <c r="C3150" s="2">
        <f t="shared" si="50"/>
        <v>-1.31406063586908E-3</v>
      </c>
    </row>
    <row r="3151" spans="1:3" x14ac:dyDescent="0.2">
      <c r="A3151" s="1">
        <v>41491</v>
      </c>
      <c r="B3151">
        <v>152.30000000000001</v>
      </c>
      <c r="C3151" s="2">
        <f t="shared" si="50"/>
        <v>1.7887194360739274E-2</v>
      </c>
    </row>
    <row r="3152" spans="1:3" x14ac:dyDescent="0.2">
      <c r="A3152" s="1">
        <v>41488</v>
      </c>
      <c r="B3152">
        <v>149.6</v>
      </c>
      <c r="C3152" s="2">
        <f t="shared" si="50"/>
        <v>0</v>
      </c>
    </row>
    <row r="3153" spans="1:3" x14ac:dyDescent="0.2">
      <c r="A3153" s="1">
        <v>41487</v>
      </c>
      <c r="B3153">
        <v>149.6</v>
      </c>
      <c r="C3153" s="2">
        <f t="shared" si="50"/>
        <v>1.1428695823622629E-2</v>
      </c>
    </row>
    <row r="3154" spans="1:3" x14ac:dyDescent="0.2">
      <c r="A3154" s="1">
        <v>41486</v>
      </c>
      <c r="B3154">
        <v>147.9</v>
      </c>
      <c r="C3154" s="2">
        <f t="shared" si="50"/>
        <v>3.3863899615179257E-3</v>
      </c>
    </row>
    <row r="3155" spans="1:3" x14ac:dyDescent="0.2">
      <c r="A3155" s="1">
        <v>41485</v>
      </c>
      <c r="B3155">
        <v>147.4</v>
      </c>
      <c r="C3155" s="2">
        <f t="shared" si="50"/>
        <v>1.2973893143688979E-2</v>
      </c>
    </row>
    <row r="3156" spans="1:3" x14ac:dyDescent="0.2">
      <c r="A3156" s="1">
        <v>41484</v>
      </c>
      <c r="B3156">
        <v>145.5</v>
      </c>
      <c r="C3156" s="2">
        <f t="shared" si="50"/>
        <v>0</v>
      </c>
    </row>
    <row r="3157" spans="1:3" x14ac:dyDescent="0.2">
      <c r="A3157" s="1">
        <v>41481</v>
      </c>
      <c r="B3157">
        <v>145.5</v>
      </c>
      <c r="C3157" s="2">
        <f t="shared" si="50"/>
        <v>-8.2135985373887437E-3</v>
      </c>
    </row>
    <row r="3158" spans="1:3" x14ac:dyDescent="0.2">
      <c r="A3158" s="1">
        <v>41480</v>
      </c>
      <c r="B3158">
        <v>146.69999999999999</v>
      </c>
      <c r="C3158" s="2">
        <f t="shared" si="50"/>
        <v>-2.72294245845584E-3</v>
      </c>
    </row>
    <row r="3159" spans="1:3" x14ac:dyDescent="0.2">
      <c r="A3159" s="1">
        <v>41479</v>
      </c>
      <c r="B3159">
        <v>147.1</v>
      </c>
      <c r="C3159" s="2">
        <f t="shared" si="50"/>
        <v>6.8004082865546665E-4</v>
      </c>
    </row>
    <row r="3160" spans="1:3" x14ac:dyDescent="0.2">
      <c r="A3160" s="1">
        <v>41478</v>
      </c>
      <c r="B3160">
        <v>147</v>
      </c>
      <c r="C3160" s="2">
        <f t="shared" si="50"/>
        <v>-4.7506027585977528E-3</v>
      </c>
    </row>
    <row r="3161" spans="1:3" x14ac:dyDescent="0.2">
      <c r="A3161" s="1">
        <v>41477</v>
      </c>
      <c r="B3161">
        <v>147.69999999999999</v>
      </c>
      <c r="C3161" s="2">
        <f t="shared" si="50"/>
        <v>-9.4340322333586416E-3</v>
      </c>
    </row>
    <row r="3162" spans="1:3" x14ac:dyDescent="0.2">
      <c r="A3162" s="1">
        <v>41474</v>
      </c>
      <c r="B3162">
        <v>149.1</v>
      </c>
      <c r="C3162" s="2">
        <f t="shared" si="50"/>
        <v>-4.6838493124265381E-3</v>
      </c>
    </row>
    <row r="3163" spans="1:3" x14ac:dyDescent="0.2">
      <c r="A3163" s="1">
        <v>41473</v>
      </c>
      <c r="B3163">
        <v>149.80000000000001</v>
      </c>
      <c r="C3163" s="2">
        <f t="shared" si="50"/>
        <v>2.0911385934183267E-2</v>
      </c>
    </row>
    <row r="3164" spans="1:3" x14ac:dyDescent="0.2">
      <c r="A3164" s="1">
        <v>41472</v>
      </c>
      <c r="B3164">
        <v>146.69999999999999</v>
      </c>
      <c r="C3164" s="2">
        <f t="shared" si="50"/>
        <v>-7.4703233651655342E-3</v>
      </c>
    </row>
    <row r="3165" spans="1:3" x14ac:dyDescent="0.2">
      <c r="A3165" s="1">
        <v>41471</v>
      </c>
      <c r="B3165">
        <v>147.80000000000001</v>
      </c>
      <c r="C3165" s="2">
        <f t="shared" si="50"/>
        <v>-6.7636120265270126E-4</v>
      </c>
    </row>
    <row r="3166" spans="1:3" x14ac:dyDescent="0.2">
      <c r="A3166" s="1">
        <v>41470</v>
      </c>
      <c r="B3166">
        <v>147.9</v>
      </c>
      <c r="C3166" s="2">
        <f t="shared" si="50"/>
        <v>4.0650462481695935E-3</v>
      </c>
    </row>
    <row r="3167" spans="1:3" x14ac:dyDescent="0.2">
      <c r="A3167" s="1">
        <v>41467</v>
      </c>
      <c r="B3167">
        <v>147.30000000000001</v>
      </c>
      <c r="C3167" s="2">
        <f t="shared" si="50"/>
        <v>-3.3886850455168184E-3</v>
      </c>
    </row>
    <row r="3168" spans="1:3" x14ac:dyDescent="0.2">
      <c r="A3168" s="1">
        <v>41466</v>
      </c>
      <c r="B3168">
        <v>147.80000000000001</v>
      </c>
      <c r="C3168" s="2">
        <f t="shared" si="50"/>
        <v>1.2253386805764967E-2</v>
      </c>
    </row>
    <row r="3169" spans="1:3" x14ac:dyDescent="0.2">
      <c r="A3169" s="1">
        <v>41465</v>
      </c>
      <c r="B3169">
        <v>146</v>
      </c>
      <c r="C3169" s="2">
        <f t="shared" si="50"/>
        <v>6.8516617959651059E-4</v>
      </c>
    </row>
    <row r="3170" spans="1:3" x14ac:dyDescent="0.2">
      <c r="A3170" s="1">
        <v>41464</v>
      </c>
      <c r="B3170">
        <v>145.9</v>
      </c>
      <c r="C3170" s="2">
        <f t="shared" si="50"/>
        <v>1.6586420329064114E-2</v>
      </c>
    </row>
    <row r="3171" spans="1:3" x14ac:dyDescent="0.2">
      <c r="A3171" s="1">
        <v>41463</v>
      </c>
      <c r="B3171">
        <v>143.5</v>
      </c>
      <c r="C3171" s="2">
        <f t="shared" si="50"/>
        <v>1.1917421101648546E-2</v>
      </c>
    </row>
    <row r="3172" spans="1:3" x14ac:dyDescent="0.2">
      <c r="A3172" s="1">
        <v>41460</v>
      </c>
      <c r="B3172">
        <v>141.80000000000001</v>
      </c>
      <c r="C3172" s="2">
        <f t="shared" si="50"/>
        <v>7.0546740139253866E-4</v>
      </c>
    </row>
    <row r="3173" spans="1:3" x14ac:dyDescent="0.2">
      <c r="A3173" s="1">
        <v>41459</v>
      </c>
      <c r="B3173">
        <v>141.69999999999999</v>
      </c>
      <c r="C3173" s="2">
        <f t="shared" si="50"/>
        <v>1.7082265910874465E-2</v>
      </c>
    </row>
    <row r="3174" spans="1:3" x14ac:dyDescent="0.2">
      <c r="A3174" s="1">
        <v>41458</v>
      </c>
      <c r="B3174">
        <v>139.30000000000001</v>
      </c>
      <c r="C3174" s="2">
        <f t="shared" si="50"/>
        <v>-5.0125418235441753E-3</v>
      </c>
    </row>
    <row r="3175" spans="1:3" x14ac:dyDescent="0.2">
      <c r="A3175" s="1">
        <v>41457</v>
      </c>
      <c r="B3175">
        <v>140</v>
      </c>
      <c r="C3175" s="2">
        <f t="shared" si="50"/>
        <v>6.4493236799071166E-3</v>
      </c>
    </row>
    <row r="3176" spans="1:3" x14ac:dyDescent="0.2">
      <c r="A3176" s="1">
        <v>41456</v>
      </c>
      <c r="B3176">
        <v>139.1</v>
      </c>
      <c r="C3176" s="2">
        <f t="shared" si="50"/>
        <v>1.5212173101272368E-2</v>
      </c>
    </row>
    <row r="3177" spans="1:3" x14ac:dyDescent="0.2">
      <c r="A3177" s="1">
        <v>41453</v>
      </c>
      <c r="B3177">
        <v>137</v>
      </c>
      <c r="C3177" s="2">
        <f t="shared" si="50"/>
        <v>-7.2727593290798087E-3</v>
      </c>
    </row>
    <row r="3178" spans="1:3" x14ac:dyDescent="0.2">
      <c r="A3178" s="1">
        <v>41452</v>
      </c>
      <c r="B3178">
        <v>138</v>
      </c>
      <c r="C3178" s="2">
        <f t="shared" si="50"/>
        <v>1.1661939747842957E-2</v>
      </c>
    </row>
    <row r="3179" spans="1:3" x14ac:dyDescent="0.2">
      <c r="A3179" s="1">
        <v>41451</v>
      </c>
      <c r="B3179">
        <v>136.4</v>
      </c>
      <c r="C3179" s="2">
        <f t="shared" si="50"/>
        <v>-1.4652017273278806E-3</v>
      </c>
    </row>
    <row r="3180" spans="1:3" x14ac:dyDescent="0.2">
      <c r="A3180" s="1">
        <v>41450</v>
      </c>
      <c r="B3180">
        <v>136.6</v>
      </c>
      <c r="C3180" s="2">
        <f t="shared" si="50"/>
        <v>2.0710799442561382E-2</v>
      </c>
    </row>
    <row r="3181" spans="1:3" x14ac:dyDescent="0.2">
      <c r="A3181" s="1">
        <v>41449</v>
      </c>
      <c r="B3181">
        <v>133.80000000000001</v>
      </c>
      <c r="C3181" s="2">
        <f t="shared" si="50"/>
        <v>-1.9978466930886275E-2</v>
      </c>
    </row>
    <row r="3182" spans="1:3" x14ac:dyDescent="0.2">
      <c r="A3182" s="1">
        <v>41445</v>
      </c>
      <c r="B3182">
        <v>136.5</v>
      </c>
      <c r="C3182" s="2">
        <f t="shared" si="50"/>
        <v>-2.8882874148786052E-2</v>
      </c>
    </row>
    <row r="3183" spans="1:3" x14ac:dyDescent="0.2">
      <c r="A3183" s="1">
        <v>41444</v>
      </c>
      <c r="B3183">
        <v>140.5</v>
      </c>
      <c r="C3183" s="2">
        <f t="shared" si="50"/>
        <v>4.2796071023650014E-3</v>
      </c>
    </row>
    <row r="3184" spans="1:3" x14ac:dyDescent="0.2">
      <c r="A3184" s="1">
        <v>41443</v>
      </c>
      <c r="B3184">
        <v>139.9</v>
      </c>
      <c r="C3184" s="2">
        <f t="shared" si="50"/>
        <v>-2.1420929290541005E-3</v>
      </c>
    </row>
    <row r="3185" spans="1:3" x14ac:dyDescent="0.2">
      <c r="A3185" s="1">
        <v>41442</v>
      </c>
      <c r="B3185">
        <v>140.19999999999999</v>
      </c>
      <c r="C3185" s="2">
        <f t="shared" si="50"/>
        <v>1.5816289443285007E-2</v>
      </c>
    </row>
    <row r="3186" spans="1:3" x14ac:dyDescent="0.2">
      <c r="A3186" s="1">
        <v>41439</v>
      </c>
      <c r="B3186">
        <v>138</v>
      </c>
      <c r="C3186" s="2">
        <f t="shared" si="50"/>
        <v>2.17627942259567E-3</v>
      </c>
    </row>
    <row r="3187" spans="1:3" x14ac:dyDescent="0.2">
      <c r="A3187" s="1">
        <v>41438</v>
      </c>
      <c r="B3187">
        <v>137.69999999999999</v>
      </c>
      <c r="C3187" s="2">
        <f t="shared" si="50"/>
        <v>-5.7929198927841111E-3</v>
      </c>
    </row>
    <row r="3188" spans="1:3" x14ac:dyDescent="0.2">
      <c r="A3188" s="1">
        <v>41437</v>
      </c>
      <c r="B3188">
        <v>138.5</v>
      </c>
      <c r="C3188" s="2">
        <f t="shared" si="50"/>
        <v>1.4450869566804913E-3</v>
      </c>
    </row>
    <row r="3189" spans="1:3" x14ac:dyDescent="0.2">
      <c r="A3189" s="1">
        <v>41436</v>
      </c>
      <c r="B3189">
        <v>138.30000000000001</v>
      </c>
      <c r="C3189" s="2">
        <f t="shared" si="50"/>
        <v>7.9855233789279442E-3</v>
      </c>
    </row>
    <row r="3190" spans="1:3" x14ac:dyDescent="0.2">
      <c r="A3190" s="1">
        <v>41435</v>
      </c>
      <c r="B3190">
        <v>137.19999999999999</v>
      </c>
      <c r="C3190" s="2">
        <f t="shared" si="50"/>
        <v>1.0993148450961344E-2</v>
      </c>
    </row>
    <row r="3191" spans="1:3" x14ac:dyDescent="0.2">
      <c r="A3191" s="1">
        <v>41432</v>
      </c>
      <c r="B3191">
        <v>135.69999999999999</v>
      </c>
      <c r="C3191" s="2">
        <f t="shared" si="50"/>
        <v>-1.6807118316381289E-2</v>
      </c>
    </row>
    <row r="3192" spans="1:3" x14ac:dyDescent="0.2">
      <c r="A3192" s="1">
        <v>41430</v>
      </c>
      <c r="B3192">
        <v>138</v>
      </c>
      <c r="C3192" s="2">
        <f t="shared" si="50"/>
        <v>-3.2789822822990838E-2</v>
      </c>
    </row>
    <row r="3193" spans="1:3" x14ac:dyDescent="0.2">
      <c r="A3193" s="1">
        <v>41429</v>
      </c>
      <c r="B3193">
        <v>142.6</v>
      </c>
      <c r="C3193" s="2">
        <f t="shared" si="50"/>
        <v>-2.081962778239007E-2</v>
      </c>
    </row>
    <row r="3194" spans="1:3" x14ac:dyDescent="0.2">
      <c r="A3194" s="1">
        <v>41428</v>
      </c>
      <c r="B3194">
        <v>145.6</v>
      </c>
      <c r="C3194" s="2">
        <f t="shared" si="50"/>
        <v>3.4399758724434804E-3</v>
      </c>
    </row>
    <row r="3195" spans="1:3" x14ac:dyDescent="0.2">
      <c r="A3195" s="1">
        <v>41425</v>
      </c>
      <c r="B3195">
        <v>145.1</v>
      </c>
      <c r="C3195" s="2">
        <f t="shared" si="50"/>
        <v>-5.4982956385978502E-3</v>
      </c>
    </row>
    <row r="3196" spans="1:3" x14ac:dyDescent="0.2">
      <c r="A3196" s="1">
        <v>41424</v>
      </c>
      <c r="B3196">
        <v>145.9</v>
      </c>
      <c r="C3196" s="2">
        <f t="shared" si="50"/>
        <v>1.1026989748914629E-2</v>
      </c>
    </row>
    <row r="3197" spans="1:3" x14ac:dyDescent="0.2">
      <c r="A3197" s="1">
        <v>41423</v>
      </c>
      <c r="B3197">
        <v>144.30000000000001</v>
      </c>
    </row>
    <row r="3198" spans="1:3" x14ac:dyDescent="0.2">
      <c r="A3198" s="1">
        <v>41422</v>
      </c>
      <c r="B3198">
        <v>147.30000000000001</v>
      </c>
      <c r="C3198" s="2">
        <f t="shared" si="50"/>
        <v>7.4957761529065737E-3</v>
      </c>
    </row>
    <row r="3199" spans="1:3" x14ac:dyDescent="0.2">
      <c r="A3199" s="1">
        <v>41421</v>
      </c>
      <c r="B3199">
        <v>146.19999999999999</v>
      </c>
      <c r="C3199" s="2">
        <f t="shared" si="50"/>
        <v>8.2418048951035678E-3</v>
      </c>
    </row>
    <row r="3200" spans="1:3" x14ac:dyDescent="0.2">
      <c r="A3200" s="1">
        <v>41418</v>
      </c>
      <c r="B3200">
        <v>145</v>
      </c>
      <c r="C3200" s="2">
        <f t="shared" si="50"/>
        <v>-1.4378885186817385E-2</v>
      </c>
    </row>
    <row r="3201" spans="1:3" x14ac:dyDescent="0.2">
      <c r="A3201" s="1">
        <v>41417</v>
      </c>
      <c r="B3201">
        <v>147.1</v>
      </c>
      <c r="C3201" s="2">
        <f t="shared" si="50"/>
        <v>-1.8188443475727376E-2</v>
      </c>
    </row>
    <row r="3202" spans="1:3" x14ac:dyDescent="0.2">
      <c r="A3202" s="1">
        <v>41416</v>
      </c>
      <c r="B3202">
        <v>149.80000000000001</v>
      </c>
      <c r="C3202" s="2">
        <f t="shared" si="50"/>
        <v>2.0046782523781624E-3</v>
      </c>
    </row>
    <row r="3203" spans="1:3" x14ac:dyDescent="0.2">
      <c r="A3203" s="1">
        <v>41415</v>
      </c>
      <c r="B3203">
        <v>149.5</v>
      </c>
      <c r="C3203" s="2">
        <f t="shared" ref="C3203:C3266" si="51">+LN(B3203/B3204)</f>
        <v>6.6912013202419414E-4</v>
      </c>
    </row>
    <row r="3204" spans="1:3" x14ac:dyDescent="0.2">
      <c r="A3204" s="1">
        <v>41414</v>
      </c>
      <c r="B3204">
        <v>149.4</v>
      </c>
      <c r="C3204" s="2">
        <f t="shared" si="51"/>
        <v>0</v>
      </c>
    </row>
    <row r="3205" spans="1:3" x14ac:dyDescent="0.2">
      <c r="A3205" s="1">
        <v>41411</v>
      </c>
      <c r="B3205">
        <v>149.4</v>
      </c>
      <c r="C3205" s="2">
        <f t="shared" si="51"/>
        <v>-1.337792841659831E-3</v>
      </c>
    </row>
    <row r="3206" spans="1:3" x14ac:dyDescent="0.2">
      <c r="A3206" s="1">
        <v>41410</v>
      </c>
      <c r="B3206">
        <v>149.6</v>
      </c>
      <c r="C3206" s="2">
        <f t="shared" si="51"/>
        <v>-2.0033395681751734E-3</v>
      </c>
    </row>
    <row r="3207" spans="1:3" x14ac:dyDescent="0.2">
      <c r="A3207" s="1">
        <v>41409</v>
      </c>
      <c r="B3207">
        <v>149.9</v>
      </c>
      <c r="C3207" s="2">
        <f t="shared" si="51"/>
        <v>-6.6688898770365663E-4</v>
      </c>
    </row>
    <row r="3208" spans="1:3" x14ac:dyDescent="0.2">
      <c r="A3208" s="1">
        <v>41408</v>
      </c>
      <c r="B3208">
        <v>150</v>
      </c>
      <c r="C3208" s="2">
        <f t="shared" si="51"/>
        <v>8.0321716972642527E-3</v>
      </c>
    </row>
    <row r="3209" spans="1:3" x14ac:dyDescent="0.2">
      <c r="A3209" s="1">
        <v>41407</v>
      </c>
      <c r="B3209">
        <v>148.80000000000001</v>
      </c>
      <c r="C3209" s="2">
        <f t="shared" si="51"/>
        <v>5.3908486348765933E-3</v>
      </c>
    </row>
    <row r="3210" spans="1:3" x14ac:dyDescent="0.2">
      <c r="A3210" s="1">
        <v>41404</v>
      </c>
      <c r="B3210">
        <v>148</v>
      </c>
      <c r="C3210" s="2">
        <f t="shared" si="51"/>
        <v>1.0186845306992997E-2</v>
      </c>
    </row>
    <row r="3211" spans="1:3" x14ac:dyDescent="0.2">
      <c r="A3211" s="1">
        <v>41402</v>
      </c>
      <c r="B3211">
        <v>146.5</v>
      </c>
      <c r="C3211" s="2">
        <f t="shared" si="51"/>
        <v>1.9297635372142893E-2</v>
      </c>
    </row>
    <row r="3212" spans="1:3" x14ac:dyDescent="0.2">
      <c r="A3212" s="1">
        <v>41401</v>
      </c>
      <c r="B3212">
        <v>143.69999999999999</v>
      </c>
      <c r="C3212" s="2">
        <f t="shared" si="51"/>
        <v>4.8831628250719855E-3</v>
      </c>
    </row>
    <row r="3213" spans="1:3" x14ac:dyDescent="0.2">
      <c r="A3213" s="1">
        <v>41400</v>
      </c>
      <c r="B3213">
        <v>143</v>
      </c>
      <c r="C3213" s="2">
        <f t="shared" si="51"/>
        <v>4.9071251641004746E-3</v>
      </c>
    </row>
    <row r="3214" spans="1:3" x14ac:dyDescent="0.2">
      <c r="A3214" s="1">
        <v>41397</v>
      </c>
      <c r="B3214">
        <v>142.30000000000001</v>
      </c>
      <c r="C3214" s="2">
        <f t="shared" si="51"/>
        <v>2.1307624310046604E-2</v>
      </c>
    </row>
    <row r="3215" spans="1:3" x14ac:dyDescent="0.2">
      <c r="A3215" s="1">
        <v>41396</v>
      </c>
      <c r="B3215">
        <v>139.30000000000001</v>
      </c>
      <c r="C3215" s="2">
        <f t="shared" si="51"/>
        <v>-1.7082265910874625E-2</v>
      </c>
    </row>
    <row r="3216" spans="1:3" x14ac:dyDescent="0.2">
      <c r="A3216" s="1">
        <v>41394</v>
      </c>
      <c r="B3216">
        <v>141.69999999999999</v>
      </c>
      <c r="C3216" s="2">
        <f t="shared" si="51"/>
        <v>1.2784265025199151E-2</v>
      </c>
    </row>
    <row r="3217" spans="1:3" x14ac:dyDescent="0.2">
      <c r="A3217" s="1">
        <v>41393</v>
      </c>
      <c r="B3217">
        <v>139.9</v>
      </c>
      <c r="C3217" s="2">
        <f t="shared" si="51"/>
        <v>-8.5409771873328037E-3</v>
      </c>
    </row>
    <row r="3218" spans="1:3" x14ac:dyDescent="0.2">
      <c r="A3218" s="1">
        <v>41390</v>
      </c>
      <c r="B3218">
        <v>141.1</v>
      </c>
      <c r="C3218" s="2">
        <f t="shared" si="51"/>
        <v>7.0896848059998703E-4</v>
      </c>
    </row>
    <row r="3219" spans="1:3" x14ac:dyDescent="0.2">
      <c r="A3219" s="1">
        <v>41389</v>
      </c>
      <c r="B3219">
        <v>141</v>
      </c>
      <c r="C3219" s="2">
        <f t="shared" si="51"/>
        <v>1.6446563057382426E-2</v>
      </c>
    </row>
    <row r="3220" spans="1:3" x14ac:dyDescent="0.2">
      <c r="A3220" s="1">
        <v>41388</v>
      </c>
      <c r="B3220">
        <v>138.69999999999999</v>
      </c>
      <c r="C3220" s="2">
        <f t="shared" si="51"/>
        <v>-3.2627007513340384E-2</v>
      </c>
    </row>
    <row r="3221" spans="1:3" x14ac:dyDescent="0.2">
      <c r="A3221" s="1">
        <v>41387</v>
      </c>
      <c r="B3221">
        <v>143.30000000000001</v>
      </c>
      <c r="C3221" s="2">
        <f t="shared" si="51"/>
        <v>2.9028586933806999E-2</v>
      </c>
    </row>
    <row r="3222" spans="1:3" x14ac:dyDescent="0.2">
      <c r="A3222" s="1">
        <v>41386</v>
      </c>
      <c r="B3222">
        <v>139.19999999999999</v>
      </c>
      <c r="C3222" s="2">
        <f t="shared" si="51"/>
        <v>-1.8505866197708051E-2</v>
      </c>
    </row>
    <row r="3223" spans="1:3" x14ac:dyDescent="0.2">
      <c r="A3223" s="1">
        <v>41383</v>
      </c>
      <c r="B3223">
        <v>141.80000000000001</v>
      </c>
      <c r="C3223" s="2">
        <f t="shared" si="51"/>
        <v>9.9221225063164907E-3</v>
      </c>
    </row>
    <row r="3224" spans="1:3" x14ac:dyDescent="0.2">
      <c r="A3224" s="1">
        <v>41382</v>
      </c>
      <c r="B3224">
        <v>140.4</v>
      </c>
      <c r="C3224" s="2">
        <f t="shared" si="51"/>
        <v>2.1390382487494423E-3</v>
      </c>
    </row>
    <row r="3225" spans="1:3" x14ac:dyDescent="0.2">
      <c r="A3225" s="1">
        <v>41381</v>
      </c>
      <c r="B3225">
        <v>140.1</v>
      </c>
      <c r="C3225" s="2">
        <f t="shared" si="51"/>
        <v>-2.3978581856714486E-2</v>
      </c>
    </row>
    <row r="3226" spans="1:3" x14ac:dyDescent="0.2">
      <c r="A3226" s="1">
        <v>41380</v>
      </c>
      <c r="B3226">
        <v>143.5</v>
      </c>
      <c r="C3226" s="2">
        <f t="shared" si="51"/>
        <v>-2.2054649949260118E-2</v>
      </c>
    </row>
    <row r="3227" spans="1:3" x14ac:dyDescent="0.2">
      <c r="A3227" s="1">
        <v>41379</v>
      </c>
      <c r="B3227">
        <v>146.69999999999999</v>
      </c>
      <c r="C3227" s="2">
        <f t="shared" si="51"/>
        <v>-1.5556620796523165E-2</v>
      </c>
    </row>
    <row r="3228" spans="1:3" x14ac:dyDescent="0.2">
      <c r="A3228" s="1">
        <v>41376</v>
      </c>
      <c r="B3228">
        <v>149</v>
      </c>
      <c r="C3228" s="2">
        <f t="shared" si="51"/>
        <v>-6.688988150796652E-3</v>
      </c>
    </row>
    <row r="3229" spans="1:3" x14ac:dyDescent="0.2">
      <c r="A3229" s="1">
        <v>41375</v>
      </c>
      <c r="B3229">
        <v>150</v>
      </c>
      <c r="C3229" s="2">
        <f t="shared" si="51"/>
        <v>2.6702285558788921E-3</v>
      </c>
    </row>
    <row r="3230" spans="1:3" x14ac:dyDescent="0.2">
      <c r="A3230" s="1">
        <v>41374</v>
      </c>
      <c r="B3230">
        <v>149.6</v>
      </c>
      <c r="C3230" s="2">
        <f t="shared" si="51"/>
        <v>2.5043610011636838E-2</v>
      </c>
    </row>
    <row r="3231" spans="1:3" x14ac:dyDescent="0.2">
      <c r="A3231" s="1">
        <v>41373</v>
      </c>
      <c r="B3231">
        <v>145.9</v>
      </c>
      <c r="C3231" s="2">
        <f t="shared" si="51"/>
        <v>4.809353138044324E-3</v>
      </c>
    </row>
    <row r="3232" spans="1:3" x14ac:dyDescent="0.2">
      <c r="A3232" s="1">
        <v>41372</v>
      </c>
      <c r="B3232">
        <v>145.19999999999999</v>
      </c>
      <c r="C3232" s="2">
        <f t="shared" si="51"/>
        <v>-6.1792163659581201E-3</v>
      </c>
    </row>
    <row r="3233" spans="1:3" x14ac:dyDescent="0.2">
      <c r="A3233" s="1">
        <v>41369</v>
      </c>
      <c r="B3233">
        <v>146.1</v>
      </c>
      <c r="C3233" s="2">
        <f t="shared" si="51"/>
        <v>-2.0325903014038957E-2</v>
      </c>
    </row>
    <row r="3234" spans="1:3" x14ac:dyDescent="0.2">
      <c r="A3234" s="1">
        <v>41368</v>
      </c>
      <c r="B3234">
        <v>149.1</v>
      </c>
      <c r="C3234" s="2">
        <f t="shared" si="51"/>
        <v>1.3422820807294489E-3</v>
      </c>
    </row>
    <row r="3235" spans="1:3" x14ac:dyDescent="0.2">
      <c r="A3235" s="1">
        <v>41367</v>
      </c>
      <c r="B3235">
        <v>148.9</v>
      </c>
      <c r="C3235" s="2">
        <f t="shared" si="51"/>
        <v>-8.6927996400710025E-3</v>
      </c>
    </row>
    <row r="3236" spans="1:3" x14ac:dyDescent="0.2">
      <c r="A3236" s="1">
        <v>41366</v>
      </c>
      <c r="B3236">
        <v>150.19999999999999</v>
      </c>
      <c r="C3236" s="2">
        <f t="shared" si="51"/>
        <v>6.6600069061813812E-4</v>
      </c>
    </row>
    <row r="3237" spans="1:3" x14ac:dyDescent="0.2">
      <c r="A3237" s="1">
        <v>41361</v>
      </c>
      <c r="B3237">
        <v>150.1</v>
      </c>
      <c r="C3237" s="2">
        <f t="shared" si="51"/>
        <v>2.0869151860679926E-2</v>
      </c>
    </row>
    <row r="3238" spans="1:3" x14ac:dyDescent="0.2">
      <c r="A3238" s="1">
        <v>41360</v>
      </c>
      <c r="B3238">
        <v>147</v>
      </c>
      <c r="C3238" s="2">
        <f t="shared" si="51"/>
        <v>-3.3955890011381604E-3</v>
      </c>
    </row>
    <row r="3239" spans="1:3" x14ac:dyDescent="0.2">
      <c r="A3239" s="1">
        <v>41359</v>
      </c>
      <c r="B3239">
        <v>147.5</v>
      </c>
      <c r="C3239" s="2">
        <f t="shared" si="51"/>
        <v>4.757059599459241E-3</v>
      </c>
    </row>
    <row r="3240" spans="1:3" x14ac:dyDescent="0.2">
      <c r="A3240" s="1">
        <v>41358</v>
      </c>
      <c r="B3240">
        <v>146.80000000000001</v>
      </c>
      <c r="C3240" s="2">
        <f t="shared" si="51"/>
        <v>9.5825510809961559E-3</v>
      </c>
    </row>
    <row r="3241" spans="1:3" x14ac:dyDescent="0.2">
      <c r="A3241" s="1">
        <v>41355</v>
      </c>
      <c r="B3241">
        <v>145.4</v>
      </c>
      <c r="C3241" s="2">
        <f t="shared" si="51"/>
        <v>-2.0611481017400418E-3</v>
      </c>
    </row>
    <row r="3242" spans="1:3" x14ac:dyDescent="0.2">
      <c r="A3242" s="1">
        <v>41354</v>
      </c>
      <c r="B3242">
        <v>145.69999999999999</v>
      </c>
      <c r="C3242" s="2">
        <f t="shared" si="51"/>
        <v>-1.5662560562956035E-2</v>
      </c>
    </row>
    <row r="3243" spans="1:3" x14ac:dyDescent="0.2">
      <c r="A3243" s="1">
        <v>41353</v>
      </c>
      <c r="B3243">
        <v>148</v>
      </c>
      <c r="C3243" s="2">
        <f t="shared" si="51"/>
        <v>-1.3504390978713512E-3</v>
      </c>
    </row>
    <row r="3244" spans="1:3" x14ac:dyDescent="0.2">
      <c r="A3244" s="1">
        <v>41352</v>
      </c>
      <c r="B3244">
        <v>148.19999999999999</v>
      </c>
      <c r="C3244" s="2">
        <f t="shared" si="51"/>
        <v>-1.2739025777429826E-2</v>
      </c>
    </row>
    <row r="3245" spans="1:3" x14ac:dyDescent="0.2">
      <c r="A3245" s="1">
        <v>41351</v>
      </c>
      <c r="B3245">
        <v>150.1</v>
      </c>
      <c r="C3245" s="2">
        <f t="shared" si="51"/>
        <v>-1.0603147715070213E-2</v>
      </c>
    </row>
    <row r="3246" spans="1:3" x14ac:dyDescent="0.2">
      <c r="A3246" s="1">
        <v>41348</v>
      </c>
      <c r="B3246">
        <v>151.69999999999999</v>
      </c>
      <c r="C3246" s="2">
        <f t="shared" si="51"/>
        <v>8.6064748387469931E-3</v>
      </c>
    </row>
    <row r="3247" spans="1:3" x14ac:dyDescent="0.2">
      <c r="A3247" s="1">
        <v>41347</v>
      </c>
      <c r="B3247">
        <v>150.4</v>
      </c>
      <c r="C3247" s="2">
        <f t="shared" si="51"/>
        <v>7.3407069705946687E-3</v>
      </c>
    </row>
    <row r="3248" spans="1:3" x14ac:dyDescent="0.2">
      <c r="A3248" s="1">
        <v>41346</v>
      </c>
      <c r="B3248">
        <v>149.30000000000001</v>
      </c>
      <c r="C3248" s="2">
        <f t="shared" si="51"/>
        <v>5.372746302390501E-3</v>
      </c>
    </row>
    <row r="3249" spans="1:3" x14ac:dyDescent="0.2">
      <c r="A3249" s="1">
        <v>41345</v>
      </c>
      <c r="B3249">
        <v>148.5</v>
      </c>
      <c r="C3249" s="2">
        <f t="shared" si="51"/>
        <v>-6.0423144559626982E-3</v>
      </c>
    </row>
    <row r="3250" spans="1:3" x14ac:dyDescent="0.2">
      <c r="A3250" s="1">
        <v>41344</v>
      </c>
      <c r="B3250">
        <v>149.4</v>
      </c>
      <c r="C3250" s="2">
        <f t="shared" si="51"/>
        <v>6.0423144559626617E-3</v>
      </c>
    </row>
    <row r="3251" spans="1:3" x14ac:dyDescent="0.2">
      <c r="A3251" s="1">
        <v>41341</v>
      </c>
      <c r="B3251">
        <v>148.5</v>
      </c>
      <c r="C3251" s="2">
        <f t="shared" si="51"/>
        <v>-6.7114345879868038E-3</v>
      </c>
    </row>
    <row r="3252" spans="1:3" x14ac:dyDescent="0.2">
      <c r="A3252" s="1">
        <v>41340</v>
      </c>
      <c r="B3252">
        <v>149.5</v>
      </c>
      <c r="C3252" s="2">
        <f t="shared" si="51"/>
        <v>-7.3309225350520792E-3</v>
      </c>
    </row>
    <row r="3253" spans="1:3" x14ac:dyDescent="0.2">
      <c r="A3253" s="1">
        <v>41339</v>
      </c>
      <c r="B3253">
        <v>150.6</v>
      </c>
      <c r="C3253" s="2">
        <f t="shared" si="51"/>
        <v>-6.6379026665651093E-4</v>
      </c>
    </row>
    <row r="3254" spans="1:3" x14ac:dyDescent="0.2">
      <c r="A3254" s="1">
        <v>41338</v>
      </c>
      <c r="B3254">
        <v>150.69999999999999</v>
      </c>
      <c r="C3254" s="2">
        <f t="shared" si="51"/>
        <v>9.3334010873049721E-3</v>
      </c>
    </row>
    <row r="3255" spans="1:3" x14ac:dyDescent="0.2">
      <c r="A3255" s="1">
        <v>41337</v>
      </c>
      <c r="B3255">
        <v>149.30000000000001</v>
      </c>
      <c r="C3255" s="2">
        <f t="shared" si="51"/>
        <v>-6.6956815357223853E-4</v>
      </c>
    </row>
    <row r="3256" spans="1:3" x14ac:dyDescent="0.2">
      <c r="A3256" s="1">
        <v>41334</v>
      </c>
      <c r="B3256">
        <v>149.4</v>
      </c>
      <c r="C3256" s="2">
        <f t="shared" si="51"/>
        <v>-7.3358114902134014E-3</v>
      </c>
    </row>
    <row r="3257" spans="1:3" x14ac:dyDescent="0.2">
      <c r="A3257" s="1">
        <v>41333</v>
      </c>
      <c r="B3257">
        <v>150.5</v>
      </c>
      <c r="C3257" s="2">
        <f t="shared" si="51"/>
        <v>8.0053796437856307E-3</v>
      </c>
    </row>
    <row r="3258" spans="1:3" x14ac:dyDescent="0.2">
      <c r="A3258" s="1">
        <v>41332</v>
      </c>
      <c r="B3258">
        <v>149.30000000000001</v>
      </c>
    </row>
    <row r="3259" spans="1:3" x14ac:dyDescent="0.2">
      <c r="A3259" s="1">
        <v>41331</v>
      </c>
      <c r="B3259">
        <v>148.19999999999999</v>
      </c>
      <c r="C3259" s="2">
        <f t="shared" si="51"/>
        <v>-1.9379156416707465E-2</v>
      </c>
    </row>
    <row r="3260" spans="1:3" x14ac:dyDescent="0.2">
      <c r="A3260" s="1">
        <v>41330</v>
      </c>
      <c r="B3260">
        <v>151.1</v>
      </c>
      <c r="C3260" s="2">
        <f t="shared" si="51"/>
        <v>-6.5963299865532451E-3</v>
      </c>
    </row>
    <row r="3261" spans="1:3" x14ac:dyDescent="0.2">
      <c r="A3261" s="1">
        <v>41327</v>
      </c>
      <c r="B3261">
        <v>152.1</v>
      </c>
      <c r="C3261" s="2">
        <f t="shared" si="51"/>
        <v>2.0591893319787991E-2</v>
      </c>
    </row>
    <row r="3262" spans="1:3" x14ac:dyDescent="0.2">
      <c r="A3262" s="1">
        <v>41326</v>
      </c>
      <c r="B3262">
        <v>149</v>
      </c>
      <c r="C3262" s="2">
        <f t="shared" si="51"/>
        <v>-7.3554326939571099E-3</v>
      </c>
    </row>
    <row r="3263" spans="1:3" x14ac:dyDescent="0.2">
      <c r="A3263" s="1">
        <v>41325</v>
      </c>
      <c r="B3263">
        <v>150.1</v>
      </c>
      <c r="C3263" s="2">
        <f t="shared" si="51"/>
        <v>2.0869151860679926E-2</v>
      </c>
    </row>
    <row r="3264" spans="1:3" x14ac:dyDescent="0.2">
      <c r="A3264" s="1">
        <v>41324</v>
      </c>
      <c r="B3264">
        <v>147</v>
      </c>
      <c r="C3264" s="2">
        <f t="shared" si="51"/>
        <v>1.4388737452099671E-2</v>
      </c>
    </row>
    <row r="3265" spans="1:3" x14ac:dyDescent="0.2">
      <c r="A3265" s="1">
        <v>41323</v>
      </c>
      <c r="B3265">
        <v>144.9</v>
      </c>
      <c r="C3265" s="2">
        <f t="shared" si="51"/>
        <v>-3.444715772782307E-3</v>
      </c>
    </row>
    <row r="3266" spans="1:3" x14ac:dyDescent="0.2">
      <c r="A3266" s="1">
        <v>41320</v>
      </c>
      <c r="B3266">
        <v>145.4</v>
      </c>
      <c r="C3266" s="2">
        <f t="shared" si="51"/>
        <v>-4.1180566089173741E-3</v>
      </c>
    </row>
    <row r="3267" spans="1:3" x14ac:dyDescent="0.2">
      <c r="A3267" s="1">
        <v>41319</v>
      </c>
      <c r="B3267">
        <v>146</v>
      </c>
      <c r="C3267" s="2">
        <f t="shared" ref="C3267:C3330" si="52">+LN(B3267/B3268)</f>
        <v>6.1834618181943624E-3</v>
      </c>
    </row>
    <row r="3268" spans="1:3" x14ac:dyDescent="0.2">
      <c r="A3268" s="1">
        <v>41318</v>
      </c>
      <c r="B3268">
        <v>145.1</v>
      </c>
      <c r="C3268" s="2">
        <f t="shared" si="52"/>
        <v>2.0892124787087279E-2</v>
      </c>
    </row>
    <row r="3269" spans="1:3" x14ac:dyDescent="0.2">
      <c r="A3269" s="1">
        <v>41317</v>
      </c>
      <c r="B3269">
        <v>142.1</v>
      </c>
      <c r="C3269" s="2">
        <f t="shared" si="52"/>
        <v>-7.0348226608546633E-4</v>
      </c>
    </row>
    <row r="3270" spans="1:3" x14ac:dyDescent="0.2">
      <c r="A3270" s="1">
        <v>41316</v>
      </c>
      <c r="B3270">
        <v>142.19999999999999</v>
      </c>
      <c r="C3270" s="2">
        <f t="shared" si="52"/>
        <v>-1.4054816087350321E-3</v>
      </c>
    </row>
    <row r="3271" spans="1:3" x14ac:dyDescent="0.2">
      <c r="A3271" s="1">
        <v>41313</v>
      </c>
      <c r="B3271">
        <v>142.4</v>
      </c>
      <c r="C3271" s="2">
        <f t="shared" si="52"/>
        <v>-4.2046312820318123E-3</v>
      </c>
    </row>
    <row r="3272" spans="1:3" x14ac:dyDescent="0.2">
      <c r="A3272" s="1">
        <v>41312</v>
      </c>
      <c r="B3272">
        <v>143</v>
      </c>
      <c r="C3272" s="2">
        <f t="shared" si="52"/>
        <v>-1.2508849691708764E-2</v>
      </c>
    </row>
    <row r="3273" spans="1:3" x14ac:dyDescent="0.2">
      <c r="A3273" s="1">
        <v>41311</v>
      </c>
      <c r="B3273">
        <v>144.80000000000001</v>
      </c>
      <c r="C3273" s="2">
        <f t="shared" si="52"/>
        <v>6.9300346646696325E-3</v>
      </c>
    </row>
    <row r="3274" spans="1:3" x14ac:dyDescent="0.2">
      <c r="A3274" s="1">
        <v>41310</v>
      </c>
      <c r="B3274">
        <v>143.80000000000001</v>
      </c>
      <c r="C3274" s="2">
        <f t="shared" si="52"/>
        <v>4.5527065498697311E-2</v>
      </c>
    </row>
    <row r="3275" spans="1:3" x14ac:dyDescent="0.2">
      <c r="A3275" s="1">
        <v>41309</v>
      </c>
      <c r="B3275">
        <v>137.4</v>
      </c>
      <c r="C3275" s="2">
        <f t="shared" si="52"/>
        <v>2.9154539601241349E-3</v>
      </c>
    </row>
    <row r="3276" spans="1:3" x14ac:dyDescent="0.2">
      <c r="A3276" s="1">
        <v>41306</v>
      </c>
      <c r="B3276">
        <v>137</v>
      </c>
      <c r="C3276" s="2">
        <f t="shared" si="52"/>
        <v>8.797710703529131E-3</v>
      </c>
    </row>
    <row r="3277" spans="1:3" x14ac:dyDescent="0.2">
      <c r="A3277" s="1">
        <v>41305</v>
      </c>
      <c r="B3277">
        <v>135.80000000000001</v>
      </c>
      <c r="C3277" s="2">
        <f t="shared" si="52"/>
        <v>-2.4009883804801371E-2</v>
      </c>
    </row>
    <row r="3278" spans="1:3" x14ac:dyDescent="0.2">
      <c r="A3278" s="1">
        <v>41304</v>
      </c>
      <c r="B3278">
        <v>139.1</v>
      </c>
      <c r="C3278" s="2">
        <f t="shared" si="52"/>
        <v>2.8797716086113199E-3</v>
      </c>
    </row>
    <row r="3279" spans="1:3" x14ac:dyDescent="0.2">
      <c r="A3279" s="1">
        <v>41303</v>
      </c>
      <c r="B3279">
        <v>138.69999999999999</v>
      </c>
      <c r="C3279" s="2">
        <f t="shared" si="52"/>
        <v>-1.0043126022175452E-2</v>
      </c>
    </row>
    <row r="3280" spans="1:3" x14ac:dyDescent="0.2">
      <c r="A3280" s="1">
        <v>41302</v>
      </c>
      <c r="B3280">
        <v>140.1</v>
      </c>
      <c r="C3280" s="2">
        <f t="shared" si="52"/>
        <v>2.8591870800451606E-3</v>
      </c>
    </row>
    <row r="3281" spans="1:3" x14ac:dyDescent="0.2">
      <c r="A3281" s="1">
        <v>41299</v>
      </c>
      <c r="B3281">
        <v>139.69999999999999</v>
      </c>
      <c r="C3281" s="2">
        <f t="shared" si="52"/>
        <v>1.0072027592203502E-2</v>
      </c>
    </row>
    <row r="3282" spans="1:3" x14ac:dyDescent="0.2">
      <c r="A3282" s="1">
        <v>41298</v>
      </c>
      <c r="B3282">
        <v>138.30000000000001</v>
      </c>
      <c r="C3282" s="2">
        <f t="shared" si="52"/>
        <v>2.1715535135079325E-3</v>
      </c>
    </row>
    <row r="3283" spans="1:3" x14ac:dyDescent="0.2">
      <c r="A3283" s="1">
        <v>41297</v>
      </c>
      <c r="B3283">
        <v>138</v>
      </c>
      <c r="C3283" s="2">
        <f t="shared" si="52"/>
        <v>8.0029528628014299E-3</v>
      </c>
    </row>
    <row r="3284" spans="1:3" x14ac:dyDescent="0.2">
      <c r="A3284" s="1">
        <v>41296</v>
      </c>
      <c r="B3284">
        <v>136.9</v>
      </c>
      <c r="C3284" s="2">
        <f t="shared" si="52"/>
        <v>3.6589868850414767E-3</v>
      </c>
    </row>
    <row r="3285" spans="1:3" x14ac:dyDescent="0.2">
      <c r="A3285" s="1">
        <v>41295</v>
      </c>
      <c r="B3285">
        <v>136.4</v>
      </c>
      <c r="C3285" s="2">
        <f t="shared" si="52"/>
        <v>6.6201050896062654E-3</v>
      </c>
    </row>
    <row r="3286" spans="1:3" x14ac:dyDescent="0.2">
      <c r="A3286" s="1">
        <v>41292</v>
      </c>
      <c r="B3286">
        <v>135.5</v>
      </c>
      <c r="C3286" s="2">
        <f t="shared" si="52"/>
        <v>-1.0279091974647702E-2</v>
      </c>
    </row>
    <row r="3287" spans="1:3" x14ac:dyDescent="0.2">
      <c r="A3287" s="1">
        <v>41291</v>
      </c>
      <c r="B3287">
        <v>136.9</v>
      </c>
      <c r="C3287" s="2">
        <f t="shared" si="52"/>
        <v>-2.1889829973814967E-3</v>
      </c>
    </row>
    <row r="3288" spans="1:3" x14ac:dyDescent="0.2">
      <c r="A3288" s="1">
        <v>41290</v>
      </c>
      <c r="B3288">
        <v>137.19999999999999</v>
      </c>
      <c r="C3288" s="2">
        <f t="shared" si="52"/>
        <v>3.6509715618810675E-3</v>
      </c>
    </row>
    <row r="3289" spans="1:3" x14ac:dyDescent="0.2">
      <c r="A3289" s="1">
        <v>41289</v>
      </c>
      <c r="B3289">
        <v>136.69999999999999</v>
      </c>
      <c r="C3289" s="2">
        <f t="shared" si="52"/>
        <v>-7.3126145854634248E-4</v>
      </c>
    </row>
    <row r="3290" spans="1:3" x14ac:dyDescent="0.2">
      <c r="A3290" s="1">
        <v>41288</v>
      </c>
      <c r="B3290">
        <v>136.80000000000001</v>
      </c>
      <c r="C3290" s="2">
        <f t="shared" si="52"/>
        <v>4.3956114730383505E-3</v>
      </c>
    </row>
    <row r="3291" spans="1:3" x14ac:dyDescent="0.2">
      <c r="A3291" s="1">
        <v>41285</v>
      </c>
      <c r="B3291">
        <v>136.19999999999999</v>
      </c>
      <c r="C3291" s="2">
        <f t="shared" si="52"/>
        <v>8.1091487492587211E-3</v>
      </c>
    </row>
    <row r="3292" spans="1:3" x14ac:dyDescent="0.2">
      <c r="A3292" s="1">
        <v>41284</v>
      </c>
      <c r="B3292">
        <v>135.1</v>
      </c>
      <c r="C3292" s="2">
        <f t="shared" si="52"/>
        <v>-3.694130540142046E-3</v>
      </c>
    </row>
    <row r="3293" spans="1:3" x14ac:dyDescent="0.2">
      <c r="A3293" s="1">
        <v>41283</v>
      </c>
      <c r="B3293">
        <v>135.6</v>
      </c>
      <c r="C3293" s="2">
        <f t="shared" si="52"/>
        <v>7.377351865395941E-4</v>
      </c>
    </row>
    <row r="3294" spans="1:3" x14ac:dyDescent="0.2">
      <c r="A3294" s="1">
        <v>41282</v>
      </c>
      <c r="B3294">
        <v>135.5</v>
      </c>
      <c r="C3294" s="2">
        <f t="shared" si="52"/>
        <v>-1.1738946248513125E-2</v>
      </c>
    </row>
    <row r="3295" spans="1:3" x14ac:dyDescent="0.2">
      <c r="A3295" s="1">
        <v>41281</v>
      </c>
      <c r="B3295">
        <v>137.1</v>
      </c>
      <c r="C3295" s="2">
        <f t="shared" si="52"/>
        <v>-9.4374566153005435E-3</v>
      </c>
    </row>
    <row r="3296" spans="1:3" x14ac:dyDescent="0.2">
      <c r="A3296" s="1">
        <v>41278</v>
      </c>
      <c r="B3296">
        <v>138.4</v>
      </c>
      <c r="C3296" s="2">
        <f t="shared" si="52"/>
        <v>-2.8860048891349867E-3</v>
      </c>
    </row>
    <row r="3297" spans="1:3" x14ac:dyDescent="0.2">
      <c r="A3297" s="1">
        <v>41277</v>
      </c>
      <c r="B3297">
        <v>138.80000000000001</v>
      </c>
      <c r="C3297" s="2">
        <f t="shared" si="52"/>
        <v>-4.3134502537193536E-3</v>
      </c>
    </row>
    <row r="3298" spans="1:3" x14ac:dyDescent="0.2">
      <c r="A3298" s="1">
        <v>41276</v>
      </c>
      <c r="B3298">
        <v>139.4</v>
      </c>
      <c r="C3298" s="2">
        <f t="shared" si="52"/>
        <v>2.9852963149681128E-2</v>
      </c>
    </row>
    <row r="3299" spans="1:3" x14ac:dyDescent="0.2">
      <c r="A3299" s="1">
        <v>41271</v>
      </c>
      <c r="B3299">
        <v>135.30000000000001</v>
      </c>
      <c r="C3299" s="2">
        <f t="shared" si="52"/>
        <v>-4.4247859803555837E-3</v>
      </c>
    </row>
    <row r="3300" spans="1:3" x14ac:dyDescent="0.2">
      <c r="A3300" s="1">
        <v>41270</v>
      </c>
      <c r="B3300">
        <v>135.9</v>
      </c>
      <c r="C3300" s="2">
        <f t="shared" si="52"/>
        <v>5.9040761909448444E-3</v>
      </c>
    </row>
    <row r="3301" spans="1:3" x14ac:dyDescent="0.2">
      <c r="A3301" s="1">
        <v>41264</v>
      </c>
      <c r="B3301">
        <v>135.1</v>
      </c>
      <c r="C3301" s="2">
        <f t="shared" si="52"/>
        <v>7.4046652772369196E-4</v>
      </c>
    </row>
    <row r="3302" spans="1:3" x14ac:dyDescent="0.2">
      <c r="A3302" s="1">
        <v>41263</v>
      </c>
      <c r="B3302">
        <v>135</v>
      </c>
      <c r="C3302" s="2">
        <f t="shared" si="52"/>
        <v>0</v>
      </c>
    </row>
    <row r="3303" spans="1:3" x14ac:dyDescent="0.2">
      <c r="A3303" s="1">
        <v>41262</v>
      </c>
      <c r="B3303">
        <v>135</v>
      </c>
      <c r="C3303" s="2">
        <f t="shared" si="52"/>
        <v>7.4349784875179905E-3</v>
      </c>
    </row>
    <row r="3304" spans="1:3" x14ac:dyDescent="0.2">
      <c r="A3304" s="1">
        <v>41261</v>
      </c>
      <c r="B3304">
        <v>134</v>
      </c>
      <c r="C3304" s="2">
        <f t="shared" si="52"/>
        <v>2.2413158430139172E-3</v>
      </c>
    </row>
    <row r="3305" spans="1:3" x14ac:dyDescent="0.2">
      <c r="A3305" s="1">
        <v>41260</v>
      </c>
      <c r="B3305">
        <v>133.69999999999999</v>
      </c>
      <c r="C3305" s="2">
        <f t="shared" si="52"/>
        <v>0</v>
      </c>
    </row>
    <row r="3306" spans="1:3" x14ac:dyDescent="0.2">
      <c r="A3306" s="1">
        <v>41257</v>
      </c>
      <c r="B3306">
        <v>133.69999999999999</v>
      </c>
      <c r="C3306" s="2">
        <f t="shared" si="52"/>
        <v>2.2463506263740154E-3</v>
      </c>
    </row>
    <row r="3307" spans="1:3" x14ac:dyDescent="0.2">
      <c r="A3307" s="1">
        <v>41256</v>
      </c>
      <c r="B3307">
        <v>133.4</v>
      </c>
      <c r="C3307" s="2">
        <f t="shared" si="52"/>
        <v>-8.21206556037039E-3</v>
      </c>
    </row>
    <row r="3308" spans="1:3" x14ac:dyDescent="0.2">
      <c r="A3308" s="1">
        <v>41255</v>
      </c>
      <c r="B3308">
        <v>134.5</v>
      </c>
      <c r="C3308" s="2">
        <f t="shared" si="52"/>
        <v>-2.9695641718164318E-3</v>
      </c>
    </row>
    <row r="3309" spans="1:3" x14ac:dyDescent="0.2">
      <c r="A3309" s="1">
        <v>41254</v>
      </c>
      <c r="B3309">
        <v>134.9</v>
      </c>
      <c r="C3309" s="2">
        <f t="shared" si="52"/>
        <v>1.1181629732186843E-2</v>
      </c>
    </row>
    <row r="3310" spans="1:3" x14ac:dyDescent="0.2">
      <c r="A3310" s="1">
        <v>41253</v>
      </c>
      <c r="B3310">
        <v>133.4</v>
      </c>
      <c r="C3310" s="2">
        <f t="shared" si="52"/>
        <v>1.2825524732288157E-2</v>
      </c>
    </row>
    <row r="3311" spans="1:3" x14ac:dyDescent="0.2">
      <c r="A3311" s="1">
        <v>41250</v>
      </c>
      <c r="B3311">
        <v>131.69999999999999</v>
      </c>
      <c r="C3311" s="2">
        <f t="shared" si="52"/>
        <v>7.5958985801855157E-4</v>
      </c>
    </row>
    <row r="3312" spans="1:3" x14ac:dyDescent="0.2">
      <c r="A3312" s="1">
        <v>41249</v>
      </c>
      <c r="B3312">
        <v>131.6</v>
      </c>
      <c r="C3312" s="2">
        <f t="shared" si="52"/>
        <v>7.6278020488860674E-3</v>
      </c>
    </row>
    <row r="3313" spans="1:3" x14ac:dyDescent="0.2">
      <c r="A3313" s="1">
        <v>41248</v>
      </c>
      <c r="B3313">
        <v>130.6</v>
      </c>
      <c r="C3313" s="2">
        <f t="shared" si="52"/>
        <v>3.8358313238711925E-3</v>
      </c>
    </row>
    <row r="3314" spans="1:3" x14ac:dyDescent="0.2">
      <c r="A3314" s="1">
        <v>41247</v>
      </c>
      <c r="B3314">
        <v>130.1</v>
      </c>
      <c r="C3314" s="2">
        <f t="shared" si="52"/>
        <v>0</v>
      </c>
    </row>
    <row r="3315" spans="1:3" x14ac:dyDescent="0.2">
      <c r="A3315" s="1">
        <v>41246</v>
      </c>
      <c r="B3315">
        <v>130.1</v>
      </c>
      <c r="C3315" s="2">
        <f t="shared" si="52"/>
        <v>-5.3660535046389079E-3</v>
      </c>
    </row>
    <row r="3316" spans="1:3" x14ac:dyDescent="0.2">
      <c r="A3316" s="1">
        <v>41243</v>
      </c>
      <c r="B3316">
        <v>130.80000000000001</v>
      </c>
      <c r="C3316" s="2">
        <f t="shared" si="52"/>
        <v>9.2166551049240476E-3</v>
      </c>
    </row>
    <row r="3317" spans="1:3" x14ac:dyDescent="0.2">
      <c r="A3317" s="1">
        <v>41242</v>
      </c>
      <c r="B3317">
        <v>129.6</v>
      </c>
      <c r="C3317" s="2">
        <f t="shared" si="52"/>
        <v>1.7906278354813409E-2</v>
      </c>
    </row>
    <row r="3318" spans="1:3" x14ac:dyDescent="0.2">
      <c r="A3318" s="1">
        <v>41241</v>
      </c>
      <c r="B3318">
        <v>127.3</v>
      </c>
      <c r="C3318" s="2">
        <f t="shared" si="52"/>
        <v>3.935463560235262E-3</v>
      </c>
    </row>
    <row r="3319" spans="1:3" x14ac:dyDescent="0.2">
      <c r="A3319" s="1">
        <v>41240</v>
      </c>
      <c r="B3319">
        <v>126.8</v>
      </c>
      <c r="C3319" s="2">
        <f t="shared" si="52"/>
        <v>1.9108861698046507E-2</v>
      </c>
    </row>
    <row r="3320" spans="1:3" x14ac:dyDescent="0.2">
      <c r="A3320" s="1">
        <v>41239</v>
      </c>
      <c r="B3320">
        <v>124.4</v>
      </c>
      <c r="C3320" s="2">
        <f t="shared" si="52"/>
        <v>-2.4086723809116557E-3</v>
      </c>
    </row>
    <row r="3321" spans="1:3" x14ac:dyDescent="0.2">
      <c r="A3321" s="1">
        <v>41236</v>
      </c>
      <c r="B3321">
        <v>124.7</v>
      </c>
    </row>
    <row r="3322" spans="1:3" x14ac:dyDescent="0.2">
      <c r="A3322" s="1">
        <v>41235</v>
      </c>
      <c r="B3322">
        <v>124.3</v>
      </c>
      <c r="C3322" s="2">
        <f t="shared" si="52"/>
        <v>1.132698194467632E-2</v>
      </c>
    </row>
    <row r="3323" spans="1:3" x14ac:dyDescent="0.2">
      <c r="A3323" s="1">
        <v>41234</v>
      </c>
      <c r="B3323">
        <v>122.9</v>
      </c>
      <c r="C3323" s="2">
        <f t="shared" si="52"/>
        <v>2.0551483697268415E-2</v>
      </c>
    </row>
    <row r="3324" spans="1:3" x14ac:dyDescent="0.2">
      <c r="A3324" s="1">
        <v>41233</v>
      </c>
      <c r="B3324">
        <v>120.4</v>
      </c>
      <c r="C3324" s="2">
        <f t="shared" si="52"/>
        <v>3.0356462480593992E-2</v>
      </c>
    </row>
    <row r="3325" spans="1:3" x14ac:dyDescent="0.2">
      <c r="A3325" s="1">
        <v>41232</v>
      </c>
      <c r="B3325">
        <v>116.8</v>
      </c>
      <c r="C3325" s="2">
        <f t="shared" si="52"/>
        <v>1.9888247399832366E-2</v>
      </c>
    </row>
    <row r="3326" spans="1:3" x14ac:dyDescent="0.2">
      <c r="A3326" s="1">
        <v>41229</v>
      </c>
      <c r="B3326">
        <v>114.5</v>
      </c>
      <c r="C3326" s="2">
        <f t="shared" si="52"/>
        <v>-6.9626042807189427E-3</v>
      </c>
    </row>
    <row r="3327" spans="1:3" x14ac:dyDescent="0.2">
      <c r="A3327" s="1">
        <v>41228</v>
      </c>
      <c r="B3327">
        <v>115.3</v>
      </c>
      <c r="C3327" s="2">
        <f t="shared" si="52"/>
        <v>-8.6356322496054534E-3</v>
      </c>
    </row>
    <row r="3328" spans="1:3" x14ac:dyDescent="0.2">
      <c r="A3328" s="1">
        <v>41227</v>
      </c>
      <c r="B3328">
        <v>116.3</v>
      </c>
      <c r="C3328" s="2">
        <f t="shared" si="52"/>
        <v>8.6021510680792915E-4</v>
      </c>
    </row>
    <row r="3329" spans="1:3" x14ac:dyDescent="0.2">
      <c r="A3329" s="1">
        <v>41226</v>
      </c>
      <c r="B3329">
        <v>116.2</v>
      </c>
      <c r="C3329" s="2">
        <f t="shared" si="52"/>
        <v>4.3122102181799059E-3</v>
      </c>
    </row>
    <row r="3330" spans="1:3" x14ac:dyDescent="0.2">
      <c r="A3330" s="1">
        <v>41225</v>
      </c>
      <c r="B3330">
        <v>115.7</v>
      </c>
      <c r="C3330" s="2">
        <f t="shared" si="52"/>
        <v>-4.3122102181799536E-3</v>
      </c>
    </row>
    <row r="3331" spans="1:3" x14ac:dyDescent="0.2">
      <c r="A3331" s="1">
        <v>41222</v>
      </c>
      <c r="B3331">
        <v>116.2</v>
      </c>
      <c r="C3331" s="2">
        <f t="shared" ref="C3331:C3394" si="53">+LN(B3331/B3332)</f>
        <v>-8.6021510680788112E-4</v>
      </c>
    </row>
    <row r="3332" spans="1:3" x14ac:dyDescent="0.2">
      <c r="A3332" s="1">
        <v>41221</v>
      </c>
      <c r="B3332">
        <v>116.3</v>
      </c>
      <c r="C3332" s="2">
        <f t="shared" si="53"/>
        <v>-3.4334797678916306E-3</v>
      </c>
    </row>
    <row r="3333" spans="1:3" x14ac:dyDescent="0.2">
      <c r="A3333" s="1">
        <v>41220</v>
      </c>
      <c r="B3333">
        <v>116.7</v>
      </c>
      <c r="C3333" s="2">
        <f t="shared" si="53"/>
        <v>-1.9516953819019016E-2</v>
      </c>
    </row>
    <row r="3334" spans="1:3" x14ac:dyDescent="0.2">
      <c r="A3334" s="1">
        <v>41219</v>
      </c>
      <c r="B3334">
        <v>119</v>
      </c>
      <c r="C3334" s="2">
        <f t="shared" si="53"/>
        <v>5.899722127188322E-3</v>
      </c>
    </row>
    <row r="3335" spans="1:3" x14ac:dyDescent="0.2">
      <c r="A3335" s="1">
        <v>41218</v>
      </c>
      <c r="B3335">
        <v>118.3</v>
      </c>
      <c r="C3335" s="2">
        <f t="shared" si="53"/>
        <v>9.3418938414287153E-3</v>
      </c>
    </row>
    <row r="3336" spans="1:3" x14ac:dyDescent="0.2">
      <c r="A3336" s="1">
        <v>41215</v>
      </c>
      <c r="B3336">
        <v>117.2</v>
      </c>
      <c r="C3336" s="2">
        <f t="shared" si="53"/>
        <v>8.5690327251013668E-3</v>
      </c>
    </row>
    <row r="3337" spans="1:3" x14ac:dyDescent="0.2">
      <c r="A3337" s="1">
        <v>41214</v>
      </c>
      <c r="B3337">
        <v>116.2</v>
      </c>
      <c r="C3337" s="2">
        <f t="shared" si="53"/>
        <v>8.643096156020014E-3</v>
      </c>
    </row>
    <row r="3338" spans="1:3" x14ac:dyDescent="0.2">
      <c r="A3338" s="1">
        <v>41213</v>
      </c>
      <c r="B3338">
        <v>115.2</v>
      </c>
      <c r="C3338" s="2">
        <f t="shared" si="53"/>
        <v>-5.1948168771039109E-3</v>
      </c>
    </row>
    <row r="3339" spans="1:3" x14ac:dyDescent="0.2">
      <c r="A3339" s="1">
        <v>41212</v>
      </c>
      <c r="B3339">
        <v>115.8</v>
      </c>
      <c r="C3339" s="2">
        <f t="shared" si="53"/>
        <v>6.0632494110579383E-3</v>
      </c>
    </row>
    <row r="3340" spans="1:3" x14ac:dyDescent="0.2">
      <c r="A3340" s="1">
        <v>41211</v>
      </c>
      <c r="B3340">
        <v>115.1</v>
      </c>
      <c r="C3340" s="2">
        <f t="shared" si="53"/>
        <v>6.9747449270719511E-3</v>
      </c>
    </row>
    <row r="3341" spans="1:3" x14ac:dyDescent="0.2">
      <c r="A3341" s="1">
        <v>41208</v>
      </c>
      <c r="B3341">
        <v>114.3</v>
      </c>
      <c r="C3341" s="2">
        <f t="shared" si="53"/>
        <v>5.2631700442744697E-3</v>
      </c>
    </row>
    <row r="3342" spans="1:3" x14ac:dyDescent="0.2">
      <c r="A3342" s="1">
        <v>41207</v>
      </c>
      <c r="B3342">
        <v>113.7</v>
      </c>
      <c r="C3342" s="2">
        <f t="shared" si="53"/>
        <v>-1.9164349589215715E-2</v>
      </c>
    </row>
    <row r="3343" spans="1:3" x14ac:dyDescent="0.2">
      <c r="A3343" s="1">
        <v>41206</v>
      </c>
      <c r="B3343">
        <v>115.9</v>
      </c>
      <c r="C3343" s="2">
        <f t="shared" si="53"/>
        <v>-7.7353200484205492E-3</v>
      </c>
    </row>
    <row r="3344" spans="1:3" x14ac:dyDescent="0.2">
      <c r="A3344" s="1">
        <v>41205</v>
      </c>
      <c r="B3344">
        <v>116.8</v>
      </c>
      <c r="C3344" s="2">
        <f t="shared" si="53"/>
        <v>-5.9011718240970124E-2</v>
      </c>
    </row>
    <row r="3345" spans="1:3" x14ac:dyDescent="0.2">
      <c r="A3345" s="1">
        <v>41204</v>
      </c>
      <c r="B3345">
        <v>123.9</v>
      </c>
      <c r="C3345" s="2">
        <f t="shared" si="53"/>
        <v>1.7915788641615239E-2</v>
      </c>
    </row>
    <row r="3346" spans="1:3" x14ac:dyDescent="0.2">
      <c r="A3346" s="1">
        <v>41201</v>
      </c>
      <c r="B3346">
        <v>121.7</v>
      </c>
      <c r="C3346" s="2">
        <f t="shared" si="53"/>
        <v>-1.7108360257014243E-2</v>
      </c>
    </row>
    <row r="3347" spans="1:3" x14ac:dyDescent="0.2">
      <c r="A3347" s="1">
        <v>41200</v>
      </c>
      <c r="B3347">
        <v>123.8</v>
      </c>
      <c r="C3347" s="2">
        <f t="shared" si="53"/>
        <v>2.4262041824637975E-3</v>
      </c>
    </row>
    <row r="3348" spans="1:3" x14ac:dyDescent="0.2">
      <c r="A3348" s="1">
        <v>41199</v>
      </c>
      <c r="B3348">
        <v>123.5</v>
      </c>
      <c r="C3348" s="2">
        <f t="shared" si="53"/>
        <v>2.0450610471290841E-2</v>
      </c>
    </row>
    <row r="3349" spans="1:3" x14ac:dyDescent="0.2">
      <c r="A3349" s="1">
        <v>41198</v>
      </c>
      <c r="B3349">
        <v>121</v>
      </c>
      <c r="C3349" s="2">
        <f t="shared" si="53"/>
        <v>1.0801933032813679E-2</v>
      </c>
    </row>
    <row r="3350" spans="1:3" x14ac:dyDescent="0.2">
      <c r="A3350" s="1">
        <v>41197</v>
      </c>
      <c r="B3350">
        <v>119.7</v>
      </c>
      <c r="C3350" s="2">
        <f t="shared" si="53"/>
        <v>2.509411605425707E-3</v>
      </c>
    </row>
    <row r="3351" spans="1:3" x14ac:dyDescent="0.2">
      <c r="A3351" s="1">
        <v>41194</v>
      </c>
      <c r="B3351">
        <v>119.4</v>
      </c>
      <c r="C3351" s="2">
        <f t="shared" si="53"/>
        <v>-5.8455281274360747E-3</v>
      </c>
    </row>
    <row r="3352" spans="1:3" x14ac:dyDescent="0.2">
      <c r="A3352" s="1">
        <v>41193</v>
      </c>
      <c r="B3352">
        <v>120.1</v>
      </c>
      <c r="C3352" s="2">
        <f t="shared" si="53"/>
        <v>0</v>
      </c>
    </row>
    <row r="3353" spans="1:3" x14ac:dyDescent="0.2">
      <c r="A3353" s="1">
        <v>41192</v>
      </c>
      <c r="B3353">
        <v>120.1</v>
      </c>
      <c r="C3353" s="2">
        <f t="shared" si="53"/>
        <v>-1.2412240446128793E-2</v>
      </c>
    </row>
    <row r="3354" spans="1:3" x14ac:dyDescent="0.2">
      <c r="A3354" s="1">
        <v>41191</v>
      </c>
      <c r="B3354">
        <v>121.6</v>
      </c>
      <c r="C3354" s="2">
        <f t="shared" si="53"/>
        <v>-9.820046180975461E-3</v>
      </c>
    </row>
    <row r="3355" spans="1:3" x14ac:dyDescent="0.2">
      <c r="A3355" s="1">
        <v>41190</v>
      </c>
      <c r="B3355">
        <v>122.8</v>
      </c>
      <c r="C3355" s="2">
        <f t="shared" si="53"/>
        <v>-8.9177729220547685E-3</v>
      </c>
    </row>
    <row r="3356" spans="1:3" x14ac:dyDescent="0.2">
      <c r="A3356" s="1">
        <v>41187</v>
      </c>
      <c r="B3356">
        <v>123.9</v>
      </c>
      <c r="C3356" s="2">
        <f t="shared" si="53"/>
        <v>2.94861656544637E-2</v>
      </c>
    </row>
    <row r="3357" spans="1:3" x14ac:dyDescent="0.2">
      <c r="A3357" s="1">
        <v>41186</v>
      </c>
      <c r="B3357">
        <v>120.3</v>
      </c>
      <c r="C3357" s="2">
        <f t="shared" si="53"/>
        <v>-3.3195051228527049E-3</v>
      </c>
    </row>
    <row r="3358" spans="1:3" x14ac:dyDescent="0.2">
      <c r="A3358" s="1">
        <v>41185</v>
      </c>
      <c r="B3358">
        <v>120.7</v>
      </c>
      <c r="C3358" s="2">
        <f t="shared" si="53"/>
        <v>-7.4288414285806912E-3</v>
      </c>
    </row>
    <row r="3359" spans="1:3" x14ac:dyDescent="0.2">
      <c r="A3359" s="1">
        <v>41184</v>
      </c>
      <c r="B3359">
        <v>121.6</v>
      </c>
      <c r="C3359" s="2">
        <f t="shared" si="53"/>
        <v>0</v>
      </c>
    </row>
    <row r="3360" spans="1:3" x14ac:dyDescent="0.2">
      <c r="A3360" s="1">
        <v>41183</v>
      </c>
      <c r="B3360">
        <v>121.6</v>
      </c>
      <c r="C3360" s="2">
        <f t="shared" si="53"/>
        <v>2.0773493170812132E-2</v>
      </c>
    </row>
    <row r="3361" spans="1:3" x14ac:dyDescent="0.2">
      <c r="A3361" s="1">
        <v>41180</v>
      </c>
      <c r="B3361">
        <v>119.1</v>
      </c>
      <c r="C3361" s="2">
        <f t="shared" si="53"/>
        <v>-1.5827069235486751E-2</v>
      </c>
    </row>
    <row r="3362" spans="1:3" x14ac:dyDescent="0.2">
      <c r="A3362" s="1">
        <v>41179</v>
      </c>
      <c r="B3362">
        <v>121</v>
      </c>
      <c r="C3362" s="2">
        <f t="shared" si="53"/>
        <v>4.9710127220204021E-3</v>
      </c>
    </row>
    <row r="3363" spans="1:3" x14ac:dyDescent="0.2">
      <c r="A3363" s="1">
        <v>41178</v>
      </c>
      <c r="B3363">
        <v>120.4</v>
      </c>
      <c r="C3363" s="2">
        <f t="shared" si="53"/>
        <v>-1.3201511858535842E-2</v>
      </c>
    </row>
    <row r="3364" spans="1:3" x14ac:dyDescent="0.2">
      <c r="A3364" s="1">
        <v>41177</v>
      </c>
      <c r="B3364">
        <v>122</v>
      </c>
      <c r="C3364" s="2">
        <f t="shared" si="53"/>
        <v>-7.3499718387326609E-3</v>
      </c>
    </row>
    <row r="3365" spans="1:3" x14ac:dyDescent="0.2">
      <c r="A3365" s="1">
        <v>41176</v>
      </c>
      <c r="B3365">
        <v>122.9</v>
      </c>
      <c r="C3365" s="2">
        <f t="shared" si="53"/>
        <v>-1.2131163733089978E-2</v>
      </c>
    </row>
    <row r="3366" spans="1:3" x14ac:dyDescent="0.2">
      <c r="A3366" s="1">
        <v>41173</v>
      </c>
      <c r="B3366">
        <v>124.4</v>
      </c>
      <c r="C3366" s="2">
        <f t="shared" si="53"/>
        <v>2.4144880945175533E-3</v>
      </c>
    </row>
    <row r="3367" spans="1:3" x14ac:dyDescent="0.2">
      <c r="A3367" s="1">
        <v>41172</v>
      </c>
      <c r="B3367">
        <v>124.1</v>
      </c>
      <c r="C3367" s="2">
        <f t="shared" si="53"/>
        <v>-7.2260450917396944E-3</v>
      </c>
    </row>
    <row r="3368" spans="1:3" x14ac:dyDescent="0.2">
      <c r="A3368" s="1">
        <v>41171</v>
      </c>
      <c r="B3368">
        <v>125</v>
      </c>
      <c r="C3368" s="2">
        <f t="shared" si="53"/>
        <v>-1.5987213636971041E-3</v>
      </c>
    </row>
    <row r="3369" spans="1:3" x14ac:dyDescent="0.2">
      <c r="A3369" s="1">
        <v>41170</v>
      </c>
      <c r="B3369">
        <v>125.2</v>
      </c>
      <c r="C3369" s="2">
        <f t="shared" si="53"/>
        <v>-1.7419284472064821E-2</v>
      </c>
    </row>
    <row r="3370" spans="1:3" x14ac:dyDescent="0.2">
      <c r="A3370" s="1">
        <v>41169</v>
      </c>
      <c r="B3370">
        <v>127.4</v>
      </c>
      <c r="C3370" s="2">
        <f t="shared" si="53"/>
        <v>-7.8462146041781791E-4</v>
      </c>
    </row>
    <row r="3371" spans="1:3" x14ac:dyDescent="0.2">
      <c r="A3371" s="1">
        <v>41166</v>
      </c>
      <c r="B3371">
        <v>127.5</v>
      </c>
      <c r="C3371" s="2">
        <f t="shared" si="53"/>
        <v>5.0674290963266803E-2</v>
      </c>
    </row>
    <row r="3372" spans="1:3" x14ac:dyDescent="0.2">
      <c r="A3372" s="1">
        <v>41165</v>
      </c>
      <c r="B3372">
        <v>121.2</v>
      </c>
      <c r="C3372" s="2">
        <f t="shared" si="53"/>
        <v>-2.4721891453890368E-3</v>
      </c>
    </row>
    <row r="3373" spans="1:3" x14ac:dyDescent="0.2">
      <c r="A3373" s="1">
        <v>41164</v>
      </c>
      <c r="B3373">
        <v>121.5</v>
      </c>
      <c r="C3373" s="2">
        <f t="shared" si="53"/>
        <v>2.8382539577286512E-2</v>
      </c>
    </row>
    <row r="3374" spans="1:3" x14ac:dyDescent="0.2">
      <c r="A3374" s="1">
        <v>41163</v>
      </c>
      <c r="B3374">
        <v>118.1</v>
      </c>
      <c r="C3374" s="2">
        <f t="shared" si="53"/>
        <v>1.0212854725293815E-2</v>
      </c>
    </row>
    <row r="3375" spans="1:3" x14ac:dyDescent="0.2">
      <c r="A3375" s="1">
        <v>41162</v>
      </c>
      <c r="B3375">
        <v>116.9</v>
      </c>
      <c r="C3375" s="2">
        <f t="shared" si="53"/>
        <v>3.4275954722674975E-3</v>
      </c>
    </row>
    <row r="3376" spans="1:3" x14ac:dyDescent="0.2">
      <c r="A3376" s="1">
        <v>41159</v>
      </c>
      <c r="B3376">
        <v>116.5</v>
      </c>
      <c r="C3376" s="2">
        <f t="shared" si="53"/>
        <v>3.0503454293414625E-2</v>
      </c>
    </row>
    <row r="3377" spans="1:3" x14ac:dyDescent="0.2">
      <c r="A3377" s="1">
        <v>41158</v>
      </c>
      <c r="B3377">
        <v>113</v>
      </c>
      <c r="C3377" s="2">
        <f t="shared" si="53"/>
        <v>2.2372297754532984E-2</v>
      </c>
    </row>
    <row r="3378" spans="1:3" x14ac:dyDescent="0.2">
      <c r="A3378" s="1">
        <v>41157</v>
      </c>
      <c r="B3378">
        <v>110.5</v>
      </c>
      <c r="C3378" s="2">
        <f t="shared" si="53"/>
        <v>-1.1696039763191298E-2</v>
      </c>
    </row>
    <row r="3379" spans="1:3" x14ac:dyDescent="0.2">
      <c r="A3379" s="1">
        <v>41156</v>
      </c>
      <c r="B3379">
        <v>111.8</v>
      </c>
      <c r="C3379" s="2">
        <f t="shared" si="53"/>
        <v>-2.0363696147031148E-2</v>
      </c>
    </row>
    <row r="3380" spans="1:3" x14ac:dyDescent="0.2">
      <c r="A3380" s="1">
        <v>41155</v>
      </c>
      <c r="B3380">
        <v>114.1</v>
      </c>
      <c r="C3380" s="2">
        <f t="shared" si="53"/>
        <v>6.1538655743780656E-3</v>
      </c>
    </row>
    <row r="3381" spans="1:3" x14ac:dyDescent="0.2">
      <c r="A3381" s="1">
        <v>41152</v>
      </c>
      <c r="B3381">
        <v>113.4</v>
      </c>
      <c r="C3381" s="2">
        <f t="shared" si="53"/>
        <v>1.3315775975772156E-2</v>
      </c>
    </row>
    <row r="3382" spans="1:3" x14ac:dyDescent="0.2">
      <c r="A3382" s="1">
        <v>41151</v>
      </c>
      <c r="B3382">
        <v>111.9</v>
      </c>
      <c r="C3382" s="2">
        <f t="shared" si="53"/>
        <v>-1.2433552716081046E-2</v>
      </c>
    </row>
    <row r="3383" spans="1:3" x14ac:dyDescent="0.2">
      <c r="A3383" s="1">
        <v>41150</v>
      </c>
      <c r="B3383">
        <v>113.3</v>
      </c>
      <c r="C3383" s="2">
        <f t="shared" si="53"/>
        <v>4.4228289700020459E-3</v>
      </c>
    </row>
    <row r="3384" spans="1:3" x14ac:dyDescent="0.2">
      <c r="A3384" s="1">
        <v>41149</v>
      </c>
      <c r="B3384">
        <v>112.8</v>
      </c>
    </row>
    <row r="3385" spans="1:3" x14ac:dyDescent="0.2">
      <c r="A3385" s="1">
        <v>41148</v>
      </c>
      <c r="B3385">
        <v>115.4</v>
      </c>
      <c r="C3385" s="2">
        <f t="shared" si="53"/>
        <v>6.9565497933601513E-3</v>
      </c>
    </row>
    <row r="3386" spans="1:3" x14ac:dyDescent="0.2">
      <c r="A3386" s="1">
        <v>41145</v>
      </c>
      <c r="B3386">
        <v>114.6</v>
      </c>
      <c r="C3386" s="2">
        <f t="shared" si="53"/>
        <v>-6.9565497933600498E-3</v>
      </c>
    </row>
    <row r="3387" spans="1:3" x14ac:dyDescent="0.2">
      <c r="A3387" s="1">
        <v>41144</v>
      </c>
      <c r="B3387">
        <v>115.4</v>
      </c>
      <c r="C3387" s="2">
        <f t="shared" si="53"/>
        <v>-1.8884681390527212E-2</v>
      </c>
    </row>
    <row r="3388" spans="1:3" x14ac:dyDescent="0.2">
      <c r="A3388" s="1">
        <v>41143</v>
      </c>
      <c r="B3388">
        <v>117.6</v>
      </c>
      <c r="C3388" s="2">
        <f t="shared" si="53"/>
        <v>-3.0977780485477977E-2</v>
      </c>
    </row>
    <row r="3389" spans="1:3" x14ac:dyDescent="0.2">
      <c r="A3389" s="1">
        <v>41142</v>
      </c>
      <c r="B3389">
        <v>121.3</v>
      </c>
      <c r="C3389" s="2">
        <f t="shared" si="53"/>
        <v>0</v>
      </c>
    </row>
    <row r="3390" spans="1:3" x14ac:dyDescent="0.2">
      <c r="A3390" s="1">
        <v>41141</v>
      </c>
      <c r="B3390">
        <v>121.3</v>
      </c>
      <c r="C3390" s="2">
        <f t="shared" si="53"/>
        <v>-3.2921840434771165E-3</v>
      </c>
    </row>
    <row r="3391" spans="1:3" x14ac:dyDescent="0.2">
      <c r="A3391" s="1">
        <v>41138</v>
      </c>
      <c r="B3391">
        <v>121.7</v>
      </c>
      <c r="C3391" s="2">
        <f t="shared" si="53"/>
        <v>1.8242628621916199E-2</v>
      </c>
    </row>
    <row r="3392" spans="1:3" x14ac:dyDescent="0.2">
      <c r="A3392" s="1">
        <v>41137</v>
      </c>
      <c r="B3392">
        <v>119.5</v>
      </c>
      <c r="C3392" s="2">
        <f t="shared" si="53"/>
        <v>6.717069755943007E-3</v>
      </c>
    </row>
    <row r="3393" spans="1:3" x14ac:dyDescent="0.2">
      <c r="A3393" s="1">
        <v>41136</v>
      </c>
      <c r="B3393">
        <v>118.7</v>
      </c>
      <c r="C3393" s="2">
        <f t="shared" si="53"/>
        <v>-8.3893109483051103E-3</v>
      </c>
    </row>
    <row r="3394" spans="1:3" x14ac:dyDescent="0.2">
      <c r="A3394" s="1">
        <v>41135</v>
      </c>
      <c r="B3394">
        <v>119.7</v>
      </c>
      <c r="C3394" s="2">
        <f t="shared" si="53"/>
        <v>2.509411605425707E-3</v>
      </c>
    </row>
    <row r="3395" spans="1:3" x14ac:dyDescent="0.2">
      <c r="A3395" s="1">
        <v>41134</v>
      </c>
      <c r="B3395">
        <v>119.4</v>
      </c>
      <c r="C3395" s="2">
        <f t="shared" ref="C3395:C3458" si="54">+LN(B3395/B3396)</f>
        <v>-1.4962872676712377E-2</v>
      </c>
    </row>
    <row r="3396" spans="1:3" x14ac:dyDescent="0.2">
      <c r="A3396" s="1">
        <v>41131</v>
      </c>
      <c r="B3396">
        <v>121.2</v>
      </c>
      <c r="C3396" s="2">
        <f t="shared" si="54"/>
        <v>-8.2474231479027257E-4</v>
      </c>
    </row>
    <row r="3397" spans="1:3" x14ac:dyDescent="0.2">
      <c r="A3397" s="1">
        <v>41130</v>
      </c>
      <c r="B3397">
        <v>121.3</v>
      </c>
      <c r="C3397" s="2">
        <f t="shared" si="54"/>
        <v>1.2443130268655423E-2</v>
      </c>
    </row>
    <row r="3398" spans="1:3" x14ac:dyDescent="0.2">
      <c r="A3398" s="1">
        <v>41129</v>
      </c>
      <c r="B3398">
        <v>119.8</v>
      </c>
      <c r="C3398" s="2">
        <f t="shared" si="54"/>
        <v>-3.3333364197582274E-3</v>
      </c>
    </row>
    <row r="3399" spans="1:3" x14ac:dyDescent="0.2">
      <c r="A3399" s="1">
        <v>41128</v>
      </c>
      <c r="B3399">
        <v>120.2</v>
      </c>
      <c r="C3399" s="2">
        <f t="shared" si="54"/>
        <v>3.333336419758217E-3</v>
      </c>
    </row>
    <row r="3400" spans="1:3" x14ac:dyDescent="0.2">
      <c r="A3400" s="1">
        <v>41127</v>
      </c>
      <c r="B3400">
        <v>119.8</v>
      </c>
      <c r="C3400" s="2">
        <f t="shared" si="54"/>
        <v>-8.3437635211967213E-4</v>
      </c>
    </row>
    <row r="3401" spans="1:3" x14ac:dyDescent="0.2">
      <c r="A3401" s="1">
        <v>41124</v>
      </c>
      <c r="B3401">
        <v>119.9</v>
      </c>
      <c r="C3401" s="2">
        <f t="shared" si="54"/>
        <v>2.3629791429796914E-2</v>
      </c>
    </row>
    <row r="3402" spans="1:3" x14ac:dyDescent="0.2">
      <c r="A3402" s="1">
        <v>41123</v>
      </c>
      <c r="B3402">
        <v>117.1</v>
      </c>
      <c r="C3402" s="2">
        <f t="shared" si="54"/>
        <v>-1.1884689971514319E-2</v>
      </c>
    </row>
    <row r="3403" spans="1:3" x14ac:dyDescent="0.2">
      <c r="A3403" s="1">
        <v>41122</v>
      </c>
      <c r="B3403">
        <v>118.5</v>
      </c>
      <c r="C3403" s="2">
        <f t="shared" si="54"/>
        <v>4.2283361095211049E-3</v>
      </c>
    </row>
    <row r="3404" spans="1:3" x14ac:dyDescent="0.2">
      <c r="A3404" s="1">
        <v>41121</v>
      </c>
      <c r="B3404">
        <v>118</v>
      </c>
      <c r="C3404" s="2">
        <f t="shared" si="54"/>
        <v>-1.2631746905900574E-2</v>
      </c>
    </row>
    <row r="3405" spans="1:3" x14ac:dyDescent="0.2">
      <c r="A3405" s="1">
        <v>41120</v>
      </c>
      <c r="B3405">
        <v>119.5</v>
      </c>
      <c r="C3405" s="2">
        <f t="shared" si="54"/>
        <v>0</v>
      </c>
    </row>
    <row r="3406" spans="1:3" x14ac:dyDescent="0.2">
      <c r="A3406" s="1">
        <v>41117</v>
      </c>
      <c r="B3406">
        <v>119.5</v>
      </c>
      <c r="C3406" s="2">
        <f t="shared" si="54"/>
        <v>2.0288100767893742E-2</v>
      </c>
    </row>
    <row r="3407" spans="1:3" x14ac:dyDescent="0.2">
      <c r="A3407" s="1">
        <v>41116</v>
      </c>
      <c r="B3407">
        <v>117.1</v>
      </c>
      <c r="C3407" s="2">
        <f t="shared" si="54"/>
        <v>2.0708246468346535E-2</v>
      </c>
    </row>
    <row r="3408" spans="1:3" x14ac:dyDescent="0.2">
      <c r="A3408" s="1">
        <v>41115</v>
      </c>
      <c r="B3408">
        <v>114.7</v>
      </c>
      <c r="C3408" s="2">
        <f t="shared" si="54"/>
        <v>0</v>
      </c>
    </row>
    <row r="3409" spans="1:3" x14ac:dyDescent="0.2">
      <c r="A3409" s="1">
        <v>41114</v>
      </c>
      <c r="B3409">
        <v>114.7</v>
      </c>
      <c r="C3409" s="2">
        <f t="shared" si="54"/>
        <v>2.6189451896273517E-3</v>
      </c>
    </row>
    <row r="3410" spans="1:3" x14ac:dyDescent="0.2">
      <c r="A3410" s="1">
        <v>41113</v>
      </c>
      <c r="B3410">
        <v>114.4</v>
      </c>
      <c r="C3410" s="2">
        <f t="shared" si="54"/>
        <v>-2.5033676713732158E-2</v>
      </c>
    </row>
    <row r="3411" spans="1:3" x14ac:dyDescent="0.2">
      <c r="A3411" s="1">
        <v>41110</v>
      </c>
      <c r="B3411">
        <v>117.3</v>
      </c>
      <c r="C3411" s="2">
        <f t="shared" si="54"/>
        <v>-1.102173090419533E-2</v>
      </c>
    </row>
    <row r="3412" spans="1:3" x14ac:dyDescent="0.2">
      <c r="A3412" s="1">
        <v>41109</v>
      </c>
      <c r="B3412">
        <v>118.6</v>
      </c>
      <c r="C3412" s="2">
        <f t="shared" si="54"/>
        <v>2.648595660177689E-2</v>
      </c>
    </row>
    <row r="3413" spans="1:3" x14ac:dyDescent="0.2">
      <c r="A3413" s="1">
        <v>41108</v>
      </c>
      <c r="B3413">
        <v>115.5</v>
      </c>
      <c r="C3413" s="2">
        <f t="shared" si="54"/>
        <v>-7.762005335489301E-3</v>
      </c>
    </row>
    <row r="3414" spans="1:3" x14ac:dyDescent="0.2">
      <c r="A3414" s="1">
        <v>41107</v>
      </c>
      <c r="B3414">
        <v>116.4</v>
      </c>
      <c r="C3414" s="2">
        <f t="shared" si="54"/>
        <v>-4.1234280652666905E-2</v>
      </c>
    </row>
    <row r="3415" spans="1:3" x14ac:dyDescent="0.2">
      <c r="A3415" s="1">
        <v>41106</v>
      </c>
      <c r="B3415">
        <v>121.3</v>
      </c>
      <c r="C3415" s="2">
        <f t="shared" si="54"/>
        <v>7.4472830752836394E-3</v>
      </c>
    </row>
    <row r="3416" spans="1:3" x14ac:dyDescent="0.2">
      <c r="A3416" s="1">
        <v>41103</v>
      </c>
      <c r="B3416">
        <v>120.4</v>
      </c>
      <c r="C3416" s="2">
        <f t="shared" si="54"/>
        <v>2.0134908409056025E-2</v>
      </c>
    </row>
    <row r="3417" spans="1:3" x14ac:dyDescent="0.2">
      <c r="A3417" s="1">
        <v>41102</v>
      </c>
      <c r="B3417">
        <v>118</v>
      </c>
      <c r="C3417" s="2">
        <f t="shared" si="54"/>
        <v>-1.2631746905900574E-2</v>
      </c>
    </row>
    <row r="3418" spans="1:3" x14ac:dyDescent="0.2">
      <c r="A3418" s="1">
        <v>41101</v>
      </c>
      <c r="B3418">
        <v>119.5</v>
      </c>
      <c r="C3418" s="2">
        <f t="shared" si="54"/>
        <v>-1.9884665115660508E-2</v>
      </c>
    </row>
    <row r="3419" spans="1:3" x14ac:dyDescent="0.2">
      <c r="A3419" s="1">
        <v>41100</v>
      </c>
      <c r="B3419">
        <v>121.9</v>
      </c>
      <c r="C3419" s="2">
        <f t="shared" si="54"/>
        <v>1.3212413506592779E-2</v>
      </c>
    </row>
    <row r="3420" spans="1:3" x14ac:dyDescent="0.2">
      <c r="A3420" s="1">
        <v>41099</v>
      </c>
      <c r="B3420">
        <v>120.3</v>
      </c>
      <c r="C3420" s="2">
        <f t="shared" si="54"/>
        <v>-9.1022556447647625E-3</v>
      </c>
    </row>
    <row r="3421" spans="1:3" x14ac:dyDescent="0.2">
      <c r="A3421" s="1">
        <v>41096</v>
      </c>
      <c r="B3421">
        <v>121.4</v>
      </c>
      <c r="C3421" s="2">
        <f t="shared" si="54"/>
        <v>-1.7150277442633914E-2</v>
      </c>
    </row>
    <row r="3422" spans="1:3" x14ac:dyDescent="0.2">
      <c r="A3422" s="1">
        <v>41095</v>
      </c>
      <c r="B3422">
        <v>123.5</v>
      </c>
      <c r="C3422" s="2">
        <f t="shared" si="54"/>
        <v>3.2441228776240246E-3</v>
      </c>
    </row>
    <row r="3423" spans="1:3" x14ac:dyDescent="0.2">
      <c r="A3423" s="1">
        <v>41094</v>
      </c>
      <c r="B3423">
        <v>123.1</v>
      </c>
      <c r="C3423" s="2">
        <f t="shared" si="54"/>
        <v>1.1438033196926376E-2</v>
      </c>
    </row>
    <row r="3424" spans="1:3" x14ac:dyDescent="0.2">
      <c r="A3424" s="1">
        <v>41093</v>
      </c>
      <c r="B3424">
        <v>121.7</v>
      </c>
      <c r="C3424" s="2">
        <f t="shared" si="54"/>
        <v>2.0756245362232088E-2</v>
      </c>
    </row>
    <row r="3425" spans="1:3" x14ac:dyDescent="0.2">
      <c r="A3425" s="1">
        <v>41092</v>
      </c>
      <c r="B3425">
        <v>119.2</v>
      </c>
      <c r="C3425" s="2">
        <f t="shared" si="54"/>
        <v>8.4246496592516231E-3</v>
      </c>
    </row>
    <row r="3426" spans="1:3" x14ac:dyDescent="0.2">
      <c r="A3426" s="1">
        <v>41089</v>
      </c>
      <c r="B3426">
        <v>118.2</v>
      </c>
      <c r="C3426" s="2">
        <f t="shared" si="54"/>
        <v>4.1456713678346128E-2</v>
      </c>
    </row>
    <row r="3427" spans="1:3" x14ac:dyDescent="0.2">
      <c r="A3427" s="1">
        <v>41088</v>
      </c>
      <c r="B3427">
        <v>113.4</v>
      </c>
      <c r="C3427" s="2">
        <f t="shared" si="54"/>
        <v>-1.6616035981361615E-2</v>
      </c>
    </row>
    <row r="3428" spans="1:3" x14ac:dyDescent="0.2">
      <c r="A3428" s="1">
        <v>41087</v>
      </c>
      <c r="B3428">
        <v>115.3</v>
      </c>
      <c r="C3428" s="2">
        <f t="shared" si="54"/>
        <v>6.9626042807188872E-3</v>
      </c>
    </row>
    <row r="3429" spans="1:3" x14ac:dyDescent="0.2">
      <c r="A3429" s="1">
        <v>41086</v>
      </c>
      <c r="B3429">
        <v>114.5</v>
      </c>
      <c r="C3429" s="2">
        <f t="shared" si="54"/>
        <v>-6.0949252674965875E-3</v>
      </c>
    </row>
    <row r="3430" spans="1:3" x14ac:dyDescent="0.2">
      <c r="A3430" s="1">
        <v>41085</v>
      </c>
      <c r="B3430">
        <v>115.2</v>
      </c>
      <c r="C3430" s="2">
        <f t="shared" si="54"/>
        <v>-3.5809452696710889E-2</v>
      </c>
    </row>
    <row r="3431" spans="1:3" x14ac:dyDescent="0.2">
      <c r="A3431" s="1">
        <v>41081</v>
      </c>
      <c r="B3431">
        <v>119.4</v>
      </c>
      <c r="C3431" s="2">
        <f t="shared" si="54"/>
        <v>-1.6736405580295372E-3</v>
      </c>
    </row>
    <row r="3432" spans="1:3" x14ac:dyDescent="0.2">
      <c r="A3432" s="1">
        <v>41080</v>
      </c>
      <c r="B3432">
        <v>119.6</v>
      </c>
      <c r="C3432" s="2">
        <f t="shared" si="54"/>
        <v>1.3468217050866611E-2</v>
      </c>
    </row>
    <row r="3433" spans="1:3" x14ac:dyDescent="0.2">
      <c r="A3433" s="1">
        <v>41079</v>
      </c>
      <c r="B3433">
        <v>118</v>
      </c>
      <c r="C3433" s="2">
        <f t="shared" si="54"/>
        <v>1.4511564941046141E-2</v>
      </c>
    </row>
    <row r="3434" spans="1:3" x14ac:dyDescent="0.2">
      <c r="A3434" s="1">
        <v>41078</v>
      </c>
      <c r="B3434">
        <v>116.3</v>
      </c>
      <c r="C3434" s="2">
        <f t="shared" si="54"/>
        <v>0</v>
      </c>
    </row>
    <row r="3435" spans="1:3" x14ac:dyDescent="0.2">
      <c r="A3435" s="1">
        <v>41075</v>
      </c>
      <c r="B3435">
        <v>116.3</v>
      </c>
      <c r="C3435" s="2">
        <f t="shared" si="54"/>
        <v>9.5033112628279248E-3</v>
      </c>
    </row>
    <row r="3436" spans="1:3" x14ac:dyDescent="0.2">
      <c r="A3436" s="1">
        <v>41074</v>
      </c>
      <c r="B3436">
        <v>115.2</v>
      </c>
      <c r="C3436" s="2">
        <f t="shared" si="54"/>
        <v>-3.4662079764861725E-3</v>
      </c>
    </row>
    <row r="3437" spans="1:3" x14ac:dyDescent="0.2">
      <c r="A3437" s="1">
        <v>41073</v>
      </c>
      <c r="B3437">
        <v>115.6</v>
      </c>
      <c r="C3437" s="2">
        <f t="shared" si="54"/>
        <v>-2.646334537734538E-2</v>
      </c>
    </row>
    <row r="3438" spans="1:3" x14ac:dyDescent="0.2">
      <c r="A3438" s="1">
        <v>41072</v>
      </c>
      <c r="B3438">
        <v>118.7</v>
      </c>
      <c r="C3438" s="2">
        <f t="shared" si="54"/>
        <v>8.4281505199737127E-4</v>
      </c>
    </row>
    <row r="3439" spans="1:3" x14ac:dyDescent="0.2">
      <c r="A3439" s="1">
        <v>41071</v>
      </c>
      <c r="B3439">
        <v>118.6</v>
      </c>
      <c r="C3439" s="2">
        <f t="shared" si="54"/>
        <v>5.0718620979603489E-3</v>
      </c>
    </row>
    <row r="3440" spans="1:3" x14ac:dyDescent="0.2">
      <c r="A3440" s="1">
        <v>41068</v>
      </c>
      <c r="B3440">
        <v>118</v>
      </c>
      <c r="C3440" s="2">
        <f t="shared" si="54"/>
        <v>-1.5139061215684153E-2</v>
      </c>
    </row>
    <row r="3441" spans="1:3" x14ac:dyDescent="0.2">
      <c r="A3441" s="1">
        <v>41067</v>
      </c>
      <c r="B3441">
        <v>119.8</v>
      </c>
      <c r="C3441" s="2">
        <f t="shared" si="54"/>
        <v>3.4823051481717972E-2</v>
      </c>
    </row>
    <row r="3442" spans="1:3" x14ac:dyDescent="0.2">
      <c r="A3442" s="1">
        <v>41065</v>
      </c>
      <c r="B3442">
        <v>115.7</v>
      </c>
      <c r="C3442" s="2">
        <f t="shared" si="54"/>
        <v>1.3049336977721059E-2</v>
      </c>
    </row>
    <row r="3443" spans="1:3" x14ac:dyDescent="0.2">
      <c r="A3443" s="1">
        <v>41064</v>
      </c>
      <c r="B3443">
        <v>114.2</v>
      </c>
      <c r="C3443" s="2">
        <f t="shared" si="54"/>
        <v>-1.7361547195900971E-2</v>
      </c>
    </row>
    <row r="3444" spans="1:3" x14ac:dyDescent="0.2">
      <c r="A3444" s="1">
        <v>41061</v>
      </c>
      <c r="B3444">
        <v>116.2</v>
      </c>
      <c r="C3444" s="2">
        <f t="shared" si="54"/>
        <v>-2.9675768146116666E-2</v>
      </c>
    </row>
    <row r="3445" spans="1:3" x14ac:dyDescent="0.2">
      <c r="A3445" s="1">
        <v>41060</v>
      </c>
      <c r="B3445">
        <v>119.7</v>
      </c>
      <c r="C3445" s="2">
        <f t="shared" si="54"/>
        <v>-2.4753739152938291E-2</v>
      </c>
    </row>
    <row r="3446" spans="1:3" x14ac:dyDescent="0.2">
      <c r="A3446" s="1">
        <v>41059</v>
      </c>
      <c r="B3446">
        <v>122.7</v>
      </c>
      <c r="C3446" s="2">
        <f t="shared" si="54"/>
        <v>-1.2955646799799584E-2</v>
      </c>
    </row>
    <row r="3447" spans="1:3" x14ac:dyDescent="0.2">
      <c r="A3447" s="1">
        <v>41058</v>
      </c>
      <c r="B3447">
        <v>124.3</v>
      </c>
      <c r="C3447" s="2">
        <f t="shared" si="54"/>
        <v>2.3607119891267469E-2</v>
      </c>
    </row>
    <row r="3448" spans="1:3" x14ac:dyDescent="0.2">
      <c r="A3448" s="1">
        <v>41057</v>
      </c>
      <c r="B3448">
        <v>121.4</v>
      </c>
      <c r="C3448" s="2">
        <f t="shared" si="54"/>
        <v>1.0766149539460092E-2</v>
      </c>
    </row>
    <row r="3449" spans="1:3" x14ac:dyDescent="0.2">
      <c r="A3449" s="1">
        <v>41054</v>
      </c>
      <c r="B3449">
        <v>120.1</v>
      </c>
      <c r="C3449" s="2">
        <f t="shared" si="54"/>
        <v>-1.6515652030721164E-2</v>
      </c>
    </row>
    <row r="3450" spans="1:3" x14ac:dyDescent="0.2">
      <c r="A3450" s="1">
        <v>41053</v>
      </c>
      <c r="B3450">
        <v>122.1</v>
      </c>
    </row>
    <row r="3451" spans="1:3" x14ac:dyDescent="0.2">
      <c r="A3451" s="1">
        <v>41052</v>
      </c>
      <c r="B3451">
        <v>120.5</v>
      </c>
      <c r="C3451" s="2">
        <f t="shared" si="54"/>
        <v>-4.3043591335630502E-2</v>
      </c>
    </row>
    <row r="3452" spans="1:3" x14ac:dyDescent="0.2">
      <c r="A3452" s="1">
        <v>41051</v>
      </c>
      <c r="B3452">
        <v>125.8</v>
      </c>
      <c r="C3452" s="2">
        <f t="shared" si="54"/>
        <v>1.0387628361577797E-2</v>
      </c>
    </row>
    <row r="3453" spans="1:3" x14ac:dyDescent="0.2">
      <c r="A3453" s="1">
        <v>41050</v>
      </c>
      <c r="B3453">
        <v>124.5</v>
      </c>
      <c r="C3453" s="2">
        <f t="shared" si="54"/>
        <v>2.1104679417536326E-2</v>
      </c>
    </row>
    <row r="3454" spans="1:3" x14ac:dyDescent="0.2">
      <c r="A3454" s="1">
        <v>41047</v>
      </c>
      <c r="B3454">
        <v>121.9</v>
      </c>
      <c r="C3454" s="2">
        <f t="shared" si="54"/>
        <v>-3.387420648364791E-2</v>
      </c>
    </row>
    <row r="3455" spans="1:3" x14ac:dyDescent="0.2">
      <c r="A3455" s="1">
        <v>41045</v>
      </c>
      <c r="B3455">
        <v>126.1</v>
      </c>
      <c r="C3455" s="2">
        <f t="shared" si="54"/>
        <v>-7.1118434877174754E-3</v>
      </c>
    </row>
    <row r="3456" spans="1:3" x14ac:dyDescent="0.2">
      <c r="A3456" s="1">
        <v>41044</v>
      </c>
      <c r="B3456">
        <v>127</v>
      </c>
      <c r="C3456" s="2">
        <f t="shared" si="54"/>
        <v>-1.7948199319220572E-2</v>
      </c>
    </row>
    <row r="3457" spans="1:3" x14ac:dyDescent="0.2">
      <c r="A3457" s="1">
        <v>41043</v>
      </c>
      <c r="B3457">
        <v>129.30000000000001</v>
      </c>
      <c r="C3457" s="2">
        <f t="shared" si="54"/>
        <v>-2.6708951264521677E-2</v>
      </c>
    </row>
    <row r="3458" spans="1:3" x14ac:dyDescent="0.2">
      <c r="A3458" s="1">
        <v>41040</v>
      </c>
      <c r="B3458">
        <v>132.80000000000001</v>
      </c>
      <c r="C3458" s="2">
        <f t="shared" si="54"/>
        <v>6.0423144559626617E-3</v>
      </c>
    </row>
    <row r="3459" spans="1:3" x14ac:dyDescent="0.2">
      <c r="A3459" s="1">
        <v>41039</v>
      </c>
      <c r="B3459">
        <v>132</v>
      </c>
      <c r="C3459" s="2">
        <f t="shared" ref="C3459:C3522" si="55">+LN(B3459/B3460)</f>
        <v>1.8349138668196617E-2</v>
      </c>
    </row>
    <row r="3460" spans="1:3" x14ac:dyDescent="0.2">
      <c r="A3460" s="1">
        <v>41038</v>
      </c>
      <c r="B3460">
        <v>129.6</v>
      </c>
      <c r="C3460" s="2">
        <f t="shared" si="55"/>
        <v>-7.6864329241564059E-3</v>
      </c>
    </row>
    <row r="3461" spans="1:3" x14ac:dyDescent="0.2">
      <c r="A3461" s="1">
        <v>41037</v>
      </c>
      <c r="B3461">
        <v>130.6</v>
      </c>
      <c r="C3461" s="2">
        <f t="shared" si="55"/>
        <v>-1.8209911379423169E-2</v>
      </c>
    </row>
    <row r="3462" spans="1:3" x14ac:dyDescent="0.2">
      <c r="A3462" s="1">
        <v>41036</v>
      </c>
      <c r="B3462">
        <v>133</v>
      </c>
      <c r="C3462" s="2">
        <f t="shared" si="55"/>
        <v>-3.0030052597696567E-3</v>
      </c>
    </row>
    <row r="3463" spans="1:3" x14ac:dyDescent="0.2">
      <c r="A3463" s="1">
        <v>41033</v>
      </c>
      <c r="B3463">
        <v>133.4</v>
      </c>
      <c r="C3463" s="2">
        <f t="shared" si="55"/>
        <v>-2.0037776175897009E-2</v>
      </c>
    </row>
    <row r="3464" spans="1:3" x14ac:dyDescent="0.2">
      <c r="A3464" s="1">
        <v>41032</v>
      </c>
      <c r="B3464">
        <v>136.1</v>
      </c>
      <c r="C3464" s="2">
        <f t="shared" si="55"/>
        <v>1.9288431817116172E-2</v>
      </c>
    </row>
    <row r="3465" spans="1:3" x14ac:dyDescent="0.2">
      <c r="A3465" s="1">
        <v>41031</v>
      </c>
      <c r="B3465">
        <v>133.5</v>
      </c>
      <c r="C3465" s="2">
        <f t="shared" si="55"/>
        <v>-3.7383221106071039E-3</v>
      </c>
    </row>
    <row r="3466" spans="1:3" x14ac:dyDescent="0.2">
      <c r="A3466" s="1">
        <v>41029</v>
      </c>
      <c r="B3466">
        <v>134</v>
      </c>
      <c r="C3466" s="2">
        <f t="shared" si="55"/>
        <v>-4.4676172597160448E-3</v>
      </c>
    </row>
    <row r="3467" spans="1:3" x14ac:dyDescent="0.2">
      <c r="A3467" s="1">
        <v>41026</v>
      </c>
      <c r="B3467">
        <v>134.6</v>
      </c>
      <c r="C3467" s="2">
        <f t="shared" si="55"/>
        <v>1.6479773707719404E-2</v>
      </c>
    </row>
    <row r="3468" spans="1:3" x14ac:dyDescent="0.2">
      <c r="A3468" s="1">
        <v>41025</v>
      </c>
      <c r="B3468">
        <v>132.4</v>
      </c>
      <c r="C3468" s="2">
        <f t="shared" si="55"/>
        <v>-1.1265609194219017E-2</v>
      </c>
    </row>
    <row r="3469" spans="1:3" x14ac:dyDescent="0.2">
      <c r="A3469" s="1">
        <v>41024</v>
      </c>
      <c r="B3469">
        <v>133.9</v>
      </c>
      <c r="C3469" s="2">
        <f t="shared" si="55"/>
        <v>2.0370376187138311E-2</v>
      </c>
    </row>
    <row r="3470" spans="1:3" x14ac:dyDescent="0.2">
      <c r="A3470" s="1">
        <v>41023</v>
      </c>
      <c r="B3470">
        <v>131.19999999999999</v>
      </c>
      <c r="C3470" s="2">
        <f t="shared" si="55"/>
        <v>-2.0370376187138276E-2</v>
      </c>
    </row>
    <row r="3471" spans="1:3" x14ac:dyDescent="0.2">
      <c r="A3471" s="1">
        <v>41022</v>
      </c>
      <c r="B3471">
        <v>133.9</v>
      </c>
      <c r="C3471" s="2">
        <f t="shared" si="55"/>
        <v>-6.993840391699685E-2</v>
      </c>
    </row>
    <row r="3472" spans="1:3" x14ac:dyDescent="0.2">
      <c r="A3472" s="1">
        <v>41019</v>
      </c>
      <c r="B3472">
        <v>143.6</v>
      </c>
      <c r="C3472" s="2">
        <f t="shared" si="55"/>
        <v>1.5438903151651409E-2</v>
      </c>
    </row>
    <row r="3473" spans="1:3" x14ac:dyDescent="0.2">
      <c r="A3473" s="1">
        <v>41018</v>
      </c>
      <c r="B3473">
        <v>141.4</v>
      </c>
      <c r="C3473" s="2">
        <f t="shared" si="55"/>
        <v>7.0972618707616847E-3</v>
      </c>
    </row>
    <row r="3474" spans="1:3" x14ac:dyDescent="0.2">
      <c r="A3474" s="1">
        <v>41017</v>
      </c>
      <c r="B3474">
        <v>140.4</v>
      </c>
      <c r="C3474" s="2">
        <f t="shared" si="55"/>
        <v>-1.0627092574286238E-2</v>
      </c>
    </row>
    <row r="3475" spans="1:3" x14ac:dyDescent="0.2">
      <c r="A3475" s="1">
        <v>41016</v>
      </c>
      <c r="B3475">
        <v>141.9</v>
      </c>
      <c r="C3475" s="2">
        <f t="shared" si="55"/>
        <v>1.6341393837725007E-2</v>
      </c>
    </row>
    <row r="3476" spans="1:3" x14ac:dyDescent="0.2">
      <c r="A3476" s="1">
        <v>41015</v>
      </c>
      <c r="B3476">
        <v>139.6</v>
      </c>
      <c r="C3476" s="2">
        <f t="shared" si="55"/>
        <v>1.9530458033868874E-2</v>
      </c>
    </row>
    <row r="3477" spans="1:3" x14ac:dyDescent="0.2">
      <c r="A3477" s="1">
        <v>41012</v>
      </c>
      <c r="B3477">
        <v>136.9</v>
      </c>
      <c r="C3477" s="2">
        <f t="shared" si="55"/>
        <v>-1.6661015605915899E-2</v>
      </c>
    </row>
    <row r="3478" spans="1:3" x14ac:dyDescent="0.2">
      <c r="A3478" s="1">
        <v>41011</v>
      </c>
      <c r="B3478">
        <v>139.19999999999999</v>
      </c>
      <c r="C3478" s="2">
        <f t="shared" si="55"/>
        <v>2.9896502934166021E-2</v>
      </c>
    </row>
    <row r="3479" spans="1:3" x14ac:dyDescent="0.2">
      <c r="A3479" s="1">
        <v>41010</v>
      </c>
      <c r="B3479">
        <v>135.1</v>
      </c>
      <c r="C3479" s="2">
        <f t="shared" si="55"/>
        <v>7.4046652772369196E-4</v>
      </c>
    </row>
    <row r="3480" spans="1:3" x14ac:dyDescent="0.2">
      <c r="A3480" s="1">
        <v>41009</v>
      </c>
      <c r="B3480">
        <v>135</v>
      </c>
      <c r="C3480" s="2">
        <f t="shared" si="55"/>
        <v>-7.3801072976225337E-3</v>
      </c>
    </row>
    <row r="3481" spans="1:3" x14ac:dyDescent="0.2">
      <c r="A3481" s="1">
        <v>41004</v>
      </c>
      <c r="B3481">
        <v>136</v>
      </c>
      <c r="C3481" s="2">
        <f t="shared" si="55"/>
        <v>-2.9368596733097135E-3</v>
      </c>
    </row>
    <row r="3482" spans="1:3" x14ac:dyDescent="0.2">
      <c r="A3482" s="1">
        <v>41003</v>
      </c>
      <c r="B3482">
        <v>136.4</v>
      </c>
      <c r="C3482" s="2">
        <f t="shared" si="55"/>
        <v>-1.7442302663342485E-2</v>
      </c>
    </row>
    <row r="3483" spans="1:3" x14ac:dyDescent="0.2">
      <c r="A3483" s="1">
        <v>41002</v>
      </c>
      <c r="B3483">
        <v>138.80000000000001</v>
      </c>
      <c r="C3483" s="2">
        <f t="shared" si="55"/>
        <v>-1.4398850579875322E-3</v>
      </c>
    </row>
    <row r="3484" spans="1:3" x14ac:dyDescent="0.2">
      <c r="A3484" s="1">
        <v>41001</v>
      </c>
      <c r="B3484">
        <v>139</v>
      </c>
      <c r="C3484" s="2">
        <f t="shared" si="55"/>
        <v>2.1084023473271329E-2</v>
      </c>
    </row>
    <row r="3485" spans="1:3" x14ac:dyDescent="0.2">
      <c r="A3485" s="1">
        <v>40998</v>
      </c>
      <c r="B3485">
        <v>136.1</v>
      </c>
      <c r="C3485" s="2">
        <f t="shared" si="55"/>
        <v>3.8192586456268829E-2</v>
      </c>
    </row>
    <row r="3486" spans="1:3" x14ac:dyDescent="0.2">
      <c r="A3486" s="1">
        <v>40997</v>
      </c>
      <c r="B3486">
        <v>131</v>
      </c>
      <c r="C3486" s="2">
        <f t="shared" si="55"/>
        <v>-1.8904154639152723E-2</v>
      </c>
    </row>
    <row r="3487" spans="1:3" x14ac:dyDescent="0.2">
      <c r="A3487" s="1">
        <v>40996</v>
      </c>
      <c r="B3487">
        <v>133.5</v>
      </c>
      <c r="C3487" s="2">
        <f t="shared" si="55"/>
        <v>-1.1173300598125189E-2</v>
      </c>
    </row>
    <row r="3488" spans="1:3" x14ac:dyDescent="0.2">
      <c r="A3488" s="1">
        <v>40995</v>
      </c>
      <c r="B3488">
        <v>135</v>
      </c>
      <c r="C3488" s="2">
        <f t="shared" si="55"/>
        <v>-1.1049836186584935E-2</v>
      </c>
    </row>
    <row r="3489" spans="1:3" x14ac:dyDescent="0.2">
      <c r="A3489" s="1">
        <v>40994</v>
      </c>
      <c r="B3489">
        <v>136.5</v>
      </c>
      <c r="C3489" s="2">
        <f t="shared" si="55"/>
        <v>1.9231361927887592E-2</v>
      </c>
    </row>
    <row r="3490" spans="1:3" x14ac:dyDescent="0.2">
      <c r="A3490" s="1">
        <v>40991</v>
      </c>
      <c r="B3490">
        <v>133.9</v>
      </c>
      <c r="C3490" s="2">
        <f t="shared" si="55"/>
        <v>6.7441244753731729E-3</v>
      </c>
    </row>
    <row r="3491" spans="1:3" x14ac:dyDescent="0.2">
      <c r="A3491" s="1">
        <v>40990</v>
      </c>
      <c r="B3491">
        <v>133</v>
      </c>
      <c r="C3491" s="2">
        <f t="shared" si="55"/>
        <v>-2.3040781435666575E-2</v>
      </c>
    </row>
    <row r="3492" spans="1:3" x14ac:dyDescent="0.2">
      <c r="A3492" s="1">
        <v>40989</v>
      </c>
      <c r="B3492">
        <v>136.1</v>
      </c>
      <c r="C3492" s="2">
        <f t="shared" si="55"/>
        <v>-7.3206769108482821E-3</v>
      </c>
    </row>
    <row r="3493" spans="1:3" x14ac:dyDescent="0.2">
      <c r="A3493" s="1">
        <v>40988</v>
      </c>
      <c r="B3493">
        <v>137.1</v>
      </c>
      <c r="C3493" s="2">
        <f t="shared" si="55"/>
        <v>-1.6636911758154897E-2</v>
      </c>
    </row>
    <row r="3494" spans="1:3" x14ac:dyDescent="0.2">
      <c r="A3494" s="1">
        <v>40987</v>
      </c>
      <c r="B3494">
        <v>139.4</v>
      </c>
      <c r="C3494" s="2">
        <f t="shared" si="55"/>
        <v>-4.2949242828807287E-3</v>
      </c>
    </row>
    <row r="3495" spans="1:3" x14ac:dyDescent="0.2">
      <c r="A3495" s="1">
        <v>40984</v>
      </c>
      <c r="B3495">
        <v>140</v>
      </c>
      <c r="C3495" s="2">
        <f t="shared" si="55"/>
        <v>-2.8530689824065106E-3</v>
      </c>
    </row>
    <row r="3496" spans="1:3" x14ac:dyDescent="0.2">
      <c r="A3496" s="1">
        <v>40983</v>
      </c>
      <c r="B3496">
        <v>140.4</v>
      </c>
      <c r="C3496" s="2">
        <f t="shared" si="55"/>
        <v>2.8170876966696439E-2</v>
      </c>
    </row>
    <row r="3497" spans="1:3" x14ac:dyDescent="0.2">
      <c r="A3497" s="1">
        <v>40982</v>
      </c>
      <c r="B3497">
        <v>136.5</v>
      </c>
      <c r="C3497" s="2">
        <f t="shared" si="55"/>
        <v>5.1413995004186523E-3</v>
      </c>
    </row>
    <row r="3498" spans="1:3" x14ac:dyDescent="0.2">
      <c r="A3498" s="1">
        <v>40981</v>
      </c>
      <c r="B3498">
        <v>135.80000000000001</v>
      </c>
      <c r="C3498" s="2">
        <f t="shared" si="55"/>
        <v>9.6190160827020529E-3</v>
      </c>
    </row>
    <row r="3499" spans="1:3" x14ac:dyDescent="0.2">
      <c r="A3499" s="1">
        <v>40980</v>
      </c>
      <c r="B3499">
        <v>134.5</v>
      </c>
      <c r="C3499" s="2">
        <f t="shared" si="55"/>
        <v>2.2329745043123913E-3</v>
      </c>
    </row>
    <row r="3500" spans="1:3" x14ac:dyDescent="0.2">
      <c r="A3500" s="1">
        <v>40977</v>
      </c>
      <c r="B3500">
        <v>134.19999999999999</v>
      </c>
      <c r="C3500" s="2">
        <f t="shared" si="55"/>
        <v>-1.4892035514678568E-3</v>
      </c>
    </row>
    <row r="3501" spans="1:3" x14ac:dyDescent="0.2">
      <c r="A3501" s="1">
        <v>40976</v>
      </c>
      <c r="B3501">
        <v>134.4</v>
      </c>
      <c r="C3501" s="2">
        <f t="shared" si="55"/>
        <v>2.9447201326301055E-2</v>
      </c>
    </row>
    <row r="3502" spans="1:3" x14ac:dyDescent="0.2">
      <c r="A3502" s="1">
        <v>40975</v>
      </c>
      <c r="B3502">
        <v>130.5</v>
      </c>
      <c r="C3502" s="2">
        <f t="shared" si="55"/>
        <v>6.1491354403500533E-3</v>
      </c>
    </row>
    <row r="3503" spans="1:3" x14ac:dyDescent="0.2">
      <c r="A3503" s="1">
        <v>40974</v>
      </c>
      <c r="B3503">
        <v>129.69999999999999</v>
      </c>
      <c r="C3503" s="2">
        <f t="shared" si="55"/>
        <v>-2.8128042159125292E-2</v>
      </c>
    </row>
    <row r="3504" spans="1:3" x14ac:dyDescent="0.2">
      <c r="A3504" s="1">
        <v>40973</v>
      </c>
      <c r="B3504">
        <v>133.4</v>
      </c>
      <c r="C3504" s="2">
        <f t="shared" si="55"/>
        <v>-9.6979499347948223E-3</v>
      </c>
    </row>
    <row r="3505" spans="1:3" x14ac:dyDescent="0.2">
      <c r="A3505" s="1">
        <v>40970</v>
      </c>
      <c r="B3505">
        <v>134.69999999999999</v>
      </c>
      <c r="C3505" s="2">
        <f t="shared" si="55"/>
        <v>-5.1832770618564583E-3</v>
      </c>
    </row>
    <row r="3506" spans="1:3" x14ac:dyDescent="0.2">
      <c r="A3506" s="1">
        <v>40969</v>
      </c>
      <c r="B3506">
        <v>135.4</v>
      </c>
      <c r="C3506" s="2">
        <f t="shared" si="55"/>
        <v>-3.6859606789233904E-3</v>
      </c>
    </row>
    <row r="3507" spans="1:3" x14ac:dyDescent="0.2">
      <c r="A3507" s="1">
        <v>40968</v>
      </c>
      <c r="B3507">
        <v>135.9</v>
      </c>
      <c r="C3507" s="2">
        <f t="shared" si="55"/>
        <v>1.1098893068048765E-2</v>
      </c>
    </row>
    <row r="3508" spans="1:3" x14ac:dyDescent="0.2">
      <c r="A3508" s="1">
        <v>40967</v>
      </c>
      <c r="B3508">
        <v>134.4</v>
      </c>
      <c r="C3508" s="2">
        <f t="shared" si="55"/>
        <v>7.4682946075257444E-3</v>
      </c>
    </row>
    <row r="3509" spans="1:3" x14ac:dyDescent="0.2">
      <c r="A3509" s="1">
        <v>40966</v>
      </c>
      <c r="B3509">
        <v>133.4</v>
      </c>
      <c r="C3509" s="2">
        <f t="shared" si="55"/>
        <v>-1.4142401695219008E-2</v>
      </c>
    </row>
    <row r="3510" spans="1:3" x14ac:dyDescent="0.2">
      <c r="A3510" s="1">
        <v>40963</v>
      </c>
      <c r="B3510">
        <v>135.30000000000001</v>
      </c>
    </row>
    <row r="3511" spans="1:3" x14ac:dyDescent="0.2">
      <c r="A3511" s="1">
        <v>40962</v>
      </c>
      <c r="B3511">
        <v>134.30000000000001</v>
      </c>
      <c r="C3511" s="2">
        <f t="shared" si="55"/>
        <v>1.490313241559221E-3</v>
      </c>
    </row>
    <row r="3512" spans="1:3" x14ac:dyDescent="0.2">
      <c r="A3512" s="1">
        <v>40961</v>
      </c>
      <c r="B3512">
        <v>134.1</v>
      </c>
      <c r="C3512" s="2">
        <f t="shared" si="55"/>
        <v>-2.2346378014163771E-3</v>
      </c>
    </row>
    <row r="3513" spans="1:3" x14ac:dyDescent="0.2">
      <c r="A3513" s="1">
        <v>40960</v>
      </c>
      <c r="B3513">
        <v>134.4</v>
      </c>
      <c r="C3513" s="2">
        <f t="shared" si="55"/>
        <v>-1.1834457647002796E-2</v>
      </c>
    </row>
    <row r="3514" spans="1:3" x14ac:dyDescent="0.2">
      <c r="A3514" s="1">
        <v>40959</v>
      </c>
      <c r="B3514">
        <v>136</v>
      </c>
      <c r="C3514" s="2">
        <f t="shared" si="55"/>
        <v>1.0347468525424543E-2</v>
      </c>
    </row>
    <row r="3515" spans="1:3" x14ac:dyDescent="0.2">
      <c r="A3515" s="1">
        <v>40956</v>
      </c>
      <c r="B3515">
        <v>134.6</v>
      </c>
      <c r="C3515" s="2">
        <f t="shared" si="55"/>
        <v>-2.2263460030828462E-3</v>
      </c>
    </row>
    <row r="3516" spans="1:3" x14ac:dyDescent="0.2">
      <c r="A3516" s="1">
        <v>40955</v>
      </c>
      <c r="B3516">
        <v>134.9</v>
      </c>
      <c r="C3516" s="2">
        <f t="shared" si="55"/>
        <v>5.2025386761289554E-3</v>
      </c>
    </row>
    <row r="3517" spans="1:3" x14ac:dyDescent="0.2">
      <c r="A3517" s="1">
        <v>40954</v>
      </c>
      <c r="B3517">
        <v>134.19999999999999</v>
      </c>
      <c r="C3517" s="2">
        <f t="shared" si="55"/>
        <v>2.3370833767927295E-2</v>
      </c>
    </row>
    <row r="3518" spans="1:3" x14ac:dyDescent="0.2">
      <c r="A3518" s="1">
        <v>40953</v>
      </c>
      <c r="B3518">
        <v>131.1</v>
      </c>
      <c r="C3518" s="2">
        <f t="shared" si="55"/>
        <v>-1.5243905390965001E-3</v>
      </c>
    </row>
    <row r="3519" spans="1:3" x14ac:dyDescent="0.2">
      <c r="A3519" s="1">
        <v>40952</v>
      </c>
      <c r="B3519">
        <v>131.30000000000001</v>
      </c>
      <c r="C3519" s="2">
        <f t="shared" si="55"/>
        <v>-7.6132474175955099E-4</v>
      </c>
    </row>
    <row r="3520" spans="1:3" x14ac:dyDescent="0.2">
      <c r="A3520" s="1">
        <v>40949</v>
      </c>
      <c r="B3520">
        <v>131.4</v>
      </c>
      <c r="C3520" s="2">
        <f t="shared" si="55"/>
        <v>-3.039516017896704E-3</v>
      </c>
    </row>
    <row r="3521" spans="1:3" x14ac:dyDescent="0.2">
      <c r="A3521" s="1">
        <v>40948</v>
      </c>
      <c r="B3521">
        <v>131.80000000000001</v>
      </c>
      <c r="C3521" s="2">
        <f t="shared" si="55"/>
        <v>-6.0514556833551553E-3</v>
      </c>
    </row>
    <row r="3522" spans="1:3" x14ac:dyDescent="0.2">
      <c r="A3522" s="1">
        <v>40947</v>
      </c>
      <c r="B3522">
        <v>132.6</v>
      </c>
      <c r="C3522" s="2">
        <f t="shared" si="55"/>
        <v>-2.2372297754533099E-2</v>
      </c>
    </row>
    <row r="3523" spans="1:3" x14ac:dyDescent="0.2">
      <c r="A3523" s="1">
        <v>40946</v>
      </c>
      <c r="B3523">
        <v>135.6</v>
      </c>
      <c r="C3523" s="2">
        <f t="shared" ref="C3523:C3586" si="56">+LN(B3523/B3524)</f>
        <v>-7.3897246202041286E-2</v>
      </c>
    </row>
    <row r="3524" spans="1:3" x14ac:dyDescent="0.2">
      <c r="A3524" s="1">
        <v>40945</v>
      </c>
      <c r="B3524">
        <v>146</v>
      </c>
      <c r="C3524" s="2">
        <f t="shared" si="56"/>
        <v>-2.7359798188747488E-3</v>
      </c>
    </row>
    <row r="3525" spans="1:3" x14ac:dyDescent="0.2">
      <c r="A3525" s="1">
        <v>40942</v>
      </c>
      <c r="B3525">
        <v>146.4</v>
      </c>
      <c r="C3525" s="2">
        <f t="shared" si="56"/>
        <v>1.4448135747386051E-2</v>
      </c>
    </row>
    <row r="3526" spans="1:3" x14ac:dyDescent="0.2">
      <c r="A3526" s="1">
        <v>40941</v>
      </c>
      <c r="B3526">
        <v>144.30000000000001</v>
      </c>
      <c r="C3526" s="2">
        <f t="shared" si="56"/>
        <v>6.9541309456990809E-3</v>
      </c>
    </row>
    <row r="3527" spans="1:3" x14ac:dyDescent="0.2">
      <c r="A3527" s="1">
        <v>40940</v>
      </c>
      <c r="B3527">
        <v>143.30000000000001</v>
      </c>
      <c r="C3527" s="2">
        <f t="shared" si="56"/>
        <v>2.8310454048366209E-2</v>
      </c>
    </row>
    <row r="3528" spans="1:3" x14ac:dyDescent="0.2">
      <c r="A3528" s="1">
        <v>40939</v>
      </c>
      <c r="B3528">
        <v>139.30000000000001</v>
      </c>
      <c r="C3528" s="2">
        <f t="shared" si="56"/>
        <v>1.0826522206201894E-2</v>
      </c>
    </row>
    <row r="3529" spans="1:3" x14ac:dyDescent="0.2">
      <c r="A3529" s="1">
        <v>40938</v>
      </c>
      <c r="B3529">
        <v>137.80000000000001</v>
      </c>
      <c r="C3529" s="2">
        <f t="shared" si="56"/>
        <v>-2.3665500279210053E-2</v>
      </c>
    </row>
    <row r="3530" spans="1:3" x14ac:dyDescent="0.2">
      <c r="A3530" s="1">
        <v>40935</v>
      </c>
      <c r="B3530">
        <v>141.1</v>
      </c>
      <c r="C3530" s="2">
        <f t="shared" si="56"/>
        <v>2.838894738425093E-3</v>
      </c>
    </row>
    <row r="3531" spans="1:3" x14ac:dyDescent="0.2">
      <c r="A3531" s="1">
        <v>40934</v>
      </c>
      <c r="B3531">
        <v>140.69999999999999</v>
      </c>
      <c r="C3531" s="2">
        <f t="shared" si="56"/>
        <v>1.5037877364540502E-2</v>
      </c>
    </row>
    <row r="3532" spans="1:3" x14ac:dyDescent="0.2">
      <c r="A3532" s="1">
        <v>40933</v>
      </c>
      <c r="B3532">
        <v>138.6</v>
      </c>
      <c r="C3532" s="2">
        <f t="shared" si="56"/>
        <v>1.600034134644112E-2</v>
      </c>
    </row>
    <row r="3533" spans="1:3" x14ac:dyDescent="0.2">
      <c r="A3533" s="1">
        <v>40932</v>
      </c>
      <c r="B3533">
        <v>136.4</v>
      </c>
      <c r="C3533" s="2">
        <f t="shared" si="56"/>
        <v>-1.3110165924207639E-2</v>
      </c>
    </row>
    <row r="3534" spans="1:3" x14ac:dyDescent="0.2">
      <c r="A3534" s="1">
        <v>40931</v>
      </c>
      <c r="B3534">
        <v>138.19999999999999</v>
      </c>
      <c r="C3534" s="2">
        <f t="shared" si="56"/>
        <v>2.8985527540112575E-3</v>
      </c>
    </row>
    <row r="3535" spans="1:3" x14ac:dyDescent="0.2">
      <c r="A3535" s="1">
        <v>40928</v>
      </c>
      <c r="B3535">
        <v>137.80000000000001</v>
      </c>
      <c r="C3535" s="2">
        <f t="shared" si="56"/>
        <v>-1.7266616020931304E-2</v>
      </c>
    </row>
    <row r="3536" spans="1:3" x14ac:dyDescent="0.2">
      <c r="A3536" s="1">
        <v>40927</v>
      </c>
      <c r="B3536">
        <v>140.19999999999999</v>
      </c>
      <c r="C3536" s="2">
        <f t="shared" si="56"/>
        <v>-7.1301250792566123E-4</v>
      </c>
    </row>
    <row r="3537" spans="1:3" x14ac:dyDescent="0.2">
      <c r="A3537" s="1">
        <v>40926</v>
      </c>
      <c r="B3537">
        <v>140.30000000000001</v>
      </c>
      <c r="C3537" s="2">
        <f t="shared" si="56"/>
        <v>7.8712392080960772E-3</v>
      </c>
    </row>
    <row r="3538" spans="1:3" x14ac:dyDescent="0.2">
      <c r="A3538" s="1">
        <v>40925</v>
      </c>
      <c r="B3538">
        <v>139.19999999999999</v>
      </c>
      <c r="C3538" s="2">
        <f t="shared" si="56"/>
        <v>1.5930822072194272E-2</v>
      </c>
    </row>
    <row r="3539" spans="1:3" x14ac:dyDescent="0.2">
      <c r="A3539" s="1">
        <v>40924</v>
      </c>
      <c r="B3539">
        <v>137</v>
      </c>
      <c r="C3539" s="2">
        <f t="shared" si="56"/>
        <v>-5.822432751433365E-3</v>
      </c>
    </row>
    <row r="3540" spans="1:3" x14ac:dyDescent="0.2">
      <c r="A3540" s="1">
        <v>40921</v>
      </c>
      <c r="B3540">
        <v>137.80000000000001</v>
      </c>
      <c r="C3540" s="2">
        <f t="shared" si="56"/>
        <v>6.5526262851549836E-3</v>
      </c>
    </row>
    <row r="3541" spans="1:3" x14ac:dyDescent="0.2">
      <c r="A3541" s="1">
        <v>40920</v>
      </c>
      <c r="B3541">
        <v>136.9</v>
      </c>
      <c r="C3541" s="2">
        <f t="shared" si="56"/>
        <v>1.1017371816228584E-2</v>
      </c>
    </row>
    <row r="3542" spans="1:3" x14ac:dyDescent="0.2">
      <c r="A3542" s="1">
        <v>40919</v>
      </c>
      <c r="B3542">
        <v>135.4</v>
      </c>
      <c r="C3542" s="2">
        <f t="shared" si="56"/>
        <v>7.3882530143225722E-4</v>
      </c>
    </row>
    <row r="3543" spans="1:3" x14ac:dyDescent="0.2">
      <c r="A3543" s="1">
        <v>40918</v>
      </c>
      <c r="B3543">
        <v>135.30000000000001</v>
      </c>
      <c r="C3543" s="2">
        <f t="shared" si="56"/>
        <v>2.4692612590371633E-2</v>
      </c>
    </row>
    <row r="3544" spans="1:3" x14ac:dyDescent="0.2">
      <c r="A3544" s="1">
        <v>40917</v>
      </c>
      <c r="B3544">
        <v>132</v>
      </c>
      <c r="C3544" s="2">
        <f t="shared" si="56"/>
        <v>-2.2701485345391855E-3</v>
      </c>
    </row>
    <row r="3545" spans="1:3" x14ac:dyDescent="0.2">
      <c r="A3545" s="1">
        <v>40913</v>
      </c>
      <c r="B3545">
        <v>132.30000000000001</v>
      </c>
      <c r="C3545" s="2">
        <f t="shared" si="56"/>
        <v>0</v>
      </c>
    </row>
    <row r="3546" spans="1:3" x14ac:dyDescent="0.2">
      <c r="A3546" s="1">
        <v>40912</v>
      </c>
      <c r="B3546">
        <v>132.30000000000001</v>
      </c>
      <c r="C3546" s="2">
        <f t="shared" si="56"/>
        <v>-5.2770571008436693E-3</v>
      </c>
    </row>
    <row r="3547" spans="1:3" x14ac:dyDescent="0.2">
      <c r="A3547" s="1">
        <v>40911</v>
      </c>
      <c r="B3547">
        <v>133</v>
      </c>
      <c r="C3547" s="2">
        <f t="shared" si="56"/>
        <v>1.7444507591577639E-2</v>
      </c>
    </row>
    <row r="3548" spans="1:3" x14ac:dyDescent="0.2">
      <c r="A3548" s="1">
        <v>40910</v>
      </c>
      <c r="B3548">
        <v>130.69999999999999</v>
      </c>
      <c r="C3548" s="2">
        <f t="shared" si="56"/>
        <v>2.2979711376235057E-3</v>
      </c>
    </row>
    <row r="3549" spans="1:3" x14ac:dyDescent="0.2">
      <c r="A3549" s="1">
        <v>40907</v>
      </c>
      <c r="B3549">
        <v>130.4</v>
      </c>
      <c r="C3549" s="2">
        <f t="shared" si="56"/>
        <v>6.9257683529602571E-3</v>
      </c>
    </row>
    <row r="3550" spans="1:3" x14ac:dyDescent="0.2">
      <c r="A3550" s="1">
        <v>40906</v>
      </c>
      <c r="B3550">
        <v>129.5</v>
      </c>
      <c r="C3550" s="2">
        <f t="shared" si="56"/>
        <v>2.0281506419250493E-2</v>
      </c>
    </row>
    <row r="3551" spans="1:3" x14ac:dyDescent="0.2">
      <c r="A3551" s="1">
        <v>40905</v>
      </c>
      <c r="B3551">
        <v>126.9</v>
      </c>
      <c r="C3551" s="2">
        <f t="shared" si="56"/>
        <v>2.3668650102662441E-3</v>
      </c>
    </row>
    <row r="3552" spans="1:3" x14ac:dyDescent="0.2">
      <c r="A3552" s="1">
        <v>40904</v>
      </c>
      <c r="B3552">
        <v>126.6</v>
      </c>
      <c r="C3552" s="2">
        <f t="shared" si="56"/>
        <v>-7.0838548884050436E-3</v>
      </c>
    </row>
    <row r="3553" spans="1:3" x14ac:dyDescent="0.2">
      <c r="A3553" s="1">
        <v>40900</v>
      </c>
      <c r="B3553">
        <v>127.5</v>
      </c>
      <c r="C3553" s="2">
        <f t="shared" si="56"/>
        <v>4.7169898781388667E-3</v>
      </c>
    </row>
    <row r="3554" spans="1:3" x14ac:dyDescent="0.2">
      <c r="A3554" s="1">
        <v>40899</v>
      </c>
      <c r="B3554">
        <v>126.9</v>
      </c>
      <c r="C3554" s="2">
        <f t="shared" si="56"/>
        <v>7.1174677688639549E-3</v>
      </c>
    </row>
    <row r="3555" spans="1:3" x14ac:dyDescent="0.2">
      <c r="A3555" s="1">
        <v>40898</v>
      </c>
      <c r="B3555">
        <v>126</v>
      </c>
      <c r="C3555" s="2">
        <f t="shared" si="56"/>
        <v>-6.3291350516475123E-3</v>
      </c>
    </row>
    <row r="3556" spans="1:3" x14ac:dyDescent="0.2">
      <c r="A3556" s="1">
        <v>40897</v>
      </c>
      <c r="B3556">
        <v>126.8</v>
      </c>
      <c r="C3556" s="2">
        <f t="shared" si="56"/>
        <v>3.1240025431136288E-2</v>
      </c>
    </row>
    <row r="3557" spans="1:3" x14ac:dyDescent="0.2">
      <c r="A3557" s="1">
        <v>40896</v>
      </c>
      <c r="B3557">
        <v>122.9</v>
      </c>
      <c r="C3557" s="2">
        <f t="shared" si="56"/>
        <v>-9.7166756385723158E-3</v>
      </c>
    </row>
    <row r="3558" spans="1:3" x14ac:dyDescent="0.2">
      <c r="A3558" s="1">
        <v>40893</v>
      </c>
      <c r="B3558">
        <v>124.1</v>
      </c>
      <c r="C3558" s="2">
        <f t="shared" si="56"/>
        <v>0</v>
      </c>
    </row>
    <row r="3559" spans="1:3" x14ac:dyDescent="0.2">
      <c r="A3559" s="1">
        <v>40892</v>
      </c>
      <c r="B3559">
        <v>124.1</v>
      </c>
      <c r="C3559" s="2">
        <f t="shared" si="56"/>
        <v>3.2284128121191787E-3</v>
      </c>
    </row>
    <row r="3560" spans="1:3" x14ac:dyDescent="0.2">
      <c r="A3560" s="1">
        <v>40891</v>
      </c>
      <c r="B3560">
        <v>123.7</v>
      </c>
      <c r="C3560" s="2">
        <f t="shared" si="56"/>
        <v>-4.5821601741150179E-2</v>
      </c>
    </row>
    <row r="3561" spans="1:3" x14ac:dyDescent="0.2">
      <c r="A3561" s="1">
        <v>40890</v>
      </c>
      <c r="B3561">
        <v>129.5</v>
      </c>
      <c r="C3561" s="2">
        <f t="shared" si="56"/>
        <v>2.1858793812499017E-2</v>
      </c>
    </row>
    <row r="3562" spans="1:3" x14ac:dyDescent="0.2">
      <c r="A3562" s="1">
        <v>40889</v>
      </c>
      <c r="B3562">
        <v>126.7</v>
      </c>
      <c r="C3562" s="2">
        <f t="shared" si="56"/>
        <v>-3.1082533303082808E-2</v>
      </c>
    </row>
    <row r="3563" spans="1:3" x14ac:dyDescent="0.2">
      <c r="A3563" s="1">
        <v>40886</v>
      </c>
      <c r="B3563">
        <v>130.69999999999999</v>
      </c>
      <c r="C3563" s="2">
        <f t="shared" si="56"/>
        <v>2.6358115066815412E-2</v>
      </c>
    </row>
    <row r="3564" spans="1:3" x14ac:dyDescent="0.2">
      <c r="A3564" s="1">
        <v>40885</v>
      </c>
      <c r="B3564">
        <v>127.3</v>
      </c>
      <c r="C3564" s="2">
        <f t="shared" si="56"/>
        <v>-2.7122933459737573E-2</v>
      </c>
    </row>
    <row r="3565" spans="1:3" x14ac:dyDescent="0.2">
      <c r="A3565" s="1">
        <v>40884</v>
      </c>
      <c r="B3565">
        <v>130.80000000000001</v>
      </c>
      <c r="C3565" s="2">
        <f t="shared" si="56"/>
        <v>5.3660535046388264E-3</v>
      </c>
    </row>
    <row r="3566" spans="1:3" x14ac:dyDescent="0.2">
      <c r="A3566" s="1">
        <v>40883</v>
      </c>
      <c r="B3566">
        <v>130.1</v>
      </c>
      <c r="C3566" s="2">
        <f t="shared" si="56"/>
        <v>-7.6570052511945423E-3</v>
      </c>
    </row>
    <row r="3567" spans="1:3" x14ac:dyDescent="0.2">
      <c r="A3567" s="1">
        <v>40882</v>
      </c>
      <c r="B3567">
        <v>131.1</v>
      </c>
      <c r="C3567" s="2">
        <f t="shared" si="56"/>
        <v>4.5871640069059198E-3</v>
      </c>
    </row>
    <row r="3568" spans="1:3" x14ac:dyDescent="0.2">
      <c r="A3568" s="1">
        <v>40879</v>
      </c>
      <c r="B3568">
        <v>130.5</v>
      </c>
      <c r="C3568" s="2">
        <f t="shared" si="56"/>
        <v>9.2379409849361396E-3</v>
      </c>
    </row>
    <row r="3569" spans="1:3" x14ac:dyDescent="0.2">
      <c r="A3569" s="1">
        <v>40878</v>
      </c>
      <c r="B3569">
        <v>129.30000000000001</v>
      </c>
      <c r="C3569" s="2">
        <f t="shared" si="56"/>
        <v>-3.8595184921778043E-3</v>
      </c>
    </row>
    <row r="3570" spans="1:3" x14ac:dyDescent="0.2">
      <c r="A3570" s="1">
        <v>40877</v>
      </c>
      <c r="B3570">
        <v>129.80000000000001</v>
      </c>
      <c r="C3570" s="2">
        <f t="shared" si="56"/>
        <v>6.0335757532494788E-2</v>
      </c>
    </row>
    <row r="3571" spans="1:3" x14ac:dyDescent="0.2">
      <c r="A3571" s="1">
        <v>40876</v>
      </c>
      <c r="B3571">
        <v>122.2</v>
      </c>
      <c r="C3571" s="2">
        <f t="shared" si="56"/>
        <v>1.6380020042383698E-3</v>
      </c>
    </row>
    <row r="3572" spans="1:3" x14ac:dyDescent="0.2">
      <c r="A3572" s="1">
        <v>40875</v>
      </c>
      <c r="B3572">
        <v>122</v>
      </c>
      <c r="C3572" s="2">
        <f t="shared" si="56"/>
        <v>4.3557974339129939E-2</v>
      </c>
    </row>
    <row r="3573" spans="1:3" x14ac:dyDescent="0.2">
      <c r="A3573" s="1">
        <v>40872</v>
      </c>
      <c r="B3573">
        <v>116.8</v>
      </c>
      <c r="C3573" s="2">
        <f t="shared" si="56"/>
        <v>1.0327114155849524E-2</v>
      </c>
    </row>
    <row r="3574" spans="1:3" x14ac:dyDescent="0.2">
      <c r="A3574" s="1">
        <v>40871</v>
      </c>
      <c r="B3574">
        <v>115.6</v>
      </c>
      <c r="C3574" s="2">
        <f t="shared" si="56"/>
        <v>1.0434877292579494E-2</v>
      </c>
    </row>
    <row r="3575" spans="1:3" x14ac:dyDescent="0.2">
      <c r="A3575" s="1">
        <v>40870</v>
      </c>
      <c r="B3575">
        <v>114.4</v>
      </c>
    </row>
    <row r="3576" spans="1:3" x14ac:dyDescent="0.2">
      <c r="A3576" s="1">
        <v>40869</v>
      </c>
      <c r="B3576">
        <v>117.2</v>
      </c>
      <c r="C3576" s="2">
        <f t="shared" si="56"/>
        <v>-2.5564564413014372E-3</v>
      </c>
    </row>
    <row r="3577" spans="1:3" x14ac:dyDescent="0.2">
      <c r="A3577" s="1">
        <v>40868</v>
      </c>
      <c r="B3577">
        <v>117.5</v>
      </c>
      <c r="C3577" s="2">
        <f t="shared" si="56"/>
        <v>-5.0612211439376685E-2</v>
      </c>
    </row>
    <row r="3578" spans="1:3" x14ac:dyDescent="0.2">
      <c r="A3578" s="1">
        <v>40865</v>
      </c>
      <c r="B3578">
        <v>123.6</v>
      </c>
      <c r="C3578" s="2">
        <f t="shared" si="56"/>
        <v>2.4301348532916691E-3</v>
      </c>
    </row>
    <row r="3579" spans="1:3" x14ac:dyDescent="0.2">
      <c r="A3579" s="1">
        <v>40864</v>
      </c>
      <c r="B3579">
        <v>123.3</v>
      </c>
      <c r="C3579" s="2">
        <f t="shared" si="56"/>
        <v>-1.1290442515692181E-2</v>
      </c>
    </row>
    <row r="3580" spans="1:3" x14ac:dyDescent="0.2">
      <c r="A3580" s="1">
        <v>40863</v>
      </c>
      <c r="B3580">
        <v>124.7</v>
      </c>
      <c r="C3580" s="2">
        <f t="shared" si="56"/>
        <v>1.1290442515692212E-2</v>
      </c>
    </row>
    <row r="3581" spans="1:3" x14ac:dyDescent="0.2">
      <c r="A3581" s="1">
        <v>40862</v>
      </c>
      <c r="B3581">
        <v>123.3</v>
      </c>
      <c r="C3581" s="2">
        <f t="shared" si="56"/>
        <v>-1.6207458977332435E-3</v>
      </c>
    </row>
    <row r="3582" spans="1:3" x14ac:dyDescent="0.2">
      <c r="A3582" s="1">
        <v>40861</v>
      </c>
      <c r="B3582">
        <v>123.5</v>
      </c>
      <c r="C3582" s="2">
        <f t="shared" si="56"/>
        <v>-1.0471299867295366E-2</v>
      </c>
    </row>
    <row r="3583" spans="1:3" x14ac:dyDescent="0.2">
      <c r="A3583" s="1">
        <v>40858</v>
      </c>
      <c r="B3583">
        <v>124.8</v>
      </c>
      <c r="C3583" s="2">
        <f t="shared" si="56"/>
        <v>3.174869831458027E-2</v>
      </c>
    </row>
    <row r="3584" spans="1:3" x14ac:dyDescent="0.2">
      <c r="A3584" s="1">
        <v>40857</v>
      </c>
      <c r="B3584">
        <v>120.9</v>
      </c>
      <c r="C3584" s="2">
        <f t="shared" si="56"/>
        <v>4.1442247460262704E-3</v>
      </c>
    </row>
    <row r="3585" spans="1:3" x14ac:dyDescent="0.2">
      <c r="A3585" s="1">
        <v>40856</v>
      </c>
      <c r="B3585">
        <v>120.4</v>
      </c>
      <c r="C3585" s="2">
        <f t="shared" si="56"/>
        <v>-2.7039746523721521E-2</v>
      </c>
    </row>
    <row r="3586" spans="1:3" x14ac:dyDescent="0.2">
      <c r="A3586" s="1">
        <v>40855</v>
      </c>
      <c r="B3586">
        <v>123.7</v>
      </c>
      <c r="C3586" s="2">
        <f t="shared" si="56"/>
        <v>1.4658242911216448E-2</v>
      </c>
    </row>
    <row r="3587" spans="1:3" x14ac:dyDescent="0.2">
      <c r="A3587" s="1">
        <v>40854</v>
      </c>
      <c r="B3587">
        <v>121.9</v>
      </c>
      <c r="C3587" s="2">
        <f t="shared" ref="C3587:C3650" si="57">+LN(B3587/B3588)</f>
        <v>-8.1699800847633008E-3</v>
      </c>
    </row>
    <row r="3588" spans="1:3" x14ac:dyDescent="0.2">
      <c r="A3588" s="1">
        <v>40851</v>
      </c>
      <c r="B3588">
        <v>122.9</v>
      </c>
      <c r="C3588" s="2">
        <f t="shared" si="57"/>
        <v>-2.4380345274302873E-3</v>
      </c>
    </row>
    <row r="3589" spans="1:3" x14ac:dyDescent="0.2">
      <c r="A3589" s="1">
        <v>40850</v>
      </c>
      <c r="B3589">
        <v>123.2</v>
      </c>
      <c r="C3589" s="2">
        <f t="shared" si="57"/>
        <v>2.6317308317373358E-2</v>
      </c>
    </row>
    <row r="3590" spans="1:3" x14ac:dyDescent="0.2">
      <c r="A3590" s="1">
        <v>40849</v>
      </c>
      <c r="B3590">
        <v>120</v>
      </c>
      <c r="C3590" s="2">
        <f t="shared" si="57"/>
        <v>2.1053409197832263E-2</v>
      </c>
    </row>
    <row r="3591" spans="1:3" x14ac:dyDescent="0.2">
      <c r="A3591" s="1">
        <v>40848</v>
      </c>
      <c r="B3591">
        <v>117.5</v>
      </c>
      <c r="C3591" s="2">
        <f t="shared" si="57"/>
        <v>-3.8402047532445319E-2</v>
      </c>
    </row>
    <row r="3592" spans="1:3" x14ac:dyDescent="0.2">
      <c r="A3592" s="1">
        <v>40847</v>
      </c>
      <c r="B3592">
        <v>122.1</v>
      </c>
      <c r="C3592" s="2">
        <f t="shared" si="57"/>
        <v>-4.0920269789362793E-2</v>
      </c>
    </row>
    <row r="3593" spans="1:3" x14ac:dyDescent="0.2">
      <c r="A3593" s="1">
        <v>40844</v>
      </c>
      <c r="B3593">
        <v>127.2</v>
      </c>
      <c r="C3593" s="2">
        <f t="shared" si="57"/>
        <v>1.0272709855720185E-2</v>
      </c>
    </row>
    <row r="3594" spans="1:3" x14ac:dyDescent="0.2">
      <c r="A3594" s="1">
        <v>40843</v>
      </c>
      <c r="B3594">
        <v>125.9</v>
      </c>
      <c r="C3594" s="2">
        <f t="shared" si="57"/>
        <v>5.4685186419052165E-2</v>
      </c>
    </row>
    <row r="3595" spans="1:3" x14ac:dyDescent="0.2">
      <c r="A3595" s="1">
        <v>40842</v>
      </c>
      <c r="B3595">
        <v>119.2</v>
      </c>
      <c r="C3595" s="2">
        <f t="shared" si="57"/>
        <v>5.8897940560636141E-3</v>
      </c>
    </row>
    <row r="3596" spans="1:3" x14ac:dyDescent="0.2">
      <c r="A3596" s="1">
        <v>40841</v>
      </c>
      <c r="B3596">
        <v>118.5</v>
      </c>
      <c r="C3596" s="2">
        <f t="shared" si="57"/>
        <v>-2.0877585021555255E-2</v>
      </c>
    </row>
    <row r="3597" spans="1:3" x14ac:dyDescent="0.2">
      <c r="A3597" s="1">
        <v>40840</v>
      </c>
      <c r="B3597">
        <v>121</v>
      </c>
      <c r="C3597" s="2">
        <f t="shared" si="57"/>
        <v>3.0203638202745037E-2</v>
      </c>
    </row>
    <row r="3598" spans="1:3" x14ac:dyDescent="0.2">
      <c r="A3598" s="1">
        <v>40837</v>
      </c>
      <c r="B3598">
        <v>117.4</v>
      </c>
      <c r="C3598" s="2">
        <f t="shared" si="57"/>
        <v>2.3266883258671069E-2</v>
      </c>
    </row>
    <row r="3599" spans="1:3" x14ac:dyDescent="0.2">
      <c r="A3599" s="1">
        <v>40836</v>
      </c>
      <c r="B3599">
        <v>114.7</v>
      </c>
      <c r="C3599" s="2">
        <f t="shared" si="57"/>
        <v>-1.2992820282485818E-2</v>
      </c>
    </row>
    <row r="3600" spans="1:3" x14ac:dyDescent="0.2">
      <c r="A3600" s="1">
        <v>40835</v>
      </c>
      <c r="B3600">
        <v>116.2</v>
      </c>
      <c r="C3600" s="2">
        <f t="shared" si="57"/>
        <v>-1.7196908795265881E-3</v>
      </c>
    </row>
    <row r="3601" spans="1:3" x14ac:dyDescent="0.2">
      <c r="A3601" s="1">
        <v>40834</v>
      </c>
      <c r="B3601">
        <v>116.4</v>
      </c>
      <c r="C3601" s="2">
        <f t="shared" si="57"/>
        <v>1.9957278429307689E-2</v>
      </c>
    </row>
    <row r="3602" spans="1:3" x14ac:dyDescent="0.2">
      <c r="A3602" s="1">
        <v>40833</v>
      </c>
      <c r="B3602">
        <v>114.1</v>
      </c>
      <c r="C3602" s="2">
        <f t="shared" si="57"/>
        <v>-8.7260588598070156E-3</v>
      </c>
    </row>
    <row r="3603" spans="1:3" x14ac:dyDescent="0.2">
      <c r="A3603" s="1">
        <v>40830</v>
      </c>
      <c r="B3603">
        <v>115.1</v>
      </c>
      <c r="C3603" s="2">
        <f t="shared" si="57"/>
        <v>7.85001850592708E-3</v>
      </c>
    </row>
    <row r="3604" spans="1:3" x14ac:dyDescent="0.2">
      <c r="A3604" s="1">
        <v>40829</v>
      </c>
      <c r="B3604">
        <v>114.2</v>
      </c>
      <c r="C3604" s="2">
        <f t="shared" si="57"/>
        <v>-1.1319232739938317E-2</v>
      </c>
    </row>
    <row r="3605" spans="1:3" x14ac:dyDescent="0.2">
      <c r="A3605" s="1">
        <v>40828</v>
      </c>
      <c r="B3605">
        <v>115.5</v>
      </c>
      <c r="C3605" s="2">
        <f t="shared" si="57"/>
        <v>2.542881425625837E-2</v>
      </c>
    </row>
    <row r="3606" spans="1:3" x14ac:dyDescent="0.2">
      <c r="A3606" s="1">
        <v>40827</v>
      </c>
      <c r="B3606">
        <v>112.6</v>
      </c>
      <c r="C3606" s="2">
        <f t="shared" si="57"/>
        <v>-6.1974523283706614E-3</v>
      </c>
    </row>
    <row r="3607" spans="1:3" x14ac:dyDescent="0.2">
      <c r="A3607" s="1">
        <v>40826</v>
      </c>
      <c r="B3607">
        <v>113.3</v>
      </c>
      <c r="C3607" s="2">
        <f t="shared" si="57"/>
        <v>3.9609138095045668E-2</v>
      </c>
    </row>
    <row r="3608" spans="1:3" x14ac:dyDescent="0.2">
      <c r="A3608" s="1">
        <v>40823</v>
      </c>
      <c r="B3608">
        <v>108.9</v>
      </c>
      <c r="C3608" s="2">
        <f t="shared" si="57"/>
        <v>-8.2304991365153672E-3</v>
      </c>
    </row>
    <row r="3609" spans="1:3" x14ac:dyDescent="0.2">
      <c r="A3609" s="1">
        <v>40822</v>
      </c>
      <c r="B3609">
        <v>109.8</v>
      </c>
      <c r="C3609" s="2">
        <f t="shared" si="57"/>
        <v>3.7110009651231173E-2</v>
      </c>
    </row>
    <row r="3610" spans="1:3" x14ac:dyDescent="0.2">
      <c r="A3610" s="1">
        <v>40821</v>
      </c>
      <c r="B3610">
        <v>105.8</v>
      </c>
      <c r="C3610" s="2">
        <f t="shared" si="57"/>
        <v>2.779287658419493E-2</v>
      </c>
    </row>
    <row r="3611" spans="1:3" x14ac:dyDescent="0.2">
      <c r="A3611" s="1">
        <v>40820</v>
      </c>
      <c r="B3611">
        <v>102.9</v>
      </c>
      <c r="C3611" s="2">
        <f t="shared" si="57"/>
        <v>-5.6672387098910863E-2</v>
      </c>
    </row>
    <row r="3612" spans="1:3" x14ac:dyDescent="0.2">
      <c r="A3612" s="1">
        <v>40819</v>
      </c>
      <c r="B3612">
        <v>108.9</v>
      </c>
      <c r="C3612" s="2">
        <f t="shared" si="57"/>
        <v>-2.7510333718898708E-3</v>
      </c>
    </row>
    <row r="3613" spans="1:3" x14ac:dyDescent="0.2">
      <c r="A3613" s="1">
        <v>40816</v>
      </c>
      <c r="B3613">
        <v>109.2</v>
      </c>
      <c r="C3613" s="2">
        <f t="shared" si="57"/>
        <v>-4.2139807142331835E-2</v>
      </c>
    </row>
    <row r="3614" spans="1:3" x14ac:dyDescent="0.2">
      <c r="A3614" s="1">
        <v>40815</v>
      </c>
      <c r="B3614">
        <v>113.9</v>
      </c>
      <c r="C3614" s="2">
        <f t="shared" si="57"/>
        <v>2.309161217163749E-2</v>
      </c>
    </row>
    <row r="3615" spans="1:3" x14ac:dyDescent="0.2">
      <c r="A3615" s="1">
        <v>40814</v>
      </c>
      <c r="B3615">
        <v>111.3</v>
      </c>
      <c r="C3615" s="2">
        <f t="shared" si="57"/>
        <v>-3.2702870081750934E-2</v>
      </c>
    </row>
    <row r="3616" spans="1:3" x14ac:dyDescent="0.2">
      <c r="A3616" s="1">
        <v>40813</v>
      </c>
      <c r="B3616">
        <v>115</v>
      </c>
      <c r="C3616" s="2">
        <f t="shared" si="57"/>
        <v>6.55825442009072E-2</v>
      </c>
    </row>
    <row r="3617" spans="1:3" x14ac:dyDescent="0.2">
      <c r="A3617" s="1">
        <v>40812</v>
      </c>
      <c r="B3617">
        <v>107.7</v>
      </c>
      <c r="C3617" s="2">
        <f t="shared" si="57"/>
        <v>-1.8552881017460925E-3</v>
      </c>
    </row>
    <row r="3618" spans="1:3" x14ac:dyDescent="0.2">
      <c r="A3618" s="1">
        <v>40809</v>
      </c>
      <c r="B3618">
        <v>107.9</v>
      </c>
      <c r="C3618" s="2">
        <f t="shared" si="57"/>
        <v>-2.0184171464545153E-2</v>
      </c>
    </row>
    <row r="3619" spans="1:3" x14ac:dyDescent="0.2">
      <c r="A3619" s="1">
        <v>40808</v>
      </c>
      <c r="B3619">
        <v>110.1</v>
      </c>
      <c r="C3619" s="2">
        <f t="shared" si="57"/>
        <v>-5.1338706617071891E-2</v>
      </c>
    </row>
    <row r="3620" spans="1:3" x14ac:dyDescent="0.2">
      <c r="A3620" s="1">
        <v>40807</v>
      </c>
      <c r="B3620">
        <v>115.9</v>
      </c>
      <c r="C3620" s="2">
        <f t="shared" si="57"/>
        <v>-1.2007005313723663E-2</v>
      </c>
    </row>
    <row r="3621" spans="1:3" x14ac:dyDescent="0.2">
      <c r="A3621" s="1">
        <v>40806</v>
      </c>
      <c r="B3621">
        <v>117.3</v>
      </c>
      <c r="C3621" s="2">
        <f t="shared" si="57"/>
        <v>3.3813364365778108E-2</v>
      </c>
    </row>
    <row r="3622" spans="1:3" x14ac:dyDescent="0.2">
      <c r="A3622" s="1">
        <v>40805</v>
      </c>
      <c r="B3622">
        <v>113.4</v>
      </c>
      <c r="C3622" s="2">
        <f t="shared" si="57"/>
        <v>-3.4665516100344407E-2</v>
      </c>
    </row>
    <row r="3623" spans="1:3" x14ac:dyDescent="0.2">
      <c r="A3623" s="1">
        <v>40802</v>
      </c>
      <c r="B3623">
        <v>117.4</v>
      </c>
      <c r="C3623" s="2">
        <f t="shared" si="57"/>
        <v>8.5215173456627293E-4</v>
      </c>
    </row>
    <row r="3624" spans="1:3" x14ac:dyDescent="0.2">
      <c r="A3624" s="1">
        <v>40801</v>
      </c>
      <c r="B3624">
        <v>117.3</v>
      </c>
      <c r="C3624" s="2">
        <f t="shared" si="57"/>
        <v>1.2870190520534956E-2</v>
      </c>
    </row>
    <row r="3625" spans="1:3" x14ac:dyDescent="0.2">
      <c r="A3625" s="1">
        <v>40800</v>
      </c>
      <c r="B3625">
        <v>115.8</v>
      </c>
      <c r="C3625" s="2">
        <f t="shared" si="57"/>
        <v>1.7422043446664415E-2</v>
      </c>
    </row>
    <row r="3626" spans="1:3" x14ac:dyDescent="0.2">
      <c r="A3626" s="1">
        <v>40799</v>
      </c>
      <c r="B3626">
        <v>113.8</v>
      </c>
      <c r="C3626" s="2">
        <f t="shared" si="57"/>
        <v>8.7912093574009267E-4</v>
      </c>
    </row>
    <row r="3627" spans="1:3" x14ac:dyDescent="0.2">
      <c r="A3627" s="1">
        <v>40798</v>
      </c>
      <c r="B3627">
        <v>113.7</v>
      </c>
      <c r="C3627" s="2">
        <f t="shared" si="57"/>
        <v>-1.1368727606759667E-2</v>
      </c>
    </row>
    <row r="3628" spans="1:3" x14ac:dyDescent="0.2">
      <c r="A3628" s="1">
        <v>40795</v>
      </c>
      <c r="B3628">
        <v>115</v>
      </c>
      <c r="C3628" s="2">
        <f t="shared" si="57"/>
        <v>-3.0824358200374921E-2</v>
      </c>
    </row>
    <row r="3629" spans="1:3" x14ac:dyDescent="0.2">
      <c r="A3629" s="1">
        <v>40794</v>
      </c>
      <c r="B3629">
        <v>118.6</v>
      </c>
      <c r="C3629" s="2">
        <f t="shared" si="57"/>
        <v>2.5327155792840609E-3</v>
      </c>
    </row>
    <row r="3630" spans="1:3" x14ac:dyDescent="0.2">
      <c r="A3630" s="1">
        <v>40793</v>
      </c>
      <c r="B3630">
        <v>118.3</v>
      </c>
      <c r="C3630" s="2">
        <f t="shared" si="57"/>
        <v>3.9660370227850648E-2</v>
      </c>
    </row>
    <row r="3631" spans="1:3" x14ac:dyDescent="0.2">
      <c r="A3631" s="1">
        <v>40792</v>
      </c>
      <c r="B3631">
        <v>113.7</v>
      </c>
      <c r="C3631" s="2">
        <f t="shared" si="57"/>
        <v>-7.884403524148759E-3</v>
      </c>
    </row>
    <row r="3632" spans="1:3" x14ac:dyDescent="0.2">
      <c r="A3632" s="1">
        <v>40791</v>
      </c>
      <c r="B3632">
        <v>114.6</v>
      </c>
      <c r="C3632" s="2">
        <f t="shared" si="57"/>
        <v>-4.6876924805298648E-2</v>
      </c>
    </row>
    <row r="3633" spans="1:3" x14ac:dyDescent="0.2">
      <c r="A3633" s="1">
        <v>40788</v>
      </c>
      <c r="B3633">
        <v>120.1</v>
      </c>
      <c r="C3633" s="2">
        <f t="shared" si="57"/>
        <v>-3.4373269430727625E-2</v>
      </c>
    </row>
    <row r="3634" spans="1:3" x14ac:dyDescent="0.2">
      <c r="A3634" s="1">
        <v>40787</v>
      </c>
      <c r="B3634">
        <v>124.3</v>
      </c>
      <c r="C3634" s="2">
        <f t="shared" si="57"/>
        <v>-1.6077173880968524E-3</v>
      </c>
    </row>
    <row r="3635" spans="1:3" x14ac:dyDescent="0.2">
      <c r="A3635" s="1">
        <v>40786</v>
      </c>
      <c r="B3635">
        <v>124.5</v>
      </c>
      <c r="C3635" s="2">
        <f t="shared" si="57"/>
        <v>2.8515170308021233E-2</v>
      </c>
    </row>
    <row r="3636" spans="1:3" x14ac:dyDescent="0.2">
      <c r="A3636" s="1">
        <v>40785</v>
      </c>
      <c r="B3636">
        <v>121</v>
      </c>
      <c r="C3636" s="2">
        <f t="shared" si="57"/>
        <v>-1.6393809775676383E-2</v>
      </c>
    </row>
    <row r="3637" spans="1:3" x14ac:dyDescent="0.2">
      <c r="A3637" s="1">
        <v>40784</v>
      </c>
      <c r="B3637">
        <v>123</v>
      </c>
      <c r="C3637" s="2">
        <f t="shared" si="57"/>
        <v>2.7195742808490082E-2</v>
      </c>
    </row>
    <row r="3638" spans="1:3" x14ac:dyDescent="0.2">
      <c r="A3638" s="1">
        <v>40781</v>
      </c>
      <c r="B3638">
        <v>119.7</v>
      </c>
      <c r="C3638" s="2">
        <f t="shared" si="57"/>
        <v>1.8550278979713924E-2</v>
      </c>
    </row>
    <row r="3639" spans="1:3" x14ac:dyDescent="0.2">
      <c r="A3639" s="1">
        <v>40780</v>
      </c>
      <c r="B3639">
        <v>117.5</v>
      </c>
      <c r="C3639" s="2">
        <f t="shared" si="57"/>
        <v>-8.4746269909722321E-3</v>
      </c>
    </row>
    <row r="3640" spans="1:3" x14ac:dyDescent="0.2">
      <c r="A3640" s="1">
        <v>40779</v>
      </c>
      <c r="B3640">
        <v>118.5</v>
      </c>
      <c r="C3640" s="2">
        <f t="shared" si="57"/>
        <v>2.9980832211935857E-2</v>
      </c>
    </row>
    <row r="3641" spans="1:3" x14ac:dyDescent="0.2">
      <c r="A3641" s="1">
        <v>40778</v>
      </c>
      <c r="B3641">
        <v>115</v>
      </c>
      <c r="C3641" s="2">
        <f t="shared" si="57"/>
        <v>4.4451762570833796E-2</v>
      </c>
    </row>
    <row r="3642" spans="1:3" x14ac:dyDescent="0.2">
      <c r="A3642" s="1">
        <v>40777</v>
      </c>
      <c r="B3642">
        <v>110</v>
      </c>
      <c r="C3642" s="2">
        <f t="shared" si="57"/>
        <v>9.1324835632724723E-3</v>
      </c>
    </row>
    <row r="3643" spans="1:3" x14ac:dyDescent="0.2">
      <c r="A3643" s="1">
        <v>40774</v>
      </c>
      <c r="B3643">
        <v>109</v>
      </c>
      <c r="C3643" s="2">
        <f t="shared" si="57"/>
        <v>-1.2762251613851293E-2</v>
      </c>
    </row>
    <row r="3644" spans="1:3" x14ac:dyDescent="0.2">
      <c r="A3644" s="1">
        <v>40773</v>
      </c>
      <c r="B3644">
        <v>110.4</v>
      </c>
      <c r="C3644" s="2">
        <f t="shared" si="57"/>
        <v>-6.2328199741218622E-2</v>
      </c>
    </row>
    <row r="3645" spans="1:3" x14ac:dyDescent="0.2">
      <c r="A3645" s="1">
        <v>40772</v>
      </c>
      <c r="B3645">
        <v>117.5</v>
      </c>
      <c r="C3645" s="2">
        <f t="shared" si="57"/>
        <v>-6.7854374001274599E-3</v>
      </c>
    </row>
    <row r="3646" spans="1:3" x14ac:dyDescent="0.2">
      <c r="A3646" s="1">
        <v>40771</v>
      </c>
      <c r="B3646">
        <v>118.3</v>
      </c>
      <c r="C3646" s="2">
        <f t="shared" si="57"/>
        <v>-1.5100958101596711E-2</v>
      </c>
    </row>
    <row r="3647" spans="1:3" x14ac:dyDescent="0.2">
      <c r="A3647" s="1">
        <v>40770</v>
      </c>
      <c r="B3647">
        <v>120.1</v>
      </c>
      <c r="C3647" s="2">
        <f t="shared" si="57"/>
        <v>1.6793005882621306E-2</v>
      </c>
    </row>
    <row r="3648" spans="1:3" x14ac:dyDescent="0.2">
      <c r="A3648" s="1">
        <v>40767</v>
      </c>
      <c r="B3648">
        <v>118.1</v>
      </c>
      <c r="C3648" s="2">
        <f t="shared" si="57"/>
        <v>8.5034525996448892E-3</v>
      </c>
    </row>
    <row r="3649" spans="1:3" x14ac:dyDescent="0.2">
      <c r="A3649" s="1">
        <v>40766</v>
      </c>
      <c r="B3649">
        <v>117.1</v>
      </c>
      <c r="C3649" s="2">
        <f t="shared" si="57"/>
        <v>4.6316709882672905E-2</v>
      </c>
    </row>
    <row r="3650" spans="1:3" x14ac:dyDescent="0.2">
      <c r="A3650" s="1">
        <v>40765</v>
      </c>
      <c r="B3650">
        <v>111.8</v>
      </c>
      <c r="C3650" s="2">
        <f t="shared" si="57"/>
        <v>-4.2894978571511526E-2</v>
      </c>
    </row>
    <row r="3651" spans="1:3" x14ac:dyDescent="0.2">
      <c r="A3651" s="1">
        <v>40764</v>
      </c>
      <c r="B3651">
        <v>116.7</v>
      </c>
      <c r="C3651" s="2">
        <f t="shared" ref="C3651:C3714" si="58">+LN(B3651/B3652)</f>
        <v>2.9567371258549753E-2</v>
      </c>
    </row>
    <row r="3652" spans="1:3" x14ac:dyDescent="0.2">
      <c r="A3652" s="1">
        <v>40763</v>
      </c>
      <c r="B3652">
        <v>113.3</v>
      </c>
      <c r="C3652" s="2">
        <f t="shared" si="58"/>
        <v>-4.487379254122522E-2</v>
      </c>
    </row>
    <row r="3653" spans="1:3" x14ac:dyDescent="0.2">
      <c r="A3653" s="1">
        <v>40760</v>
      </c>
      <c r="B3653">
        <v>118.5</v>
      </c>
      <c r="C3653" s="2">
        <f t="shared" si="58"/>
        <v>2.1322769468821244E-2</v>
      </c>
    </row>
    <row r="3654" spans="1:3" x14ac:dyDescent="0.2">
      <c r="A3654" s="1">
        <v>40759</v>
      </c>
      <c r="B3654">
        <v>116</v>
      </c>
      <c r="C3654" s="2">
        <f t="shared" si="58"/>
        <v>-5.2068855631130319E-2</v>
      </c>
    </row>
    <row r="3655" spans="1:3" x14ac:dyDescent="0.2">
      <c r="A3655" s="1">
        <v>40758</v>
      </c>
      <c r="B3655">
        <v>122.2</v>
      </c>
      <c r="C3655" s="2">
        <f t="shared" si="58"/>
        <v>-2.2654690564806151E-2</v>
      </c>
    </row>
    <row r="3656" spans="1:3" x14ac:dyDescent="0.2">
      <c r="A3656" s="1">
        <v>40757</v>
      </c>
      <c r="B3656">
        <v>125</v>
      </c>
      <c r="C3656" s="2">
        <f t="shared" si="58"/>
        <v>-2.9947076367952203E-2</v>
      </c>
    </row>
    <row r="3657" spans="1:3" x14ac:dyDescent="0.2">
      <c r="A3657" s="1">
        <v>40756</v>
      </c>
      <c r="B3657">
        <v>128.80000000000001</v>
      </c>
      <c r="C3657" s="2">
        <f t="shared" si="58"/>
        <v>-2.302480839815358E-2</v>
      </c>
    </row>
    <row r="3658" spans="1:3" x14ac:dyDescent="0.2">
      <c r="A3658" s="1">
        <v>40753</v>
      </c>
      <c r="B3658">
        <v>131.80000000000001</v>
      </c>
      <c r="C3658" s="2">
        <f t="shared" si="58"/>
        <v>2.2787704505876447E-3</v>
      </c>
    </row>
    <row r="3659" spans="1:3" x14ac:dyDescent="0.2">
      <c r="A3659" s="1">
        <v>40752</v>
      </c>
      <c r="B3659">
        <v>131.5</v>
      </c>
      <c r="C3659" s="2">
        <f t="shared" si="58"/>
        <v>-1.434528186370417E-2</v>
      </c>
    </row>
    <row r="3660" spans="1:3" x14ac:dyDescent="0.2">
      <c r="A3660" s="1">
        <v>40751</v>
      </c>
      <c r="B3660">
        <v>133.4</v>
      </c>
      <c r="C3660" s="2">
        <f t="shared" si="58"/>
        <v>-1.1922644956906033E-2</v>
      </c>
    </row>
    <row r="3661" spans="1:3" x14ac:dyDescent="0.2">
      <c r="A3661" s="1">
        <v>40750</v>
      </c>
      <c r="B3661">
        <v>135</v>
      </c>
      <c r="C3661" s="2">
        <f t="shared" si="58"/>
        <v>-1.6164936853355273E-2</v>
      </c>
    </row>
    <row r="3662" spans="1:3" x14ac:dyDescent="0.2">
      <c r="A3662" s="1">
        <v>40749</v>
      </c>
      <c r="B3662">
        <v>137.19999999999999</v>
      </c>
      <c r="C3662" s="2">
        <f t="shared" si="58"/>
        <v>-1.4566644964642667E-3</v>
      </c>
    </row>
    <row r="3663" spans="1:3" x14ac:dyDescent="0.2">
      <c r="A3663" s="1">
        <v>40746</v>
      </c>
      <c r="B3663">
        <v>137.4</v>
      </c>
      <c r="C3663" s="2">
        <f t="shared" si="58"/>
        <v>-8.695706967553821E-3</v>
      </c>
    </row>
    <row r="3664" spans="1:3" x14ac:dyDescent="0.2">
      <c r="A3664" s="1">
        <v>40745</v>
      </c>
      <c r="B3664">
        <v>138.6</v>
      </c>
      <c r="C3664" s="2">
        <f t="shared" si="58"/>
        <v>2.8901754222334236E-3</v>
      </c>
    </row>
    <row r="3665" spans="1:3" x14ac:dyDescent="0.2">
      <c r="A3665" s="1">
        <v>40744</v>
      </c>
      <c r="B3665">
        <v>138.19999999999999</v>
      </c>
      <c r="C3665" s="2">
        <f t="shared" si="58"/>
        <v>-8.6455869928541533E-3</v>
      </c>
    </row>
    <row r="3666" spans="1:3" x14ac:dyDescent="0.2">
      <c r="A3666" s="1">
        <v>40743</v>
      </c>
      <c r="B3666">
        <v>139.4</v>
      </c>
      <c r="C3666" s="2">
        <f t="shared" si="58"/>
        <v>6.2913825410569182E-2</v>
      </c>
    </row>
    <row r="3667" spans="1:3" x14ac:dyDescent="0.2">
      <c r="A3667" s="1">
        <v>40742</v>
      </c>
      <c r="B3667">
        <v>130.9</v>
      </c>
      <c r="C3667" s="2">
        <f t="shared" si="58"/>
        <v>-3.0841105522575213E-2</v>
      </c>
    </row>
    <row r="3668" spans="1:3" x14ac:dyDescent="0.2">
      <c r="A3668" s="1">
        <v>40739</v>
      </c>
      <c r="B3668">
        <v>135</v>
      </c>
      <c r="C3668" s="2">
        <f t="shared" si="58"/>
        <v>-2.9199154692262353E-2</v>
      </c>
    </row>
    <row r="3669" spans="1:3" x14ac:dyDescent="0.2">
      <c r="A3669" s="1">
        <v>40738</v>
      </c>
      <c r="B3669">
        <v>139</v>
      </c>
      <c r="C3669" s="2">
        <f t="shared" si="58"/>
        <v>-1.7825783952600573E-2</v>
      </c>
    </row>
    <row r="3670" spans="1:3" x14ac:dyDescent="0.2">
      <c r="A3670" s="1">
        <v>40737</v>
      </c>
      <c r="B3670">
        <v>141.5</v>
      </c>
      <c r="C3670" s="2">
        <f t="shared" si="58"/>
        <v>1.3518526755020355E-2</v>
      </c>
    </row>
    <row r="3671" spans="1:3" x14ac:dyDescent="0.2">
      <c r="A3671" s="1">
        <v>40736</v>
      </c>
      <c r="B3671">
        <v>139.6</v>
      </c>
      <c r="C3671" s="2">
        <f t="shared" si="58"/>
        <v>3.5880913988748475E-3</v>
      </c>
    </row>
    <row r="3672" spans="1:3" x14ac:dyDescent="0.2">
      <c r="A3672" s="1">
        <v>40735</v>
      </c>
      <c r="B3672">
        <v>139.1</v>
      </c>
      <c r="C3672" s="2">
        <f t="shared" si="58"/>
        <v>-1.5692190761084603E-2</v>
      </c>
    </row>
    <row r="3673" spans="1:3" x14ac:dyDescent="0.2">
      <c r="A3673" s="1">
        <v>40732</v>
      </c>
      <c r="B3673">
        <v>141.30000000000001</v>
      </c>
      <c r="C3673" s="2">
        <f t="shared" si="58"/>
        <v>-1.4144273928104801E-3</v>
      </c>
    </row>
    <row r="3674" spans="1:3" x14ac:dyDescent="0.2">
      <c r="A3674" s="1">
        <v>40731</v>
      </c>
      <c r="B3674">
        <v>141.5</v>
      </c>
      <c r="C3674" s="2">
        <f t="shared" si="58"/>
        <v>2.577093228403611E-2</v>
      </c>
    </row>
    <row r="3675" spans="1:3" x14ac:dyDescent="0.2">
      <c r="A3675" s="1">
        <v>40730</v>
      </c>
      <c r="B3675">
        <v>137.9</v>
      </c>
      <c r="C3675" s="2">
        <f t="shared" si="58"/>
        <v>-6.5052632734480583E-3</v>
      </c>
    </row>
    <row r="3676" spans="1:3" x14ac:dyDescent="0.2">
      <c r="A3676" s="1">
        <v>40729</v>
      </c>
      <c r="B3676">
        <v>138.80000000000001</v>
      </c>
      <c r="C3676" s="2">
        <f t="shared" si="58"/>
        <v>1.4419613169014058E-3</v>
      </c>
    </row>
    <row r="3677" spans="1:3" x14ac:dyDescent="0.2">
      <c r="A3677" s="1">
        <v>40728</v>
      </c>
      <c r="B3677">
        <v>138.6</v>
      </c>
      <c r="C3677" s="2">
        <f t="shared" si="58"/>
        <v>1.161116092767784E-2</v>
      </c>
    </row>
    <row r="3678" spans="1:3" x14ac:dyDescent="0.2">
      <c r="A3678" s="1">
        <v>40725</v>
      </c>
      <c r="B3678">
        <v>137</v>
      </c>
      <c r="C3678" s="2">
        <f t="shared" si="58"/>
        <v>5.1225871256379207E-3</v>
      </c>
    </row>
    <row r="3679" spans="1:3" x14ac:dyDescent="0.2">
      <c r="A3679" s="1">
        <v>40724</v>
      </c>
      <c r="B3679">
        <v>136.30000000000001</v>
      </c>
      <c r="C3679" s="2">
        <f t="shared" si="58"/>
        <v>1.8512191008358943E-2</v>
      </c>
    </row>
    <row r="3680" spans="1:3" x14ac:dyDescent="0.2">
      <c r="A3680" s="1">
        <v>40723</v>
      </c>
      <c r="B3680">
        <v>133.80000000000001</v>
      </c>
      <c r="C3680" s="2">
        <f t="shared" si="58"/>
        <v>2.9581224017574348E-2</v>
      </c>
    </row>
    <row r="3681" spans="1:3" x14ac:dyDescent="0.2">
      <c r="A3681" s="1">
        <v>40722</v>
      </c>
      <c r="B3681">
        <v>129.9</v>
      </c>
      <c r="C3681" s="2">
        <f t="shared" si="58"/>
        <v>1.7864552765864468E-2</v>
      </c>
    </row>
    <row r="3682" spans="1:3" x14ac:dyDescent="0.2">
      <c r="A3682" s="1">
        <v>40721</v>
      </c>
      <c r="B3682">
        <v>127.6</v>
      </c>
      <c r="C3682" s="2">
        <f t="shared" si="58"/>
        <v>2.0586633608388312E-2</v>
      </c>
    </row>
    <row r="3683" spans="1:3" x14ac:dyDescent="0.2">
      <c r="A3683" s="1">
        <v>40717</v>
      </c>
      <c r="B3683">
        <v>125</v>
      </c>
      <c r="C3683" s="2">
        <f t="shared" si="58"/>
        <v>-5.5843782939006192E-3</v>
      </c>
    </row>
    <row r="3684" spans="1:3" x14ac:dyDescent="0.2">
      <c r="A3684" s="1">
        <v>40716</v>
      </c>
      <c r="B3684">
        <v>125.7</v>
      </c>
      <c r="C3684" s="2">
        <f t="shared" si="58"/>
        <v>-1.9693428890367824E-2</v>
      </c>
    </row>
    <row r="3685" spans="1:3" x14ac:dyDescent="0.2">
      <c r="A3685" s="1">
        <v>40715</v>
      </c>
      <c r="B3685">
        <v>128.19999999999999</v>
      </c>
      <c r="C3685" s="2">
        <f t="shared" si="58"/>
        <v>2.5277807184268392E-2</v>
      </c>
    </row>
    <row r="3686" spans="1:3" x14ac:dyDescent="0.2">
      <c r="A3686" s="1">
        <v>40714</v>
      </c>
      <c r="B3686">
        <v>125</v>
      </c>
      <c r="C3686" s="2">
        <f t="shared" si="58"/>
        <v>-2.3716526617316044E-2</v>
      </c>
    </row>
    <row r="3687" spans="1:3" x14ac:dyDescent="0.2">
      <c r="A3687" s="1">
        <v>40711</v>
      </c>
      <c r="B3687">
        <v>128</v>
      </c>
      <c r="C3687" s="2">
        <f t="shared" si="58"/>
        <v>2.1319402017594517E-2</v>
      </c>
    </row>
    <row r="3688" spans="1:3" x14ac:dyDescent="0.2">
      <c r="A3688" s="1">
        <v>40710</v>
      </c>
      <c r="B3688">
        <v>125.3</v>
      </c>
      <c r="C3688" s="2">
        <f t="shared" si="58"/>
        <v>-1.5835643661338175E-2</v>
      </c>
    </row>
    <row r="3689" spans="1:3" x14ac:dyDescent="0.2">
      <c r="A3689" s="1">
        <v>40709</v>
      </c>
      <c r="B3689">
        <v>127.3</v>
      </c>
      <c r="C3689" s="2">
        <f t="shared" si="58"/>
        <v>-1.3265898798311257E-2</v>
      </c>
    </row>
    <row r="3690" spans="1:3" x14ac:dyDescent="0.2">
      <c r="A3690" s="1">
        <v>40708</v>
      </c>
      <c r="B3690">
        <v>129</v>
      </c>
      <c r="C3690" s="2">
        <f t="shared" si="58"/>
        <v>1.3265898798311271E-2</v>
      </c>
    </row>
    <row r="3691" spans="1:3" x14ac:dyDescent="0.2">
      <c r="A3691" s="1">
        <v>40707</v>
      </c>
      <c r="B3691">
        <v>127.3</v>
      </c>
      <c r="C3691" s="2">
        <f t="shared" si="58"/>
        <v>-1.867758575903726E-2</v>
      </c>
    </row>
    <row r="3692" spans="1:3" x14ac:dyDescent="0.2">
      <c r="A3692" s="1">
        <v>40704</v>
      </c>
      <c r="B3692">
        <v>129.69999999999999</v>
      </c>
      <c r="C3692" s="2">
        <f t="shared" si="58"/>
        <v>-1.9091836095187675E-2</v>
      </c>
    </row>
    <row r="3693" spans="1:3" x14ac:dyDescent="0.2">
      <c r="A3693" s="1">
        <v>40703</v>
      </c>
      <c r="B3693">
        <v>132.19999999999999</v>
      </c>
      <c r="C3693" s="2">
        <f t="shared" si="58"/>
        <v>1.2942700654837788E-2</v>
      </c>
    </row>
    <row r="3694" spans="1:3" x14ac:dyDescent="0.2">
      <c r="A3694" s="1">
        <v>40702</v>
      </c>
      <c r="B3694">
        <v>130.5</v>
      </c>
      <c r="C3694" s="2">
        <f t="shared" si="58"/>
        <v>-3.3901551675681339E-2</v>
      </c>
    </row>
    <row r="3695" spans="1:3" x14ac:dyDescent="0.2">
      <c r="A3695" s="1">
        <v>40701</v>
      </c>
      <c r="B3695">
        <v>135</v>
      </c>
      <c r="C3695" s="2">
        <f t="shared" si="58"/>
        <v>1.567781271922979E-2</v>
      </c>
    </row>
    <row r="3696" spans="1:3" x14ac:dyDescent="0.2">
      <c r="A3696" s="1">
        <v>40697</v>
      </c>
      <c r="B3696">
        <v>132.9</v>
      </c>
      <c r="C3696" s="2">
        <f t="shared" si="58"/>
        <v>-1.9374674600555905E-2</v>
      </c>
    </row>
    <row r="3697" spans="1:3" x14ac:dyDescent="0.2">
      <c r="A3697" s="1">
        <v>40695</v>
      </c>
      <c r="B3697">
        <v>135.5</v>
      </c>
      <c r="C3697" s="2">
        <f t="shared" si="58"/>
        <v>-7.3773518653958673E-4</v>
      </c>
    </row>
    <row r="3698" spans="1:3" x14ac:dyDescent="0.2">
      <c r="A3698" s="1">
        <v>40694</v>
      </c>
      <c r="B3698">
        <v>135.6</v>
      </c>
      <c r="C3698" s="2">
        <f t="shared" si="58"/>
        <v>1.3363227812166938E-2</v>
      </c>
    </row>
    <row r="3699" spans="1:3" x14ac:dyDescent="0.2">
      <c r="A3699" s="1">
        <v>40693</v>
      </c>
      <c r="B3699">
        <v>133.80000000000001</v>
      </c>
      <c r="C3699" s="2">
        <f t="shared" si="58"/>
        <v>1.3544225107757253E-2</v>
      </c>
    </row>
    <row r="3700" spans="1:3" x14ac:dyDescent="0.2">
      <c r="A3700" s="1">
        <v>40690</v>
      </c>
      <c r="B3700">
        <v>132</v>
      </c>
      <c r="C3700" s="2">
        <f t="shared" si="58"/>
        <v>7.6045993852192125E-3</v>
      </c>
    </row>
    <row r="3701" spans="1:3" x14ac:dyDescent="0.2">
      <c r="A3701" s="1">
        <v>40689</v>
      </c>
      <c r="B3701">
        <v>131</v>
      </c>
      <c r="C3701" s="2">
        <f t="shared" si="58"/>
        <v>-1.364691384118199E-2</v>
      </c>
    </row>
    <row r="3702" spans="1:3" x14ac:dyDescent="0.2">
      <c r="A3702" s="1">
        <v>40688</v>
      </c>
      <c r="B3702">
        <v>132.80000000000001</v>
      </c>
      <c r="C3702" s="2">
        <f t="shared" si="58"/>
        <v>3.0165935394257273E-3</v>
      </c>
    </row>
    <row r="3703" spans="1:3" x14ac:dyDescent="0.2">
      <c r="A3703" s="1">
        <v>40687</v>
      </c>
      <c r="B3703">
        <v>132.4</v>
      </c>
      <c r="C3703" s="2">
        <f t="shared" si="58"/>
        <v>3.0257209165371114E-3</v>
      </c>
    </row>
    <row r="3704" spans="1:3" x14ac:dyDescent="0.2">
      <c r="A3704" s="1">
        <v>40686</v>
      </c>
      <c r="B3704">
        <v>132</v>
      </c>
      <c r="C3704" s="2">
        <f t="shared" si="58"/>
        <v>-2.9117398570727211E-2</v>
      </c>
    </row>
    <row r="3705" spans="1:3" x14ac:dyDescent="0.2">
      <c r="A3705" s="1">
        <v>40683</v>
      </c>
      <c r="B3705">
        <v>135.9</v>
      </c>
      <c r="C3705" s="2">
        <f t="shared" si="58"/>
        <v>-3.672424252263694E-3</v>
      </c>
    </row>
    <row r="3706" spans="1:3" x14ac:dyDescent="0.2">
      <c r="A3706" s="1">
        <v>40682</v>
      </c>
      <c r="B3706">
        <v>136.4</v>
      </c>
      <c r="C3706" s="2">
        <f t="shared" si="58"/>
        <v>1.4771317320312503E-2</v>
      </c>
    </row>
    <row r="3707" spans="1:3" x14ac:dyDescent="0.2">
      <c r="A3707" s="1">
        <v>40681</v>
      </c>
      <c r="B3707">
        <v>134.4</v>
      </c>
      <c r="C3707" s="2">
        <f t="shared" si="58"/>
        <v>-8.8889474172459283E-3</v>
      </c>
    </row>
    <row r="3708" spans="1:3" x14ac:dyDescent="0.2">
      <c r="A3708" s="1">
        <v>40680</v>
      </c>
      <c r="B3708">
        <v>135.6</v>
      </c>
      <c r="C3708" s="2">
        <f t="shared" si="58"/>
        <v>7.377351865395941E-4</v>
      </c>
    </row>
    <row r="3709" spans="1:3" x14ac:dyDescent="0.2">
      <c r="A3709" s="1">
        <v>40679</v>
      </c>
      <c r="B3709">
        <v>135.5</v>
      </c>
      <c r="C3709" s="2">
        <f t="shared" si="58"/>
        <v>3.6968618813262026E-3</v>
      </c>
    </row>
    <row r="3710" spans="1:3" x14ac:dyDescent="0.2">
      <c r="A3710" s="1">
        <v>40676</v>
      </c>
      <c r="B3710">
        <v>135</v>
      </c>
      <c r="C3710" s="2">
        <f t="shared" si="58"/>
        <v>5.9435539008481373E-3</v>
      </c>
    </row>
    <row r="3711" spans="1:3" x14ac:dyDescent="0.2">
      <c r="A3711" s="1">
        <v>40675</v>
      </c>
      <c r="B3711">
        <v>134.19999999999999</v>
      </c>
      <c r="C3711" s="2">
        <f t="shared" si="58"/>
        <v>-7.4487899161060031E-4</v>
      </c>
    </row>
    <row r="3712" spans="1:3" x14ac:dyDescent="0.2">
      <c r="A3712" s="1">
        <v>40674</v>
      </c>
      <c r="B3712">
        <v>134.30000000000001</v>
      </c>
      <c r="C3712" s="2">
        <f t="shared" si="58"/>
        <v>8.2243454229033019E-3</v>
      </c>
    </row>
    <row r="3713" spans="1:3" x14ac:dyDescent="0.2">
      <c r="A3713" s="1">
        <v>40673</v>
      </c>
      <c r="B3713">
        <v>133.19999999999999</v>
      </c>
      <c r="C3713" s="2">
        <f t="shared" si="58"/>
        <v>6.0241146033808762E-3</v>
      </c>
    </row>
    <row r="3714" spans="1:3" x14ac:dyDescent="0.2">
      <c r="A3714" s="1">
        <v>40672</v>
      </c>
      <c r="B3714">
        <v>132.4</v>
      </c>
      <c r="C3714" s="2">
        <f t="shared" si="58"/>
        <v>-3.0165935394256792E-3</v>
      </c>
    </row>
    <row r="3715" spans="1:3" x14ac:dyDescent="0.2">
      <c r="A3715" s="1">
        <v>40669</v>
      </c>
      <c r="B3715">
        <v>132.80000000000001</v>
      </c>
      <c r="C3715" s="2">
        <f t="shared" ref="C3715:C3778" si="59">+LN(B3715/B3716)</f>
        <v>1.3646913841182108E-2</v>
      </c>
    </row>
    <row r="3716" spans="1:3" x14ac:dyDescent="0.2">
      <c r="A3716" s="1">
        <v>40668</v>
      </c>
      <c r="B3716">
        <v>131</v>
      </c>
      <c r="C3716" s="2">
        <f t="shared" si="59"/>
        <v>-2.2874581075990807E-3</v>
      </c>
    </row>
    <row r="3717" spans="1:3" x14ac:dyDescent="0.2">
      <c r="A3717" s="1">
        <v>40667</v>
      </c>
      <c r="B3717">
        <v>131.30000000000001</v>
      </c>
      <c r="C3717" s="2">
        <f t="shared" si="59"/>
        <v>-1.1359455733583004E-2</v>
      </c>
    </row>
    <row r="3718" spans="1:3" x14ac:dyDescent="0.2">
      <c r="A3718" s="1">
        <v>40666</v>
      </c>
      <c r="B3718">
        <v>132.80000000000001</v>
      </c>
      <c r="C3718" s="2">
        <f t="shared" si="59"/>
        <v>-1.1231866486858448E-2</v>
      </c>
    </row>
    <row r="3719" spans="1:3" x14ac:dyDescent="0.2">
      <c r="A3719" s="1">
        <v>40665</v>
      </c>
      <c r="B3719">
        <v>134.30000000000001</v>
      </c>
      <c r="C3719" s="2">
        <f t="shared" si="59"/>
        <v>-7.4184316475505154E-3</v>
      </c>
    </row>
    <row r="3720" spans="1:3" x14ac:dyDescent="0.2">
      <c r="A3720" s="1">
        <v>40662</v>
      </c>
      <c r="B3720">
        <v>135.30000000000001</v>
      </c>
      <c r="C3720" s="2">
        <f t="shared" si="59"/>
        <v>1.0401282479615545E-2</v>
      </c>
    </row>
    <row r="3721" spans="1:3" x14ac:dyDescent="0.2">
      <c r="A3721" s="1">
        <v>40661</v>
      </c>
      <c r="B3721">
        <v>133.9</v>
      </c>
      <c r="C3721" s="2">
        <f t="shared" si="59"/>
        <v>-1.4925375905059655E-3</v>
      </c>
    </row>
    <row r="3722" spans="1:3" x14ac:dyDescent="0.2">
      <c r="A3722" s="1">
        <v>40660</v>
      </c>
      <c r="B3722">
        <v>134.1</v>
      </c>
      <c r="C3722" s="2">
        <f t="shared" si="59"/>
        <v>-3.3727537033153066E-2</v>
      </c>
    </row>
    <row r="3723" spans="1:3" x14ac:dyDescent="0.2">
      <c r="A3723" s="1">
        <v>40659</v>
      </c>
      <c r="B3723">
        <v>138.69999999999999</v>
      </c>
      <c r="C3723" s="2">
        <f t="shared" si="59"/>
        <v>1.3062595026382686E-2</v>
      </c>
    </row>
    <row r="3724" spans="1:3" x14ac:dyDescent="0.2">
      <c r="A3724" s="1">
        <v>40654</v>
      </c>
      <c r="B3724">
        <v>136.9</v>
      </c>
      <c r="C3724" s="2">
        <f t="shared" si="59"/>
        <v>6.5958465583511733E-3</v>
      </c>
    </row>
    <row r="3725" spans="1:3" x14ac:dyDescent="0.2">
      <c r="A3725" s="1">
        <v>40653</v>
      </c>
      <c r="B3725">
        <v>136</v>
      </c>
      <c r="C3725" s="2">
        <f t="shared" si="59"/>
        <v>2.6827242233144061E-2</v>
      </c>
    </row>
    <row r="3726" spans="1:3" x14ac:dyDescent="0.2">
      <c r="A3726" s="1">
        <v>40652</v>
      </c>
      <c r="B3726">
        <v>132.4</v>
      </c>
      <c r="C3726" s="2">
        <f t="shared" si="59"/>
        <v>1.522099401035517E-2</v>
      </c>
    </row>
    <row r="3727" spans="1:3" x14ac:dyDescent="0.2">
      <c r="A3727" s="1">
        <v>40651</v>
      </c>
      <c r="B3727">
        <v>130.4</v>
      </c>
      <c r="C3727" s="2">
        <f t="shared" si="59"/>
        <v>-2.7979140795080196E-2</v>
      </c>
    </row>
    <row r="3728" spans="1:3" x14ac:dyDescent="0.2">
      <c r="A3728" s="1">
        <v>40648</v>
      </c>
      <c r="B3728">
        <v>134.1</v>
      </c>
      <c r="C3728" s="2">
        <f t="shared" si="59"/>
        <v>6.7340321813441194E-3</v>
      </c>
    </row>
    <row r="3729" spans="1:3" x14ac:dyDescent="0.2">
      <c r="A3729" s="1">
        <v>40647</v>
      </c>
      <c r="B3729">
        <v>133.19999999999999</v>
      </c>
      <c r="C3729" s="2">
        <f t="shared" si="59"/>
        <v>-3.746726001608728E-3</v>
      </c>
    </row>
    <row r="3730" spans="1:3" x14ac:dyDescent="0.2">
      <c r="A3730" s="1">
        <v>40646</v>
      </c>
      <c r="B3730">
        <v>133.69999999999999</v>
      </c>
      <c r="C3730" s="2">
        <f t="shared" si="59"/>
        <v>1.2039272579617764E-2</v>
      </c>
    </row>
    <row r="3731" spans="1:3" x14ac:dyDescent="0.2">
      <c r="A3731" s="1">
        <v>40645</v>
      </c>
      <c r="B3731">
        <v>132.1</v>
      </c>
      <c r="C3731" s="2">
        <f t="shared" si="59"/>
        <v>-1.8748205682347842E-2</v>
      </c>
    </row>
    <row r="3732" spans="1:3" x14ac:dyDescent="0.2">
      <c r="A3732" s="1">
        <v>40644</v>
      </c>
      <c r="B3732">
        <v>134.6</v>
      </c>
      <c r="C3732" s="2">
        <f t="shared" si="59"/>
        <v>-6.6642231091281817E-3</v>
      </c>
    </row>
    <row r="3733" spans="1:3" x14ac:dyDescent="0.2">
      <c r="A3733" s="1">
        <v>40641</v>
      </c>
      <c r="B3733">
        <v>135.5</v>
      </c>
      <c r="C3733" s="2">
        <f t="shared" si="59"/>
        <v>8.895536790563683E-3</v>
      </c>
    </row>
    <row r="3734" spans="1:3" x14ac:dyDescent="0.2">
      <c r="A3734" s="1">
        <v>40640</v>
      </c>
      <c r="B3734">
        <v>134.30000000000001</v>
      </c>
      <c r="C3734" s="2">
        <f t="shared" si="59"/>
        <v>-1.6248511095822475E-2</v>
      </c>
    </row>
    <row r="3735" spans="1:3" x14ac:dyDescent="0.2">
      <c r="A3735" s="1">
        <v>40639</v>
      </c>
      <c r="B3735">
        <v>136.5</v>
      </c>
      <c r="C3735" s="2">
        <f t="shared" si="59"/>
        <v>-8.0263108742288213E-3</v>
      </c>
    </row>
    <row r="3736" spans="1:3" x14ac:dyDescent="0.2">
      <c r="A3736" s="1">
        <v>40638</v>
      </c>
      <c r="B3736">
        <v>137.6</v>
      </c>
      <c r="C3736" s="2">
        <f t="shared" si="59"/>
        <v>-1.299657282718036E-2</v>
      </c>
    </row>
    <row r="3737" spans="1:3" x14ac:dyDescent="0.2">
      <c r="A3737" s="1">
        <v>40637</v>
      </c>
      <c r="B3737">
        <v>139.4</v>
      </c>
      <c r="C3737" s="2">
        <f t="shared" si="59"/>
        <v>-3.5803833450119755E-3</v>
      </c>
    </row>
    <row r="3738" spans="1:3" x14ac:dyDescent="0.2">
      <c r="A3738" s="1">
        <v>40634</v>
      </c>
      <c r="B3738">
        <v>139.9</v>
      </c>
      <c r="C3738" s="2">
        <f t="shared" si="59"/>
        <v>2.0217295103166773E-2</v>
      </c>
    </row>
    <row r="3739" spans="1:3" x14ac:dyDescent="0.2">
      <c r="A3739" s="1">
        <v>40633</v>
      </c>
      <c r="B3739">
        <v>137.1</v>
      </c>
      <c r="C3739" s="2">
        <f t="shared" si="59"/>
        <v>9.5273714436729211E-3</v>
      </c>
    </row>
    <row r="3740" spans="1:3" x14ac:dyDescent="0.2">
      <c r="A3740" s="1">
        <v>40632</v>
      </c>
      <c r="B3740">
        <v>135.80000000000001</v>
      </c>
      <c r="C3740" s="2">
        <f t="shared" si="59"/>
        <v>7.391016646389182E-3</v>
      </c>
    </row>
    <row r="3741" spans="1:3" x14ac:dyDescent="0.2">
      <c r="A3741" s="1">
        <v>40631</v>
      </c>
      <c r="B3741">
        <v>134.80000000000001</v>
      </c>
      <c r="C3741" s="2">
        <f t="shared" si="59"/>
        <v>1.4847812675794457E-3</v>
      </c>
    </row>
    <row r="3742" spans="1:3" x14ac:dyDescent="0.2">
      <c r="A3742" s="1">
        <v>40630</v>
      </c>
      <c r="B3742">
        <v>134.6</v>
      </c>
      <c r="C3742" s="2">
        <f t="shared" si="59"/>
        <v>0</v>
      </c>
    </row>
    <row r="3743" spans="1:3" x14ac:dyDescent="0.2">
      <c r="A3743" s="1">
        <v>40627</v>
      </c>
      <c r="B3743">
        <v>134.6</v>
      </c>
      <c r="C3743" s="2">
        <f t="shared" si="59"/>
        <v>5.9612695164992244E-3</v>
      </c>
    </row>
    <row r="3744" spans="1:3" x14ac:dyDescent="0.2">
      <c r="A3744" s="1">
        <v>40626</v>
      </c>
      <c r="B3744">
        <v>133.80000000000001</v>
      </c>
      <c r="C3744" s="2">
        <f t="shared" si="59"/>
        <v>2.2676708671029722E-2</v>
      </c>
    </row>
    <row r="3745" spans="1:3" x14ac:dyDescent="0.2">
      <c r="A3745" s="1">
        <v>40625</v>
      </c>
      <c r="B3745">
        <v>130.80000000000001</v>
      </c>
      <c r="C3745" s="2">
        <f t="shared" si="59"/>
        <v>1.0761056956298238E-2</v>
      </c>
    </row>
    <row r="3746" spans="1:3" x14ac:dyDescent="0.2">
      <c r="A3746" s="1">
        <v>40624</v>
      </c>
      <c r="B3746">
        <v>129.4</v>
      </c>
      <c r="C3746" s="2">
        <f t="shared" si="59"/>
        <v>5.4242674647194331E-3</v>
      </c>
    </row>
    <row r="3747" spans="1:3" x14ac:dyDescent="0.2">
      <c r="A3747" s="1">
        <v>40623</v>
      </c>
      <c r="B3747">
        <v>128.69999999999999</v>
      </c>
      <c r="C3747" s="2">
        <f t="shared" si="59"/>
        <v>2.5178356030242207E-2</v>
      </c>
    </row>
    <row r="3748" spans="1:3" x14ac:dyDescent="0.2">
      <c r="A3748" s="1">
        <v>40620</v>
      </c>
      <c r="B3748">
        <v>125.5</v>
      </c>
      <c r="C3748" s="2">
        <f t="shared" si="59"/>
        <v>1.7685348401540086E-2</v>
      </c>
    </row>
    <row r="3749" spans="1:3" x14ac:dyDescent="0.2">
      <c r="A3749" s="1">
        <v>40619</v>
      </c>
      <c r="B3749">
        <v>123.3</v>
      </c>
      <c r="C3749" s="2">
        <f t="shared" si="59"/>
        <v>1.4706147389695487E-2</v>
      </c>
    </row>
    <row r="3750" spans="1:3" x14ac:dyDescent="0.2">
      <c r="A3750" s="1">
        <v>40618</v>
      </c>
      <c r="B3750">
        <v>121.5</v>
      </c>
      <c r="C3750" s="2">
        <f t="shared" si="59"/>
        <v>-1.6447372128783784E-3</v>
      </c>
    </row>
    <row r="3751" spans="1:3" x14ac:dyDescent="0.2">
      <c r="A3751" s="1">
        <v>40617</v>
      </c>
      <c r="B3751">
        <v>121.7</v>
      </c>
      <c r="C3751" s="2">
        <f t="shared" si="59"/>
        <v>-1.791578864161535E-2</v>
      </c>
    </row>
    <row r="3752" spans="1:3" x14ac:dyDescent="0.2">
      <c r="A3752" s="1">
        <v>40616</v>
      </c>
      <c r="B3752">
        <v>123.9</v>
      </c>
      <c r="C3752" s="2">
        <f t="shared" si="59"/>
        <v>-8.0386284964351733E-3</v>
      </c>
    </row>
    <row r="3753" spans="1:3" x14ac:dyDescent="0.2">
      <c r="A3753" s="1">
        <v>40613</v>
      </c>
      <c r="B3753">
        <v>124.9</v>
      </c>
      <c r="C3753" s="2">
        <f t="shared" si="59"/>
        <v>-1.7460761063876284E-2</v>
      </c>
    </row>
    <row r="3754" spans="1:3" x14ac:dyDescent="0.2">
      <c r="A3754" s="1">
        <v>40612</v>
      </c>
      <c r="B3754">
        <v>127.1</v>
      </c>
      <c r="C3754" s="2">
        <f t="shared" si="59"/>
        <v>-1.8706702944184174E-2</v>
      </c>
    </row>
    <row r="3755" spans="1:3" x14ac:dyDescent="0.2">
      <c r="A3755" s="1">
        <v>40611</v>
      </c>
      <c r="B3755">
        <v>129.5</v>
      </c>
      <c r="C3755" s="2">
        <f t="shared" si="59"/>
        <v>8.5304898837315589E-3</v>
      </c>
    </row>
    <row r="3756" spans="1:3" x14ac:dyDescent="0.2">
      <c r="A3756" s="1">
        <v>40610</v>
      </c>
      <c r="B3756">
        <v>128.4</v>
      </c>
      <c r="C3756" s="2">
        <f t="shared" si="59"/>
        <v>5.4666282173672434E-3</v>
      </c>
    </row>
    <row r="3757" spans="1:3" x14ac:dyDescent="0.2">
      <c r="A3757" s="1">
        <v>40609</v>
      </c>
      <c r="B3757">
        <v>127.7</v>
      </c>
      <c r="C3757" s="2">
        <f t="shared" si="59"/>
        <v>5.4966765799023681E-3</v>
      </c>
    </row>
    <row r="3758" spans="1:3" x14ac:dyDescent="0.2">
      <c r="A3758" s="1">
        <v>40606</v>
      </c>
      <c r="B3758">
        <v>127</v>
      </c>
      <c r="C3758" s="2">
        <f t="shared" si="59"/>
        <v>-1.562531790308087E-2</v>
      </c>
    </row>
    <row r="3759" spans="1:3" x14ac:dyDescent="0.2">
      <c r="A3759" s="1">
        <v>40605</v>
      </c>
      <c r="B3759">
        <v>129</v>
      </c>
      <c r="C3759" s="2">
        <f t="shared" si="59"/>
        <v>1.1696039763191236E-2</v>
      </c>
    </row>
    <row r="3760" spans="1:3" x14ac:dyDescent="0.2">
      <c r="A3760" s="1">
        <v>40604</v>
      </c>
      <c r="B3760">
        <v>127.5</v>
      </c>
      <c r="C3760" s="2">
        <f t="shared" si="59"/>
        <v>-1.5564516541111573E-2</v>
      </c>
    </row>
    <row r="3761" spans="1:3" x14ac:dyDescent="0.2">
      <c r="A3761" s="1">
        <v>40603</v>
      </c>
      <c r="B3761">
        <v>129.5</v>
      </c>
      <c r="C3761" s="2">
        <f t="shared" si="59"/>
        <v>1.5455953617805433E-3</v>
      </c>
    </row>
    <row r="3762" spans="1:3" x14ac:dyDescent="0.2">
      <c r="A3762" s="1">
        <v>40602</v>
      </c>
      <c r="B3762">
        <v>129.30000000000001</v>
      </c>
      <c r="C3762" s="2">
        <f t="shared" si="59"/>
        <v>1.0886577193014899E-2</v>
      </c>
    </row>
    <row r="3763" spans="1:3" x14ac:dyDescent="0.2">
      <c r="A3763" s="1">
        <v>40599</v>
      </c>
      <c r="B3763">
        <v>127.9</v>
      </c>
      <c r="C3763" s="2">
        <f t="shared" si="59"/>
        <v>1.258867922835155E-2</v>
      </c>
    </row>
    <row r="3764" spans="1:3" x14ac:dyDescent="0.2">
      <c r="A3764" s="1">
        <v>40598</v>
      </c>
      <c r="B3764">
        <v>126.3</v>
      </c>
      <c r="C3764" s="2">
        <f t="shared" si="59"/>
        <v>2.3228917885157921E-2</v>
      </c>
    </row>
    <row r="3765" spans="1:3" x14ac:dyDescent="0.2">
      <c r="A3765" s="1">
        <v>40597</v>
      </c>
      <c r="B3765">
        <v>123.4</v>
      </c>
      <c r="C3765" s="2">
        <f t="shared" si="59"/>
        <v>-2.7179930531838051E-2</v>
      </c>
    </row>
    <row r="3766" spans="1:3" x14ac:dyDescent="0.2">
      <c r="A3766" s="1">
        <v>40596</v>
      </c>
      <c r="B3766">
        <v>126.8</v>
      </c>
      <c r="C3766" s="2">
        <f t="shared" si="59"/>
        <v>-1.5760444554657658E-3</v>
      </c>
    </row>
    <row r="3767" spans="1:3" x14ac:dyDescent="0.2">
      <c r="A3767" s="1">
        <v>40595</v>
      </c>
      <c r="B3767">
        <v>127</v>
      </c>
      <c r="C3767" s="2">
        <f t="shared" si="59"/>
        <v>-2.1037004863806795E-2</v>
      </c>
    </row>
    <row r="3768" spans="1:3" x14ac:dyDescent="0.2">
      <c r="A3768" s="1">
        <v>40592</v>
      </c>
      <c r="B3768">
        <v>129.69999999999999</v>
      </c>
      <c r="C3768" s="2">
        <f t="shared" si="59"/>
        <v>1.789234818433507E-2</v>
      </c>
    </row>
    <row r="3769" spans="1:3" x14ac:dyDescent="0.2">
      <c r="A3769" s="1">
        <v>40591</v>
      </c>
      <c r="B3769">
        <v>127.4</v>
      </c>
      <c r="C3769" s="2">
        <f t="shared" si="59"/>
        <v>-2.4807473704267613E-2</v>
      </c>
    </row>
    <row r="3770" spans="1:3" x14ac:dyDescent="0.2">
      <c r="A3770" s="1">
        <v>40590</v>
      </c>
      <c r="B3770">
        <v>130.6</v>
      </c>
      <c r="C3770" s="2">
        <f t="shared" si="59"/>
        <v>1.0777625493829336E-2</v>
      </c>
    </row>
    <row r="3771" spans="1:3" x14ac:dyDescent="0.2">
      <c r="A3771" s="1">
        <v>40589</v>
      </c>
      <c r="B3771">
        <v>129.19999999999999</v>
      </c>
      <c r="C3771" s="2">
        <f t="shared" si="59"/>
        <v>-1.1543029281674812E-2</v>
      </c>
    </row>
    <row r="3772" spans="1:3" x14ac:dyDescent="0.2">
      <c r="A3772" s="1">
        <v>40588</v>
      </c>
      <c r="B3772">
        <v>130.69999999999999</v>
      </c>
      <c r="C3772" s="2">
        <f t="shared" si="59"/>
        <v>-5.3414854203339569E-3</v>
      </c>
    </row>
    <row r="3773" spans="1:3" x14ac:dyDescent="0.2">
      <c r="A3773" s="1">
        <v>40585</v>
      </c>
      <c r="B3773">
        <v>131.4</v>
      </c>
      <c r="C3773" s="2">
        <f t="shared" si="59"/>
        <v>3.2485455144488307E-2</v>
      </c>
    </row>
    <row r="3774" spans="1:3" x14ac:dyDescent="0.2">
      <c r="A3774" s="1">
        <v>40584</v>
      </c>
      <c r="B3774">
        <v>127.2</v>
      </c>
      <c r="C3774" s="2">
        <f t="shared" si="59"/>
        <v>-1.3276259039119907E-2</v>
      </c>
    </row>
    <row r="3775" spans="1:3" x14ac:dyDescent="0.2">
      <c r="A3775" s="1">
        <v>40583</v>
      </c>
      <c r="B3775">
        <v>128.9</v>
      </c>
      <c r="C3775" s="2">
        <f t="shared" si="59"/>
        <v>-8.4975405104406633E-3</v>
      </c>
    </row>
    <row r="3776" spans="1:3" x14ac:dyDescent="0.2">
      <c r="A3776" s="1">
        <v>40582</v>
      </c>
      <c r="B3776">
        <v>130</v>
      </c>
      <c r="C3776" s="2">
        <f t="shared" si="59"/>
        <v>-1.9802627296179643E-2</v>
      </c>
    </row>
    <row r="3777" spans="1:3" x14ac:dyDescent="0.2">
      <c r="A3777" s="1">
        <v>40581</v>
      </c>
      <c r="B3777">
        <v>132.6</v>
      </c>
      <c r="C3777" s="2">
        <f t="shared" si="59"/>
        <v>-2.25988796743759E-3</v>
      </c>
    </row>
    <row r="3778" spans="1:3" x14ac:dyDescent="0.2">
      <c r="A3778" s="1">
        <v>40578</v>
      </c>
      <c r="B3778">
        <v>132.9</v>
      </c>
      <c r="C3778" s="2">
        <f t="shared" si="59"/>
        <v>-1.5037596818661765E-3</v>
      </c>
    </row>
    <row r="3779" spans="1:3" x14ac:dyDescent="0.2">
      <c r="A3779" s="1">
        <v>40577</v>
      </c>
      <c r="B3779">
        <v>133.1</v>
      </c>
      <c r="C3779" s="2">
        <f t="shared" ref="C3779:C3842" si="60">+LN(B3779/B3780)</f>
        <v>4.5180799747889149E-3</v>
      </c>
    </row>
    <row r="3780" spans="1:3" x14ac:dyDescent="0.2">
      <c r="A3780" s="1">
        <v>40576</v>
      </c>
      <c r="B3780">
        <v>132.5</v>
      </c>
      <c r="C3780" s="2">
        <f t="shared" si="60"/>
        <v>-2.7541748289134967E-2</v>
      </c>
    </row>
    <row r="3781" spans="1:3" x14ac:dyDescent="0.2">
      <c r="A3781" s="1">
        <v>40575</v>
      </c>
      <c r="B3781">
        <v>136.19999999999999</v>
      </c>
      <c r="C3781" s="2">
        <f t="shared" si="60"/>
        <v>-8.7719860728371051E-3</v>
      </c>
    </row>
    <row r="3782" spans="1:3" x14ac:dyDescent="0.2">
      <c r="A3782" s="1">
        <v>40574</v>
      </c>
      <c r="B3782">
        <v>137.4</v>
      </c>
      <c r="C3782" s="2">
        <f t="shared" si="60"/>
        <v>-4.3573053689557007E-3</v>
      </c>
    </row>
    <row r="3783" spans="1:3" x14ac:dyDescent="0.2">
      <c r="A3783" s="1">
        <v>40571</v>
      </c>
      <c r="B3783">
        <v>138</v>
      </c>
      <c r="C3783" s="2">
        <f t="shared" si="60"/>
        <v>-2.0086758566737459E-2</v>
      </c>
    </row>
    <row r="3784" spans="1:3" x14ac:dyDescent="0.2">
      <c r="A3784" s="1">
        <v>40570</v>
      </c>
      <c r="B3784">
        <v>140.80000000000001</v>
      </c>
      <c r="C3784" s="2">
        <f t="shared" si="60"/>
        <v>-5.6657375356771959E-3</v>
      </c>
    </row>
    <row r="3785" spans="1:3" x14ac:dyDescent="0.2">
      <c r="A3785" s="1">
        <v>40569</v>
      </c>
      <c r="B3785">
        <v>141.6</v>
      </c>
      <c r="C3785" s="2">
        <f t="shared" si="60"/>
        <v>2.7928775525010271E-2</v>
      </c>
    </row>
    <row r="3786" spans="1:3" x14ac:dyDescent="0.2">
      <c r="A3786" s="1">
        <v>40568</v>
      </c>
      <c r="B3786">
        <v>137.69999999999999</v>
      </c>
      <c r="C3786" s="2">
        <f t="shared" si="60"/>
        <v>9.4856603252472093E-3</v>
      </c>
    </row>
    <row r="3787" spans="1:3" x14ac:dyDescent="0.2">
      <c r="A3787" s="1">
        <v>40567</v>
      </c>
      <c r="B3787">
        <v>136.4</v>
      </c>
      <c r="C3787" s="2">
        <f t="shared" si="60"/>
        <v>-1.6000341346441075E-2</v>
      </c>
    </row>
    <row r="3788" spans="1:3" x14ac:dyDescent="0.2">
      <c r="A3788" s="1">
        <v>40564</v>
      </c>
      <c r="B3788">
        <v>138.6</v>
      </c>
      <c r="C3788" s="2">
        <f t="shared" si="60"/>
        <v>8.695706967553913E-3</v>
      </c>
    </row>
    <row r="3789" spans="1:3" x14ac:dyDescent="0.2">
      <c r="A3789" s="1">
        <v>40563</v>
      </c>
      <c r="B3789">
        <v>137.4</v>
      </c>
      <c r="C3789" s="2">
        <f t="shared" si="60"/>
        <v>-1.3015368112070136E-2</v>
      </c>
    </row>
    <row r="3790" spans="1:3" x14ac:dyDescent="0.2">
      <c r="A3790" s="1">
        <v>40562</v>
      </c>
      <c r="B3790">
        <v>139.19999999999999</v>
      </c>
      <c r="C3790" s="2">
        <f t="shared" si="60"/>
        <v>-2.483277658247144E-2</v>
      </c>
    </row>
    <row r="3791" spans="1:3" x14ac:dyDescent="0.2">
      <c r="A3791" s="1">
        <v>40561</v>
      </c>
      <c r="B3791">
        <v>142.69999999999999</v>
      </c>
      <c r="C3791" s="2">
        <f t="shared" si="60"/>
        <v>-9.7629785226857179E-3</v>
      </c>
    </row>
    <row r="3792" spans="1:3" x14ac:dyDescent="0.2">
      <c r="A3792" s="1">
        <v>40560</v>
      </c>
      <c r="B3792">
        <v>144.1</v>
      </c>
      <c r="C3792" s="2">
        <f t="shared" si="60"/>
        <v>-1.3869627743489318E-3</v>
      </c>
    </row>
    <row r="3793" spans="1:3" x14ac:dyDescent="0.2">
      <c r="A3793" s="1">
        <v>40557</v>
      </c>
      <c r="B3793">
        <v>144.30000000000001</v>
      </c>
      <c r="C3793" s="2">
        <f t="shared" si="60"/>
        <v>6.9324092897670808E-4</v>
      </c>
    </row>
    <row r="3794" spans="1:3" x14ac:dyDescent="0.2">
      <c r="A3794" s="1">
        <v>40556</v>
      </c>
      <c r="B3794">
        <v>144.19999999999999</v>
      </c>
      <c r="C3794" s="2">
        <f t="shared" si="60"/>
        <v>-1.4458083175230112E-2</v>
      </c>
    </row>
    <row r="3795" spans="1:3" x14ac:dyDescent="0.2">
      <c r="A3795" s="1">
        <v>40555</v>
      </c>
      <c r="B3795">
        <v>146.30000000000001</v>
      </c>
      <c r="C3795" s="2">
        <f t="shared" si="60"/>
        <v>2.0526863177422615E-3</v>
      </c>
    </row>
    <row r="3796" spans="1:3" x14ac:dyDescent="0.2">
      <c r="A3796" s="1">
        <v>40554</v>
      </c>
      <c r="B3796">
        <v>146</v>
      </c>
      <c r="C3796" s="2">
        <f t="shared" si="60"/>
        <v>4.6259123381912945E-2</v>
      </c>
    </row>
    <row r="3797" spans="1:3" x14ac:dyDescent="0.2">
      <c r="A3797" s="1">
        <v>40553</v>
      </c>
      <c r="B3797">
        <v>139.4</v>
      </c>
      <c r="C3797" s="2">
        <f t="shared" si="60"/>
        <v>-1.3537791364058319E-2</v>
      </c>
    </row>
    <row r="3798" spans="1:3" x14ac:dyDescent="0.2">
      <c r="A3798" s="1">
        <v>40550</v>
      </c>
      <c r="B3798">
        <v>141.30000000000001</v>
      </c>
      <c r="C3798" s="2">
        <f t="shared" si="60"/>
        <v>1.2104099362209689E-2</v>
      </c>
    </row>
    <row r="3799" spans="1:3" x14ac:dyDescent="0.2">
      <c r="A3799" s="1">
        <v>40548</v>
      </c>
      <c r="B3799">
        <v>139.6</v>
      </c>
      <c r="C3799" s="2">
        <f t="shared" si="60"/>
        <v>-1.3518526755020247E-2</v>
      </c>
    </row>
    <row r="3800" spans="1:3" x14ac:dyDescent="0.2">
      <c r="A3800" s="1">
        <v>40547</v>
      </c>
      <c r="B3800">
        <v>141.5</v>
      </c>
      <c r="C3800" s="2">
        <f t="shared" si="60"/>
        <v>-1.6818896810029817E-2</v>
      </c>
    </row>
    <row r="3801" spans="1:3" x14ac:dyDescent="0.2">
      <c r="A3801" s="1">
        <v>40546</v>
      </c>
      <c r="B3801">
        <v>143.9</v>
      </c>
      <c r="C3801" s="2">
        <f t="shared" si="60"/>
        <v>1.5406467196687491E-2</v>
      </c>
    </row>
    <row r="3802" spans="1:3" x14ac:dyDescent="0.2">
      <c r="A3802" s="1">
        <v>40542</v>
      </c>
      <c r="B3802">
        <v>141.69999999999999</v>
      </c>
      <c r="C3802" s="2">
        <f t="shared" si="60"/>
        <v>-7.0546740139248217E-4</v>
      </c>
    </row>
    <row r="3803" spans="1:3" x14ac:dyDescent="0.2">
      <c r="A3803" s="1">
        <v>40541</v>
      </c>
      <c r="B3803">
        <v>141.80000000000001</v>
      </c>
      <c r="C3803" s="2">
        <f t="shared" si="60"/>
        <v>-1.4094435032334931E-3</v>
      </c>
    </row>
    <row r="3804" spans="1:3" x14ac:dyDescent="0.2">
      <c r="A3804" s="1">
        <v>40540</v>
      </c>
      <c r="B3804">
        <v>142</v>
      </c>
      <c r="C3804" s="2">
        <f t="shared" si="60"/>
        <v>2.8208763416414846E-3</v>
      </c>
    </row>
    <row r="3805" spans="1:3" x14ac:dyDescent="0.2">
      <c r="A3805" s="1">
        <v>40539</v>
      </c>
      <c r="B3805">
        <v>141.6</v>
      </c>
      <c r="C3805" s="2">
        <f t="shared" si="60"/>
        <v>3.5373224008510193E-3</v>
      </c>
    </row>
    <row r="3806" spans="1:3" x14ac:dyDescent="0.2">
      <c r="A3806" s="1">
        <v>40535</v>
      </c>
      <c r="B3806">
        <v>141.1</v>
      </c>
      <c r="C3806" s="2">
        <f t="shared" si="60"/>
        <v>7.0896848059998703E-4</v>
      </c>
    </row>
    <row r="3807" spans="1:3" x14ac:dyDescent="0.2">
      <c r="A3807" s="1">
        <v>40534</v>
      </c>
      <c r="B3807">
        <v>141</v>
      </c>
      <c r="C3807" s="2">
        <f t="shared" si="60"/>
        <v>1.3566791448771046E-2</v>
      </c>
    </row>
    <row r="3808" spans="1:3" x14ac:dyDescent="0.2">
      <c r="A3808" s="1">
        <v>40533</v>
      </c>
      <c r="B3808">
        <v>139.1</v>
      </c>
      <c r="C3808" s="2">
        <f t="shared" si="60"/>
        <v>2.8437935320533625E-2</v>
      </c>
    </row>
    <row r="3809" spans="1:3" x14ac:dyDescent="0.2">
      <c r="A3809" s="1">
        <v>40532</v>
      </c>
      <c r="B3809">
        <v>135.19999999999999</v>
      </c>
      <c r="C3809" s="2">
        <f t="shared" si="60"/>
        <v>-8.1031750936234291E-3</v>
      </c>
    </row>
    <row r="3810" spans="1:3" x14ac:dyDescent="0.2">
      <c r="A3810" s="1">
        <v>40529</v>
      </c>
      <c r="B3810">
        <v>136.30000000000001</v>
      </c>
      <c r="C3810" s="2">
        <f t="shared" si="60"/>
        <v>8.1031750936233372E-3</v>
      </c>
    </row>
    <row r="3811" spans="1:3" x14ac:dyDescent="0.2">
      <c r="A3811" s="1">
        <v>40528</v>
      </c>
      <c r="B3811">
        <v>135.19999999999999</v>
      </c>
      <c r="C3811" s="2">
        <f t="shared" si="60"/>
        <v>1.115667950096621E-2</v>
      </c>
    </row>
    <row r="3812" spans="1:3" x14ac:dyDescent="0.2">
      <c r="A3812" s="1">
        <v>40527</v>
      </c>
      <c r="B3812">
        <v>133.69999999999999</v>
      </c>
      <c r="C3812" s="2">
        <f t="shared" si="60"/>
        <v>4.4977587068316116E-3</v>
      </c>
    </row>
    <row r="3813" spans="1:3" x14ac:dyDescent="0.2">
      <c r="A3813" s="1">
        <v>40526</v>
      </c>
      <c r="B3813">
        <v>133.1</v>
      </c>
      <c r="C3813" s="2">
        <f t="shared" si="60"/>
        <v>-7.5103270522276907E-4</v>
      </c>
    </row>
    <row r="3814" spans="1:3" x14ac:dyDescent="0.2">
      <c r="A3814" s="1">
        <v>40525</v>
      </c>
      <c r="B3814">
        <v>133.19999999999999</v>
      </c>
      <c r="C3814" s="2">
        <f t="shared" si="60"/>
        <v>3.0075210639551007E-3</v>
      </c>
    </row>
    <row r="3815" spans="1:3" x14ac:dyDescent="0.2">
      <c r="A3815" s="1">
        <v>40522</v>
      </c>
      <c r="B3815">
        <v>132.80000000000001</v>
      </c>
      <c r="C3815" s="2">
        <f t="shared" si="60"/>
        <v>9.0772181511166797E-3</v>
      </c>
    </row>
    <row r="3816" spans="1:3" x14ac:dyDescent="0.2">
      <c r="A3816" s="1">
        <v>40521</v>
      </c>
      <c r="B3816">
        <v>131.6</v>
      </c>
      <c r="C3816" s="2">
        <f t="shared" si="60"/>
        <v>-2.1797180150677019E-2</v>
      </c>
    </row>
    <row r="3817" spans="1:3" x14ac:dyDescent="0.2">
      <c r="A3817" s="1">
        <v>40520</v>
      </c>
      <c r="B3817">
        <v>134.5</v>
      </c>
      <c r="C3817" s="2">
        <f t="shared" si="60"/>
        <v>1.4880955127017188E-3</v>
      </c>
    </row>
    <row r="3818" spans="1:3" x14ac:dyDescent="0.2">
      <c r="A3818" s="1">
        <v>40519</v>
      </c>
      <c r="B3818">
        <v>134.30000000000001</v>
      </c>
      <c r="C3818" s="2">
        <f t="shared" si="60"/>
        <v>2.7936886686861288E-2</v>
      </c>
    </row>
    <row r="3819" spans="1:3" x14ac:dyDescent="0.2">
      <c r="A3819" s="1">
        <v>40518</v>
      </c>
      <c r="B3819">
        <v>130.6</v>
      </c>
      <c r="C3819" s="2">
        <f t="shared" si="60"/>
        <v>-5.3455644664199154E-3</v>
      </c>
    </row>
    <row r="3820" spans="1:3" x14ac:dyDescent="0.2">
      <c r="A3820" s="1">
        <v>40515</v>
      </c>
      <c r="B3820">
        <v>131.30000000000001</v>
      </c>
      <c r="C3820" s="2">
        <f t="shared" si="60"/>
        <v>-7.6132474175955099E-4</v>
      </c>
    </row>
    <row r="3821" spans="1:3" x14ac:dyDescent="0.2">
      <c r="A3821" s="1">
        <v>40514</v>
      </c>
      <c r="B3821">
        <v>131.4</v>
      </c>
      <c r="C3821" s="2">
        <f t="shared" si="60"/>
        <v>2.6997397465713079E-2</v>
      </c>
    </row>
    <row r="3822" spans="1:3" x14ac:dyDescent="0.2">
      <c r="A3822" s="1">
        <v>40513</v>
      </c>
      <c r="B3822">
        <v>127.9</v>
      </c>
      <c r="C3822" s="2">
        <f t="shared" si="60"/>
        <v>3.5007552516765142E-2</v>
      </c>
    </row>
    <row r="3823" spans="1:3" x14ac:dyDescent="0.2">
      <c r="A3823" s="1">
        <v>40512</v>
      </c>
      <c r="B3823">
        <v>123.5</v>
      </c>
      <c r="C3823" s="2">
        <f t="shared" si="60"/>
        <v>8.9467859898061473E-3</v>
      </c>
    </row>
    <row r="3824" spans="1:3" x14ac:dyDescent="0.2">
      <c r="A3824" s="1">
        <v>40511</v>
      </c>
      <c r="B3824">
        <v>122.4</v>
      </c>
      <c r="C3824" s="2">
        <f t="shared" si="60"/>
        <v>-1.6326534238852235E-3</v>
      </c>
    </row>
    <row r="3825" spans="1:3" x14ac:dyDescent="0.2">
      <c r="A3825" s="1">
        <v>40508</v>
      </c>
      <c r="B3825">
        <v>122.6</v>
      </c>
      <c r="C3825" s="2">
        <f t="shared" si="60"/>
        <v>1.6326534238853118E-3</v>
      </c>
    </row>
    <row r="3826" spans="1:3" x14ac:dyDescent="0.2">
      <c r="A3826" s="1">
        <v>40507</v>
      </c>
      <c r="B3826">
        <v>122.4</v>
      </c>
      <c r="C3826" s="2">
        <f t="shared" si="60"/>
        <v>-1.6326534238852235E-3</v>
      </c>
    </row>
    <row r="3827" spans="1:3" x14ac:dyDescent="0.2">
      <c r="A3827" s="1">
        <v>40506</v>
      </c>
      <c r="B3827">
        <v>122.6</v>
      </c>
      <c r="C3827" s="2">
        <f t="shared" si="60"/>
        <v>6.5466682263143677E-3</v>
      </c>
    </row>
    <row r="3828" spans="1:3" x14ac:dyDescent="0.2">
      <c r="A3828" s="1">
        <v>40505</v>
      </c>
      <c r="B3828">
        <v>121.8</v>
      </c>
      <c r="C3828" s="2">
        <f t="shared" si="60"/>
        <v>-3.9441732051296731E-2</v>
      </c>
    </row>
    <row r="3829" spans="1:3" x14ac:dyDescent="0.2">
      <c r="A3829" s="1">
        <v>40504</v>
      </c>
      <c r="B3829">
        <v>126.7</v>
      </c>
    </row>
    <row r="3830" spans="1:3" x14ac:dyDescent="0.2">
      <c r="A3830" s="1">
        <v>40501</v>
      </c>
      <c r="B3830">
        <v>125.5</v>
      </c>
      <c r="C3830" s="2">
        <f t="shared" si="60"/>
        <v>1.4446479173396325E-2</v>
      </c>
    </row>
    <row r="3831" spans="1:3" x14ac:dyDescent="0.2">
      <c r="A3831" s="1">
        <v>40500</v>
      </c>
      <c r="B3831">
        <v>123.7</v>
      </c>
      <c r="C3831" s="2">
        <f t="shared" si="60"/>
        <v>1.5478924122645602E-2</v>
      </c>
    </row>
    <row r="3832" spans="1:3" x14ac:dyDescent="0.2">
      <c r="A3832" s="1">
        <v>40499</v>
      </c>
      <c r="B3832">
        <v>121.8</v>
      </c>
      <c r="C3832" s="2">
        <f t="shared" si="60"/>
        <v>8.2440697750820625E-3</v>
      </c>
    </row>
    <row r="3833" spans="1:3" x14ac:dyDescent="0.2">
      <c r="A3833" s="1">
        <v>40498</v>
      </c>
      <c r="B3833">
        <v>120.8</v>
      </c>
      <c r="C3833" s="2">
        <f t="shared" si="60"/>
        <v>-2.614528010432236E-2</v>
      </c>
    </row>
    <row r="3834" spans="1:3" x14ac:dyDescent="0.2">
      <c r="A3834" s="1">
        <v>40497</v>
      </c>
      <c r="B3834">
        <v>124</v>
      </c>
      <c r="C3834" s="2">
        <f t="shared" si="60"/>
        <v>5.6611554347382803E-3</v>
      </c>
    </row>
    <row r="3835" spans="1:3" x14ac:dyDescent="0.2">
      <c r="A3835" s="1">
        <v>40494</v>
      </c>
      <c r="B3835">
        <v>123.3</v>
      </c>
      <c r="C3835" s="2">
        <f t="shared" si="60"/>
        <v>-2.3247539936814183E-2</v>
      </c>
    </row>
    <row r="3836" spans="1:3" x14ac:dyDescent="0.2">
      <c r="A3836" s="1">
        <v>40493</v>
      </c>
      <c r="B3836">
        <v>126.2</v>
      </c>
      <c r="C3836" s="2">
        <f t="shared" si="60"/>
        <v>7.9270713623890571E-4</v>
      </c>
    </row>
    <row r="3837" spans="1:3" x14ac:dyDescent="0.2">
      <c r="A3837" s="1">
        <v>40492</v>
      </c>
      <c r="B3837">
        <v>126.1</v>
      </c>
      <c r="C3837" s="2">
        <f t="shared" si="60"/>
        <v>-2.3762387418832976E-3</v>
      </c>
    </row>
    <row r="3838" spans="1:3" x14ac:dyDescent="0.2">
      <c r="A3838" s="1">
        <v>40491</v>
      </c>
      <c r="B3838">
        <v>126.4</v>
      </c>
      <c r="C3838" s="2">
        <f t="shared" si="60"/>
        <v>1.3540629026766266E-2</v>
      </c>
    </row>
    <row r="3839" spans="1:3" x14ac:dyDescent="0.2">
      <c r="A3839" s="1">
        <v>40490</v>
      </c>
      <c r="B3839">
        <v>124.7</v>
      </c>
      <c r="C3839" s="2">
        <f t="shared" si="60"/>
        <v>-2.4028846163103149E-3</v>
      </c>
    </row>
    <row r="3840" spans="1:3" x14ac:dyDescent="0.2">
      <c r="A3840" s="1">
        <v>40487</v>
      </c>
      <c r="B3840">
        <v>125</v>
      </c>
      <c r="C3840" s="2">
        <f t="shared" si="60"/>
        <v>-1.5987213636971041E-3</v>
      </c>
    </row>
    <row r="3841" spans="1:3" x14ac:dyDescent="0.2">
      <c r="A3841" s="1">
        <v>40486</v>
      </c>
      <c r="B3841">
        <v>125.2</v>
      </c>
      <c r="C3841" s="2">
        <f t="shared" si="60"/>
        <v>3.8262705735288546E-2</v>
      </c>
    </row>
    <row r="3842" spans="1:3" x14ac:dyDescent="0.2">
      <c r="A3842" s="1">
        <v>40485</v>
      </c>
      <c r="B3842">
        <v>120.5</v>
      </c>
      <c r="C3842" s="2">
        <f t="shared" si="60"/>
        <v>4.9916908972409751E-3</v>
      </c>
    </row>
    <row r="3843" spans="1:3" x14ac:dyDescent="0.2">
      <c r="A3843" s="1">
        <v>40484</v>
      </c>
      <c r="B3843">
        <v>119.9</v>
      </c>
      <c r="C3843" s="2">
        <f t="shared" ref="C3843:C3906" si="61">+LN(B3843/B3844)</f>
        <v>1.0058760417846211E-2</v>
      </c>
    </row>
    <row r="3844" spans="1:3" x14ac:dyDescent="0.2">
      <c r="A3844" s="1">
        <v>40483</v>
      </c>
      <c r="B3844">
        <v>118.7</v>
      </c>
      <c r="C3844" s="2">
        <f t="shared" si="61"/>
        <v>2.4734736476727425E-2</v>
      </c>
    </row>
    <row r="3845" spans="1:3" x14ac:dyDescent="0.2">
      <c r="A3845" s="1">
        <v>40480</v>
      </c>
      <c r="B3845">
        <v>115.8</v>
      </c>
      <c r="C3845" s="2">
        <f t="shared" si="61"/>
        <v>-5.1679701584426731E-3</v>
      </c>
    </row>
    <row r="3846" spans="1:3" x14ac:dyDescent="0.2">
      <c r="A3846" s="1">
        <v>40479</v>
      </c>
      <c r="B3846">
        <v>116.4</v>
      </c>
      <c r="C3846" s="2">
        <f t="shared" si="61"/>
        <v>-4.286333180685266E-3</v>
      </c>
    </row>
    <row r="3847" spans="1:3" x14ac:dyDescent="0.2">
      <c r="A3847" s="1">
        <v>40478</v>
      </c>
      <c r="B3847">
        <v>116.9</v>
      </c>
      <c r="C3847" s="2">
        <f t="shared" si="61"/>
        <v>-1.274985397188263E-2</v>
      </c>
    </row>
    <row r="3848" spans="1:3" x14ac:dyDescent="0.2">
      <c r="A3848" s="1">
        <v>40477</v>
      </c>
      <c r="B3848">
        <v>118.4</v>
      </c>
      <c r="C3848" s="2">
        <f t="shared" si="61"/>
        <v>8.4495146556431359E-4</v>
      </c>
    </row>
    <row r="3849" spans="1:3" x14ac:dyDescent="0.2">
      <c r="A3849" s="1">
        <v>40476</v>
      </c>
      <c r="B3849">
        <v>118.3</v>
      </c>
      <c r="C3849" s="2">
        <f t="shared" si="61"/>
        <v>-1.689189590844829E-3</v>
      </c>
    </row>
    <row r="3850" spans="1:3" x14ac:dyDescent="0.2">
      <c r="A3850" s="1">
        <v>40473</v>
      </c>
      <c r="B3850">
        <v>118.5</v>
      </c>
      <c r="C3850" s="2">
        <f t="shared" si="61"/>
        <v>-5.7392797996652652E-2</v>
      </c>
    </row>
    <row r="3851" spans="1:3" x14ac:dyDescent="0.2">
      <c r="A3851" s="1">
        <v>40472</v>
      </c>
      <c r="B3851">
        <v>125.5</v>
      </c>
      <c r="C3851" s="2">
        <f t="shared" si="61"/>
        <v>3.8997630468352834E-2</v>
      </c>
    </row>
    <row r="3852" spans="1:3" x14ac:dyDescent="0.2">
      <c r="A3852" s="1">
        <v>40471</v>
      </c>
      <c r="B3852">
        <v>120.7</v>
      </c>
      <c r="C3852" s="2">
        <f t="shared" si="61"/>
        <v>1.1666798999615381E-2</v>
      </c>
    </row>
    <row r="3853" spans="1:3" x14ac:dyDescent="0.2">
      <c r="A3853" s="1">
        <v>40470</v>
      </c>
      <c r="B3853">
        <v>119.3</v>
      </c>
      <c r="C3853" s="2">
        <f t="shared" si="61"/>
        <v>5.0420274882480775E-3</v>
      </c>
    </row>
    <row r="3854" spans="1:3" x14ac:dyDescent="0.2">
      <c r="A3854" s="1">
        <v>40469</v>
      </c>
      <c r="B3854">
        <v>118.7</v>
      </c>
      <c r="C3854" s="2">
        <f t="shared" si="61"/>
        <v>0</v>
      </c>
    </row>
    <row r="3855" spans="1:3" x14ac:dyDescent="0.2">
      <c r="A3855" s="1">
        <v>40466</v>
      </c>
      <c r="B3855">
        <v>118.7</v>
      </c>
      <c r="C3855" s="2">
        <f t="shared" si="61"/>
        <v>-1.1725427470315476E-2</v>
      </c>
    </row>
    <row r="3856" spans="1:3" x14ac:dyDescent="0.2">
      <c r="A3856" s="1">
        <v>40465</v>
      </c>
      <c r="B3856">
        <v>120.1</v>
      </c>
      <c r="C3856" s="2">
        <f t="shared" si="61"/>
        <v>3.3361165220103929E-3</v>
      </c>
    </row>
    <row r="3857" spans="1:3" x14ac:dyDescent="0.2">
      <c r="A3857" s="1">
        <v>40464</v>
      </c>
      <c r="B3857">
        <v>119.7</v>
      </c>
      <c r="C3857" s="2">
        <f t="shared" si="61"/>
        <v>1.4303988098262754E-2</v>
      </c>
    </row>
    <row r="3858" spans="1:3" x14ac:dyDescent="0.2">
      <c r="A3858" s="1">
        <v>40463</v>
      </c>
      <c r="B3858">
        <v>118</v>
      </c>
      <c r="C3858" s="2">
        <f t="shared" si="61"/>
        <v>-5.9146771499575951E-3</v>
      </c>
    </row>
    <row r="3859" spans="1:3" x14ac:dyDescent="0.2">
      <c r="A3859" s="1">
        <v>40462</v>
      </c>
      <c r="B3859">
        <v>118.7</v>
      </c>
      <c r="C3859" s="2">
        <f t="shared" si="61"/>
        <v>9.3102661510959007E-3</v>
      </c>
    </row>
    <row r="3860" spans="1:3" x14ac:dyDescent="0.2">
      <c r="A3860" s="1">
        <v>40459</v>
      </c>
      <c r="B3860">
        <v>117.6</v>
      </c>
      <c r="C3860" s="2">
        <f t="shared" si="61"/>
        <v>8.5070188031282853E-4</v>
      </c>
    </row>
    <row r="3861" spans="1:3" x14ac:dyDescent="0.2">
      <c r="A3861" s="1">
        <v>40458</v>
      </c>
      <c r="B3861">
        <v>117.5</v>
      </c>
      <c r="C3861" s="2">
        <f t="shared" si="61"/>
        <v>-4.2462908814510968E-3</v>
      </c>
    </row>
    <row r="3862" spans="1:3" x14ac:dyDescent="0.2">
      <c r="A3862" s="1">
        <v>40457</v>
      </c>
      <c r="B3862">
        <v>118</v>
      </c>
      <c r="C3862" s="2">
        <f t="shared" si="61"/>
        <v>-7.5981792310714788E-3</v>
      </c>
    </row>
    <row r="3863" spans="1:3" x14ac:dyDescent="0.2">
      <c r="A3863" s="1">
        <v>40456</v>
      </c>
      <c r="B3863">
        <v>118.9</v>
      </c>
      <c r="C3863" s="2">
        <f t="shared" si="61"/>
        <v>2.1250268399398625E-2</v>
      </c>
    </row>
    <row r="3864" spans="1:3" x14ac:dyDescent="0.2">
      <c r="A3864" s="1">
        <v>40455</v>
      </c>
      <c r="B3864">
        <v>116.4</v>
      </c>
      <c r="C3864" s="2">
        <f t="shared" si="61"/>
        <v>-3.4305350967891368E-3</v>
      </c>
    </row>
    <row r="3865" spans="1:3" x14ac:dyDescent="0.2">
      <c r="A3865" s="1">
        <v>40452</v>
      </c>
      <c r="B3865">
        <v>116.8</v>
      </c>
      <c r="C3865" s="2">
        <f t="shared" si="61"/>
        <v>-1.1068652809189939E-2</v>
      </c>
    </row>
    <row r="3866" spans="1:3" x14ac:dyDescent="0.2">
      <c r="A3866" s="1">
        <v>40451</v>
      </c>
      <c r="B3866">
        <v>118.1</v>
      </c>
      <c r="C3866" s="2">
        <f t="shared" si="61"/>
        <v>-8.4317531579377655E-3</v>
      </c>
    </row>
    <row r="3867" spans="1:3" x14ac:dyDescent="0.2">
      <c r="A3867" s="1">
        <v>40450</v>
      </c>
      <c r="B3867">
        <v>119.1</v>
      </c>
      <c r="C3867" s="2">
        <f t="shared" si="61"/>
        <v>-1.6778527426160868E-3</v>
      </c>
    </row>
    <row r="3868" spans="1:3" x14ac:dyDescent="0.2">
      <c r="A3868" s="1">
        <v>40449</v>
      </c>
      <c r="B3868">
        <v>119.3</v>
      </c>
      <c r="C3868" s="2">
        <f t="shared" si="61"/>
        <v>8.4175581195294422E-3</v>
      </c>
    </row>
    <row r="3869" spans="1:3" x14ac:dyDescent="0.2">
      <c r="A3869" s="1">
        <v>40448</v>
      </c>
      <c r="B3869">
        <v>118.3</v>
      </c>
      <c r="C3869" s="2">
        <f t="shared" si="61"/>
        <v>-1.0929070532190206E-2</v>
      </c>
    </row>
    <row r="3870" spans="1:3" x14ac:dyDescent="0.2">
      <c r="A3870" s="1">
        <v>40445</v>
      </c>
      <c r="B3870">
        <v>119.6</v>
      </c>
      <c r="C3870" s="2">
        <f t="shared" si="61"/>
        <v>3.0562650410166668E-2</v>
      </c>
    </row>
    <row r="3871" spans="1:3" x14ac:dyDescent="0.2">
      <c r="A3871" s="1">
        <v>40444</v>
      </c>
      <c r="B3871">
        <v>116</v>
      </c>
      <c r="C3871" s="2">
        <f t="shared" si="61"/>
        <v>-4.3010818993905854E-3</v>
      </c>
    </row>
    <row r="3872" spans="1:3" x14ac:dyDescent="0.2">
      <c r="A3872" s="1">
        <v>40443</v>
      </c>
      <c r="B3872">
        <v>116.5</v>
      </c>
      <c r="C3872" s="2">
        <f t="shared" si="61"/>
        <v>-8.5800091063670714E-4</v>
      </c>
    </row>
    <row r="3873" spans="1:3" x14ac:dyDescent="0.2">
      <c r="A3873" s="1">
        <v>40442</v>
      </c>
      <c r="B3873">
        <v>116.6</v>
      </c>
      <c r="C3873" s="2">
        <f t="shared" si="61"/>
        <v>-5.9854817430378413E-3</v>
      </c>
    </row>
    <row r="3874" spans="1:3" x14ac:dyDescent="0.2">
      <c r="A3874" s="1">
        <v>40441</v>
      </c>
      <c r="B3874">
        <v>117.3</v>
      </c>
      <c r="C3874" s="2">
        <f t="shared" si="61"/>
        <v>-8.5215173456635153E-4</v>
      </c>
    </row>
    <row r="3875" spans="1:3" x14ac:dyDescent="0.2">
      <c r="A3875" s="1">
        <v>40438</v>
      </c>
      <c r="B3875">
        <v>117.4</v>
      </c>
      <c r="C3875" s="2">
        <f t="shared" si="61"/>
        <v>1.1996716287631506E-2</v>
      </c>
    </row>
    <row r="3876" spans="1:3" x14ac:dyDescent="0.2">
      <c r="A3876" s="1">
        <v>40437</v>
      </c>
      <c r="B3876">
        <v>116</v>
      </c>
      <c r="C3876" s="2">
        <f t="shared" si="61"/>
        <v>-4.3010818993905854E-3</v>
      </c>
    </row>
    <row r="3877" spans="1:3" x14ac:dyDescent="0.2">
      <c r="A3877" s="1">
        <v>40436</v>
      </c>
      <c r="B3877">
        <v>116.5</v>
      </c>
      <c r="C3877" s="2">
        <f t="shared" si="61"/>
        <v>-7.6956343882408794E-3</v>
      </c>
    </row>
    <row r="3878" spans="1:3" x14ac:dyDescent="0.2">
      <c r="A3878" s="1">
        <v>40435</v>
      </c>
      <c r="B3878">
        <v>117.4</v>
      </c>
      <c r="C3878" s="2">
        <f t="shared" si="61"/>
        <v>-1.7021280705304183E-3</v>
      </c>
    </row>
    <row r="3879" spans="1:3" x14ac:dyDescent="0.2">
      <c r="A3879" s="1">
        <v>40434</v>
      </c>
      <c r="B3879">
        <v>117.6</v>
      </c>
      <c r="C3879" s="2">
        <f t="shared" si="61"/>
        <v>5.1151006667704089E-3</v>
      </c>
    </row>
    <row r="3880" spans="1:3" x14ac:dyDescent="0.2">
      <c r="A3880" s="1">
        <v>40431</v>
      </c>
      <c r="B3880">
        <v>117</v>
      </c>
      <c r="C3880" s="2">
        <f t="shared" si="61"/>
        <v>5.1413995004186523E-3</v>
      </c>
    </row>
    <row r="3881" spans="1:3" x14ac:dyDescent="0.2">
      <c r="A3881" s="1">
        <v>40430</v>
      </c>
      <c r="B3881">
        <v>116.4</v>
      </c>
      <c r="C3881" s="2">
        <f t="shared" si="61"/>
        <v>0</v>
      </c>
    </row>
    <row r="3882" spans="1:3" x14ac:dyDescent="0.2">
      <c r="A3882" s="1">
        <v>40429</v>
      </c>
      <c r="B3882">
        <v>116.4</v>
      </c>
      <c r="C3882" s="2">
        <f t="shared" si="61"/>
        <v>1.7331456351639941E-2</v>
      </c>
    </row>
    <row r="3883" spans="1:3" x14ac:dyDescent="0.2">
      <c r="A3883" s="1">
        <v>40428</v>
      </c>
      <c r="B3883">
        <v>114.4</v>
      </c>
      <c r="C3883" s="2">
        <f t="shared" si="61"/>
        <v>-6.1002367821393544E-3</v>
      </c>
    </row>
    <row r="3884" spans="1:3" x14ac:dyDescent="0.2">
      <c r="A3884" s="1">
        <v>40427</v>
      </c>
      <c r="B3884">
        <v>115.1</v>
      </c>
      <c r="C3884" s="2">
        <f t="shared" si="61"/>
        <v>1.1358794035606386E-2</v>
      </c>
    </row>
    <row r="3885" spans="1:3" x14ac:dyDescent="0.2">
      <c r="A3885" s="1">
        <v>40424</v>
      </c>
      <c r="B3885">
        <v>113.8</v>
      </c>
      <c r="C3885" s="2">
        <f t="shared" si="61"/>
        <v>1.4159528603634515E-2</v>
      </c>
    </row>
    <row r="3886" spans="1:3" x14ac:dyDescent="0.2">
      <c r="A3886" s="1">
        <v>40423</v>
      </c>
      <c r="B3886">
        <v>112.2</v>
      </c>
      <c r="C3886" s="2">
        <f t="shared" si="61"/>
        <v>-5.3333459753625049E-3</v>
      </c>
    </row>
    <row r="3887" spans="1:3" x14ac:dyDescent="0.2">
      <c r="A3887" s="1">
        <v>40422</v>
      </c>
      <c r="B3887">
        <v>112.8</v>
      </c>
      <c r="C3887" s="2">
        <f t="shared" si="61"/>
        <v>4.163497265157725E-2</v>
      </c>
    </row>
    <row r="3888" spans="1:3" x14ac:dyDescent="0.2">
      <c r="A3888" s="1">
        <v>40421</v>
      </c>
      <c r="B3888">
        <v>108.2</v>
      </c>
      <c r="C3888" s="2">
        <f t="shared" si="61"/>
        <v>1.3023439886286823E-2</v>
      </c>
    </row>
    <row r="3889" spans="1:3" x14ac:dyDescent="0.2">
      <c r="A3889" s="1">
        <v>40420</v>
      </c>
      <c r="B3889">
        <v>106.8</v>
      </c>
      <c r="C3889" s="2">
        <f t="shared" si="61"/>
        <v>-1.3023439886286736E-2</v>
      </c>
    </row>
    <row r="3890" spans="1:3" x14ac:dyDescent="0.2">
      <c r="A3890" s="1">
        <v>40417</v>
      </c>
      <c r="B3890">
        <v>108.2</v>
      </c>
      <c r="C3890" s="2">
        <f t="shared" si="61"/>
        <v>1.1152531950475107E-2</v>
      </c>
    </row>
    <row r="3891" spans="1:3" x14ac:dyDescent="0.2">
      <c r="A3891" s="1">
        <v>40416</v>
      </c>
      <c r="B3891">
        <v>107</v>
      </c>
      <c r="C3891" s="2">
        <f t="shared" si="61"/>
        <v>1.8868484304382736E-2</v>
      </c>
    </row>
    <row r="3892" spans="1:3" x14ac:dyDescent="0.2">
      <c r="A3892" s="1">
        <v>40415</v>
      </c>
      <c r="B3892">
        <v>105</v>
      </c>
      <c r="C3892" s="2">
        <f t="shared" si="61"/>
        <v>1.906578270581669E-3</v>
      </c>
    </row>
    <row r="3893" spans="1:3" x14ac:dyDescent="0.2">
      <c r="A3893" s="1">
        <v>40414</v>
      </c>
      <c r="B3893">
        <v>104.8</v>
      </c>
      <c r="C3893" s="2">
        <f t="shared" si="61"/>
        <v>-1.3270336920896698E-2</v>
      </c>
    </row>
    <row r="3894" spans="1:3" x14ac:dyDescent="0.2">
      <c r="A3894" s="1">
        <v>40413</v>
      </c>
      <c r="B3894">
        <v>106.2</v>
      </c>
      <c r="C3894" s="2">
        <f t="shared" si="61"/>
        <v>-6.5697092231610729E-3</v>
      </c>
    </row>
    <row r="3895" spans="1:3" x14ac:dyDescent="0.2">
      <c r="A3895" s="1">
        <v>40410</v>
      </c>
      <c r="B3895">
        <v>106.9</v>
      </c>
      <c r="C3895" s="2">
        <f t="shared" si="61"/>
        <v>-2.5855549250185024E-2</v>
      </c>
    </row>
    <row r="3896" spans="1:3" x14ac:dyDescent="0.2">
      <c r="A3896" s="1">
        <v>40409</v>
      </c>
      <c r="B3896">
        <v>109.7</v>
      </c>
      <c r="C3896" s="2">
        <f t="shared" si="61"/>
        <v>-1.5377960211999064E-2</v>
      </c>
    </row>
    <row r="3897" spans="1:3" x14ac:dyDescent="0.2">
      <c r="A3897" s="1">
        <v>40408</v>
      </c>
      <c r="B3897">
        <v>111.4</v>
      </c>
      <c r="C3897" s="2">
        <f t="shared" si="61"/>
        <v>-4.4782878246958672E-3</v>
      </c>
    </row>
    <row r="3898" spans="1:3" x14ac:dyDescent="0.2">
      <c r="A3898" s="1">
        <v>40407</v>
      </c>
      <c r="B3898">
        <v>111.9</v>
      </c>
      <c r="C3898" s="2">
        <f t="shared" si="61"/>
        <v>3.5810244177062424E-3</v>
      </c>
    </row>
    <row r="3899" spans="1:3" x14ac:dyDescent="0.2">
      <c r="A3899" s="1">
        <v>40406</v>
      </c>
      <c r="B3899">
        <v>111.5</v>
      </c>
      <c r="C3899" s="2">
        <f t="shared" si="61"/>
        <v>6.2978165869901036E-3</v>
      </c>
    </row>
    <row r="3900" spans="1:3" x14ac:dyDescent="0.2">
      <c r="A3900" s="1">
        <v>40403</v>
      </c>
      <c r="B3900">
        <v>110.8</v>
      </c>
      <c r="C3900" s="2">
        <f t="shared" si="61"/>
        <v>8.1559129036076605E-3</v>
      </c>
    </row>
    <row r="3901" spans="1:3" x14ac:dyDescent="0.2">
      <c r="A3901" s="1">
        <v>40402</v>
      </c>
      <c r="B3901">
        <v>109.9</v>
      </c>
      <c r="C3901" s="2">
        <f t="shared" si="61"/>
        <v>-2.7260353092383926E-3</v>
      </c>
    </row>
    <row r="3902" spans="1:3" x14ac:dyDescent="0.2">
      <c r="A3902" s="1">
        <v>40401</v>
      </c>
      <c r="B3902">
        <v>110.2</v>
      </c>
      <c r="C3902" s="2">
        <f t="shared" si="61"/>
        <v>-3.0386609568236765E-2</v>
      </c>
    </row>
    <row r="3903" spans="1:3" x14ac:dyDescent="0.2">
      <c r="A3903" s="1">
        <v>40400</v>
      </c>
      <c r="B3903">
        <v>113.6</v>
      </c>
      <c r="C3903" s="2">
        <f t="shared" si="61"/>
        <v>-2.4349029010286613E-2</v>
      </c>
    </row>
    <row r="3904" spans="1:3" x14ac:dyDescent="0.2">
      <c r="A3904" s="1">
        <v>40399</v>
      </c>
      <c r="B3904">
        <v>116.4</v>
      </c>
      <c r="C3904" s="2">
        <f t="shared" si="61"/>
        <v>4.3047849516313933E-3</v>
      </c>
    </row>
    <row r="3905" spans="1:3" x14ac:dyDescent="0.2">
      <c r="A3905" s="1">
        <v>40396</v>
      </c>
      <c r="B3905">
        <v>115.9</v>
      </c>
      <c r="C3905" s="2">
        <f t="shared" si="61"/>
        <v>-1.5411263920525E-2</v>
      </c>
    </row>
    <row r="3906" spans="1:3" x14ac:dyDescent="0.2">
      <c r="A3906" s="1">
        <v>40395</v>
      </c>
      <c r="B3906">
        <v>117.7</v>
      </c>
      <c r="C3906" s="2">
        <f t="shared" si="61"/>
        <v>1.0247741260475852E-2</v>
      </c>
    </row>
    <row r="3907" spans="1:3" x14ac:dyDescent="0.2">
      <c r="A3907" s="1">
        <v>40394</v>
      </c>
      <c r="B3907">
        <v>116.5</v>
      </c>
      <c r="C3907" s="2">
        <f t="shared" ref="C3907:C3970" si="62">+LN(B3907/B3908)</f>
        <v>1.2089957277918355E-2</v>
      </c>
    </row>
    <row r="3908" spans="1:3" x14ac:dyDescent="0.2">
      <c r="A3908" s="1">
        <v>40393</v>
      </c>
      <c r="B3908">
        <v>115.1</v>
      </c>
      <c r="C3908" s="2">
        <f t="shared" si="62"/>
        <v>-7.7888753785277853E-3</v>
      </c>
    </row>
    <row r="3909" spans="1:3" x14ac:dyDescent="0.2">
      <c r="A3909" s="1">
        <v>40392</v>
      </c>
      <c r="B3909">
        <v>116</v>
      </c>
      <c r="C3909" s="2">
        <f t="shared" si="62"/>
        <v>3.5984575788484977E-2</v>
      </c>
    </row>
    <row r="3910" spans="1:3" x14ac:dyDescent="0.2">
      <c r="A3910" s="1">
        <v>40389</v>
      </c>
      <c r="B3910">
        <v>111.9</v>
      </c>
      <c r="C3910" s="2">
        <f t="shared" si="62"/>
        <v>-6.236100387710334E-3</v>
      </c>
    </row>
    <row r="3911" spans="1:3" x14ac:dyDescent="0.2">
      <c r="A3911" s="1">
        <v>40388</v>
      </c>
      <c r="B3911">
        <v>112.6</v>
      </c>
      <c r="C3911" s="2">
        <f t="shared" si="62"/>
        <v>-8.8770534014065894E-4</v>
      </c>
    </row>
    <row r="3912" spans="1:3" x14ac:dyDescent="0.2">
      <c r="A3912" s="1">
        <v>40387</v>
      </c>
      <c r="B3912">
        <v>112.7</v>
      </c>
      <c r="C3912" s="2">
        <f t="shared" si="62"/>
        <v>-1.7590603089594439E-2</v>
      </c>
    </row>
    <row r="3913" spans="1:3" x14ac:dyDescent="0.2">
      <c r="A3913" s="1">
        <v>40386</v>
      </c>
      <c r="B3913">
        <v>114.7</v>
      </c>
      <c r="C3913" s="2">
        <f t="shared" si="62"/>
        <v>-1.6429249781066892E-2</v>
      </c>
    </row>
    <row r="3914" spans="1:3" x14ac:dyDescent="0.2">
      <c r="A3914" s="1">
        <v>40385</v>
      </c>
      <c r="B3914">
        <v>116.6</v>
      </c>
      <c r="C3914" s="2">
        <f t="shared" si="62"/>
        <v>4.2973852125461733E-3</v>
      </c>
    </row>
    <row r="3915" spans="1:3" x14ac:dyDescent="0.2">
      <c r="A3915" s="1">
        <v>40382</v>
      </c>
      <c r="B3915">
        <v>116.1</v>
      </c>
      <c r="C3915" s="2">
        <f t="shared" si="62"/>
        <v>-3.4393843019094672E-3</v>
      </c>
    </row>
    <row r="3916" spans="1:3" x14ac:dyDescent="0.2">
      <c r="A3916" s="1">
        <v>40381</v>
      </c>
      <c r="B3916">
        <v>116.5</v>
      </c>
      <c r="C3916" s="2">
        <f t="shared" si="62"/>
        <v>3.0503454293414625E-2</v>
      </c>
    </row>
    <row r="3917" spans="1:3" x14ac:dyDescent="0.2">
      <c r="A3917" s="1">
        <v>40380</v>
      </c>
      <c r="B3917">
        <v>113</v>
      </c>
      <c r="C3917" s="2">
        <f t="shared" si="62"/>
        <v>3.6039936483196873E-2</v>
      </c>
    </row>
    <row r="3918" spans="1:3" x14ac:dyDescent="0.2">
      <c r="A3918" s="1">
        <v>40379</v>
      </c>
      <c r="B3918">
        <v>109</v>
      </c>
      <c r="C3918" s="2">
        <f t="shared" si="62"/>
        <v>6.0509949492474541E-2</v>
      </c>
    </row>
    <row r="3919" spans="1:3" x14ac:dyDescent="0.2">
      <c r="A3919" s="1">
        <v>40378</v>
      </c>
      <c r="B3919">
        <v>102.6</v>
      </c>
      <c r="C3919" s="2">
        <f t="shared" si="62"/>
        <v>-1.0664182498812597E-2</v>
      </c>
    </row>
    <row r="3920" spans="1:3" x14ac:dyDescent="0.2">
      <c r="A3920" s="1">
        <v>40375</v>
      </c>
      <c r="B3920">
        <v>103.7</v>
      </c>
      <c r="C3920" s="2">
        <f t="shared" si="62"/>
        <v>-6.7275602130567567E-3</v>
      </c>
    </row>
    <row r="3921" spans="1:3" x14ac:dyDescent="0.2">
      <c r="A3921" s="1">
        <v>40374</v>
      </c>
      <c r="B3921">
        <v>104.4</v>
      </c>
      <c r="C3921" s="2">
        <f t="shared" si="62"/>
        <v>-1.4265577158822458E-2</v>
      </c>
    </row>
    <row r="3922" spans="1:3" x14ac:dyDescent="0.2">
      <c r="A3922" s="1">
        <v>40373</v>
      </c>
      <c r="B3922">
        <v>105.9</v>
      </c>
      <c r="C3922" s="2">
        <f t="shared" si="62"/>
        <v>1.8903597311687712E-3</v>
      </c>
    </row>
    <row r="3923" spans="1:3" x14ac:dyDescent="0.2">
      <c r="A3923" s="1">
        <v>40372</v>
      </c>
      <c r="B3923">
        <v>105.7</v>
      </c>
      <c r="C3923" s="2">
        <f t="shared" si="62"/>
        <v>2.1033280170768234E-2</v>
      </c>
    </row>
    <row r="3924" spans="1:3" x14ac:dyDescent="0.2">
      <c r="A3924" s="1">
        <v>40371</v>
      </c>
      <c r="B3924">
        <v>103.5</v>
      </c>
      <c r="C3924" s="2">
        <f t="shared" si="62"/>
        <v>7.7594957709111239E-3</v>
      </c>
    </row>
    <row r="3925" spans="1:3" x14ac:dyDescent="0.2">
      <c r="A3925" s="1">
        <v>40368</v>
      </c>
      <c r="B3925">
        <v>102.7</v>
      </c>
      <c r="C3925" s="2">
        <f t="shared" si="62"/>
        <v>8.8020128180901804E-3</v>
      </c>
    </row>
    <row r="3926" spans="1:3" x14ac:dyDescent="0.2">
      <c r="A3926" s="1">
        <v>40367</v>
      </c>
      <c r="B3926">
        <v>101.8</v>
      </c>
      <c r="C3926" s="2">
        <f t="shared" si="62"/>
        <v>-5.8766084889851538E-3</v>
      </c>
    </row>
    <row r="3927" spans="1:3" x14ac:dyDescent="0.2">
      <c r="A3927" s="1">
        <v>40366</v>
      </c>
      <c r="B3927">
        <v>102.4</v>
      </c>
      <c r="C3927" s="2">
        <f t="shared" si="62"/>
        <v>4.8947723767282071E-3</v>
      </c>
    </row>
    <row r="3928" spans="1:3" x14ac:dyDescent="0.2">
      <c r="A3928" s="1">
        <v>40365</v>
      </c>
      <c r="B3928">
        <v>101.9</v>
      </c>
      <c r="C3928" s="2">
        <f t="shared" si="62"/>
        <v>2.9882701600012704E-2</v>
      </c>
    </row>
    <row r="3929" spans="1:3" x14ac:dyDescent="0.2">
      <c r="A3929" s="1">
        <v>40364</v>
      </c>
      <c r="B3929">
        <v>98.9</v>
      </c>
      <c r="C3929" s="2">
        <f t="shared" si="62"/>
        <v>-3.0287756621607039E-3</v>
      </c>
    </row>
    <row r="3930" spans="1:3" x14ac:dyDescent="0.2">
      <c r="A3930" s="1">
        <v>40361</v>
      </c>
      <c r="B3930">
        <v>99.2</v>
      </c>
      <c r="C3930" s="2">
        <f t="shared" si="62"/>
        <v>4.040409537005127E-3</v>
      </c>
    </row>
    <row r="3931" spans="1:3" x14ac:dyDescent="0.2">
      <c r="A3931" s="1">
        <v>40360</v>
      </c>
      <c r="B3931">
        <v>98.8</v>
      </c>
      <c r="C3931" s="2">
        <f t="shared" si="62"/>
        <v>-3.3834073015781986E-2</v>
      </c>
    </row>
    <row r="3932" spans="1:3" x14ac:dyDescent="0.2">
      <c r="A3932" s="1">
        <v>40359</v>
      </c>
      <c r="B3932">
        <v>102.2</v>
      </c>
      <c r="C3932" s="2">
        <f t="shared" si="62"/>
        <v>9.8329209162388333E-3</v>
      </c>
    </row>
    <row r="3933" spans="1:3" x14ac:dyDescent="0.2">
      <c r="A3933" s="1">
        <v>40358</v>
      </c>
      <c r="B3933">
        <v>101.2</v>
      </c>
      <c r="C3933" s="2">
        <f t="shared" si="62"/>
        <v>-2.6330141251816555E-2</v>
      </c>
    </row>
    <row r="3934" spans="1:3" x14ac:dyDescent="0.2">
      <c r="A3934" s="1">
        <v>40357</v>
      </c>
      <c r="B3934">
        <v>103.9</v>
      </c>
      <c r="C3934" s="2">
        <f t="shared" si="62"/>
        <v>1.6497220335577621E-2</v>
      </c>
    </row>
    <row r="3935" spans="1:3" x14ac:dyDescent="0.2">
      <c r="A3935" s="1">
        <v>40353</v>
      </c>
      <c r="B3935">
        <v>102.2</v>
      </c>
      <c r="C3935" s="2">
        <f t="shared" si="62"/>
        <v>-3.933360757829818E-2</v>
      </c>
    </row>
    <row r="3936" spans="1:3" x14ac:dyDescent="0.2">
      <c r="A3936" s="1">
        <v>40352</v>
      </c>
      <c r="B3936">
        <v>106.3</v>
      </c>
      <c r="C3936" s="2">
        <f t="shared" si="62"/>
        <v>-1.3084298814440736E-2</v>
      </c>
    </row>
    <row r="3937" spans="1:3" x14ac:dyDescent="0.2">
      <c r="A3937" s="1">
        <v>40351</v>
      </c>
      <c r="B3937">
        <v>107.7</v>
      </c>
      <c r="C3937" s="2">
        <f t="shared" si="62"/>
        <v>-6.4785048432030338E-3</v>
      </c>
    </row>
    <row r="3938" spans="1:3" x14ac:dyDescent="0.2">
      <c r="A3938" s="1">
        <v>40350</v>
      </c>
      <c r="B3938">
        <v>108.4</v>
      </c>
      <c r="C3938" s="2">
        <f t="shared" si="62"/>
        <v>3.6968618813262026E-3</v>
      </c>
    </row>
    <row r="3939" spans="1:3" x14ac:dyDescent="0.2">
      <c r="A3939" s="1">
        <v>40347</v>
      </c>
      <c r="B3939">
        <v>108</v>
      </c>
      <c r="C3939" s="2">
        <f t="shared" si="62"/>
        <v>-7.3801072976225337E-3</v>
      </c>
    </row>
    <row r="3940" spans="1:3" x14ac:dyDescent="0.2">
      <c r="A3940" s="1">
        <v>40346</v>
      </c>
      <c r="B3940">
        <v>108.8</v>
      </c>
      <c r="C3940" s="2">
        <f t="shared" si="62"/>
        <v>-9.1869551707258047E-4</v>
      </c>
    </row>
    <row r="3941" spans="1:3" x14ac:dyDescent="0.2">
      <c r="A3941" s="1">
        <v>40345</v>
      </c>
      <c r="B3941">
        <v>108.9</v>
      </c>
      <c r="C3941" s="2">
        <f t="shared" si="62"/>
        <v>-3.6663652435779564E-3</v>
      </c>
    </row>
    <row r="3942" spans="1:3" x14ac:dyDescent="0.2">
      <c r="A3942" s="1">
        <v>40344</v>
      </c>
      <c r="B3942">
        <v>109.3</v>
      </c>
      <c r="C3942" s="2">
        <f t="shared" si="62"/>
        <v>5.5046010553289814E-3</v>
      </c>
    </row>
    <row r="3943" spans="1:3" x14ac:dyDescent="0.2">
      <c r="A3943" s="1">
        <v>40343</v>
      </c>
      <c r="B3943">
        <v>108.7</v>
      </c>
      <c r="C3943" s="2">
        <f t="shared" si="62"/>
        <v>2.9880841211042661E-2</v>
      </c>
    </row>
    <row r="3944" spans="1:3" x14ac:dyDescent="0.2">
      <c r="A3944" s="1">
        <v>40340</v>
      </c>
      <c r="B3944">
        <v>105.5</v>
      </c>
      <c r="C3944" s="2">
        <f t="shared" si="62"/>
        <v>0</v>
      </c>
    </row>
    <row r="3945" spans="1:3" x14ac:dyDescent="0.2">
      <c r="A3945" s="1">
        <v>40339</v>
      </c>
      <c r="B3945">
        <v>105.5</v>
      </c>
      <c r="C3945" s="2">
        <f t="shared" si="62"/>
        <v>3.0801279958540363E-2</v>
      </c>
    </row>
    <row r="3946" spans="1:3" x14ac:dyDescent="0.2">
      <c r="A3946" s="1">
        <v>40338</v>
      </c>
      <c r="B3946">
        <v>102.3</v>
      </c>
      <c r="C3946" s="2">
        <f t="shared" si="62"/>
        <v>2.8757559295052252E-2</v>
      </c>
    </row>
    <row r="3947" spans="1:3" x14ac:dyDescent="0.2">
      <c r="A3947" s="1">
        <v>40337</v>
      </c>
      <c r="B3947">
        <v>99.4</v>
      </c>
      <c r="C3947" s="2">
        <f t="shared" si="62"/>
        <v>2.0140993717011856E-3</v>
      </c>
    </row>
    <row r="3948" spans="1:3" x14ac:dyDescent="0.2">
      <c r="A3948" s="1">
        <v>40336</v>
      </c>
      <c r="B3948">
        <v>99.2</v>
      </c>
      <c r="C3948" s="2">
        <f t="shared" si="62"/>
        <v>-5.5290414791456504E-3</v>
      </c>
    </row>
    <row r="3949" spans="1:3" x14ac:dyDescent="0.2">
      <c r="A3949" s="1">
        <v>40333</v>
      </c>
      <c r="B3949">
        <v>99.75</v>
      </c>
      <c r="C3949" s="2">
        <f t="shared" si="62"/>
        <v>-1.7391742711869222E-2</v>
      </c>
    </row>
    <row r="3950" spans="1:3" x14ac:dyDescent="0.2">
      <c r="A3950" s="1">
        <v>40332</v>
      </c>
      <c r="B3950">
        <v>101.5</v>
      </c>
      <c r="C3950" s="2">
        <f t="shared" si="62"/>
        <v>1.6389738620017861E-2</v>
      </c>
    </row>
    <row r="3951" spans="1:3" x14ac:dyDescent="0.2">
      <c r="A3951" s="1">
        <v>40331</v>
      </c>
      <c r="B3951">
        <v>99.85</v>
      </c>
      <c r="C3951" s="2">
        <f t="shared" si="62"/>
        <v>3.0090293516188771E-3</v>
      </c>
    </row>
    <row r="3952" spans="1:3" x14ac:dyDescent="0.2">
      <c r="A3952" s="1">
        <v>40330</v>
      </c>
      <c r="B3952">
        <v>99.55</v>
      </c>
      <c r="C3952" s="2">
        <f t="shared" si="62"/>
        <v>3.0181109429055532E-3</v>
      </c>
    </row>
    <row r="3953" spans="1:3" x14ac:dyDescent="0.2">
      <c r="A3953" s="1">
        <v>40329</v>
      </c>
      <c r="B3953">
        <v>99.25</v>
      </c>
      <c r="C3953" s="2">
        <f t="shared" si="62"/>
        <v>-2.5157245972472469E-3</v>
      </c>
    </row>
    <row r="3954" spans="1:3" x14ac:dyDescent="0.2">
      <c r="A3954" s="1">
        <v>40326</v>
      </c>
      <c r="B3954">
        <v>99.5</v>
      </c>
      <c r="C3954" s="2">
        <f t="shared" si="62"/>
        <v>-3.5114156972770949E-3</v>
      </c>
    </row>
    <row r="3955" spans="1:3" x14ac:dyDescent="0.2">
      <c r="A3955" s="1">
        <v>40325</v>
      </c>
      <c r="B3955">
        <v>99.85</v>
      </c>
      <c r="C3955" s="2">
        <f t="shared" si="62"/>
        <v>2.6384077363268418E-2</v>
      </c>
    </row>
    <row r="3956" spans="1:3" x14ac:dyDescent="0.2">
      <c r="A3956" s="1">
        <v>40324</v>
      </c>
      <c r="B3956">
        <v>97.25</v>
      </c>
      <c r="C3956" s="2">
        <f t="shared" si="62"/>
        <v>1.2936791030719362E-2</v>
      </c>
    </row>
    <row r="3957" spans="1:3" x14ac:dyDescent="0.2">
      <c r="A3957" s="1">
        <v>40323</v>
      </c>
      <c r="B3957">
        <v>96</v>
      </c>
      <c r="C3957" s="2">
        <f t="shared" si="62"/>
        <v>-3.8318864302136657E-2</v>
      </c>
    </row>
    <row r="3958" spans="1:3" x14ac:dyDescent="0.2">
      <c r="A3958" s="1">
        <v>40322</v>
      </c>
      <c r="B3958">
        <v>99.75</v>
      </c>
      <c r="C3958" s="2">
        <f t="shared" si="62"/>
        <v>-4.5011328807916494E-3</v>
      </c>
    </row>
    <row r="3959" spans="1:3" x14ac:dyDescent="0.2">
      <c r="A3959" s="1">
        <v>40319</v>
      </c>
      <c r="B3959">
        <v>100.2</v>
      </c>
      <c r="C3959" s="2">
        <f t="shared" si="62"/>
        <v>2.067126792829424E-2</v>
      </c>
    </row>
    <row r="3960" spans="1:3" x14ac:dyDescent="0.2">
      <c r="A3960" s="1">
        <v>40318</v>
      </c>
      <c r="B3960">
        <v>98.15</v>
      </c>
      <c r="C3960" s="2">
        <f t="shared" si="62"/>
        <v>-3.1589490532167509E-2</v>
      </c>
    </row>
    <row r="3961" spans="1:3" x14ac:dyDescent="0.2">
      <c r="A3961" s="1">
        <v>40317</v>
      </c>
      <c r="B3961">
        <v>101.3</v>
      </c>
      <c r="C3961" s="2">
        <f t="shared" si="62"/>
        <v>-3.1100660150228002E-2</v>
      </c>
    </row>
    <row r="3962" spans="1:3" x14ac:dyDescent="0.2">
      <c r="A3962" s="1">
        <v>40316</v>
      </c>
      <c r="B3962">
        <v>104.5</v>
      </c>
      <c r="C3962" s="2">
        <f t="shared" si="62"/>
        <v>2.6176967288443334E-2</v>
      </c>
    </row>
    <row r="3963" spans="1:3" x14ac:dyDescent="0.2">
      <c r="A3963" s="1">
        <v>40315</v>
      </c>
      <c r="B3963">
        <v>101.8</v>
      </c>
      <c r="C3963" s="2">
        <f t="shared" si="62"/>
        <v>-1.2689286906491803E-2</v>
      </c>
    </row>
    <row r="3964" spans="1:3" x14ac:dyDescent="0.2">
      <c r="A3964" s="1">
        <v>40312</v>
      </c>
      <c r="B3964">
        <v>103.1</v>
      </c>
      <c r="C3964" s="2">
        <f t="shared" si="62"/>
        <v>-1.8260959134609199E-2</v>
      </c>
    </row>
    <row r="3965" spans="1:3" x14ac:dyDescent="0.2">
      <c r="A3965" s="1">
        <v>40310</v>
      </c>
      <c r="B3965">
        <v>105</v>
      </c>
      <c r="C3965" s="2">
        <f t="shared" si="62"/>
        <v>2.4097551579060524E-2</v>
      </c>
    </row>
    <row r="3966" spans="1:3" x14ac:dyDescent="0.2">
      <c r="A3966" s="1">
        <v>40309</v>
      </c>
      <c r="B3966">
        <v>102.5</v>
      </c>
      <c r="C3966" s="2">
        <f t="shared" si="62"/>
        <v>-1.6449330740803684E-2</v>
      </c>
    </row>
    <row r="3967" spans="1:3" x14ac:dyDescent="0.2">
      <c r="A3967" s="1">
        <v>40308</v>
      </c>
      <c r="B3967">
        <v>104.2</v>
      </c>
      <c r="C3967" s="2">
        <f t="shared" si="62"/>
        <v>5.4733896850642255E-2</v>
      </c>
    </row>
    <row r="3968" spans="1:3" x14ac:dyDescent="0.2">
      <c r="A3968" s="1">
        <v>40305</v>
      </c>
      <c r="B3968">
        <v>98.65</v>
      </c>
      <c r="C3968" s="2">
        <f t="shared" si="62"/>
        <v>-1.3591953519466972E-2</v>
      </c>
    </row>
    <row r="3969" spans="1:3" x14ac:dyDescent="0.2">
      <c r="A3969" s="1">
        <v>40304</v>
      </c>
      <c r="B3969">
        <v>100</v>
      </c>
      <c r="C3969" s="2">
        <f t="shared" si="62"/>
        <v>-2.1761491781512748E-2</v>
      </c>
    </row>
    <row r="3970" spans="1:3" x14ac:dyDescent="0.2">
      <c r="A3970" s="1">
        <v>40303</v>
      </c>
      <c r="B3970">
        <v>102.2</v>
      </c>
      <c r="C3970" s="2">
        <f t="shared" si="62"/>
        <v>-2.3211873861218372E-2</v>
      </c>
    </row>
    <row r="3971" spans="1:3" x14ac:dyDescent="0.2">
      <c r="A3971" s="1">
        <v>40302</v>
      </c>
      <c r="B3971">
        <v>104.6</v>
      </c>
      <c r="C3971" s="2">
        <f t="shared" ref="C3971:C4034" si="63">+LN(B3971/B3972)</f>
        <v>-4.6693822883092664E-2</v>
      </c>
    </row>
    <row r="3972" spans="1:3" x14ac:dyDescent="0.2">
      <c r="A3972" s="1">
        <v>40301</v>
      </c>
      <c r="B3972">
        <v>109.6</v>
      </c>
      <c r="C3972" s="2">
        <f t="shared" si="63"/>
        <v>6.4073445750002537E-3</v>
      </c>
    </row>
    <row r="3973" spans="1:3" x14ac:dyDescent="0.2">
      <c r="A3973" s="1">
        <v>40298</v>
      </c>
      <c r="B3973">
        <v>108.9</v>
      </c>
      <c r="C3973" s="2">
        <f t="shared" si="63"/>
        <v>-3.6663652435779564E-3</v>
      </c>
    </row>
    <row r="3974" spans="1:3" x14ac:dyDescent="0.2">
      <c r="A3974" s="1">
        <v>40297</v>
      </c>
      <c r="B3974">
        <v>109.3</v>
      </c>
      <c r="C3974" s="2">
        <f t="shared" si="63"/>
        <v>3.0657301070425781E-2</v>
      </c>
    </row>
    <row r="3975" spans="1:3" x14ac:dyDescent="0.2">
      <c r="A3975" s="1">
        <v>40296</v>
      </c>
      <c r="B3975">
        <v>106</v>
      </c>
      <c r="C3975" s="2">
        <f t="shared" si="63"/>
        <v>-3.7664827954768934E-3</v>
      </c>
    </row>
    <row r="3976" spans="1:3" x14ac:dyDescent="0.2">
      <c r="A3976" s="1">
        <v>40295</v>
      </c>
      <c r="B3976">
        <v>106.4</v>
      </c>
      <c r="C3976" s="2">
        <f t="shared" si="63"/>
        <v>-5.62325755436212E-3</v>
      </c>
    </row>
    <row r="3977" spans="1:3" x14ac:dyDescent="0.2">
      <c r="A3977" s="1">
        <v>40294</v>
      </c>
      <c r="B3977">
        <v>107</v>
      </c>
      <c r="C3977" s="2">
        <f t="shared" si="63"/>
        <v>-2.4008540052008927E-2</v>
      </c>
    </row>
    <row r="3978" spans="1:3" x14ac:dyDescent="0.2">
      <c r="A3978" s="1">
        <v>40291</v>
      </c>
      <c r="B3978">
        <v>109.6</v>
      </c>
      <c r="C3978" s="2">
        <f t="shared" si="63"/>
        <v>8.2455803867513069E-3</v>
      </c>
    </row>
    <row r="3979" spans="1:3" x14ac:dyDescent="0.2">
      <c r="A3979" s="1">
        <v>40290</v>
      </c>
      <c r="B3979">
        <v>108.7</v>
      </c>
      <c r="C3979" s="2">
        <f t="shared" si="63"/>
        <v>-2.7224911947991284E-2</v>
      </c>
    </row>
    <row r="3980" spans="1:3" x14ac:dyDescent="0.2">
      <c r="A3980" s="1">
        <v>40289</v>
      </c>
      <c r="B3980">
        <v>111.7</v>
      </c>
      <c r="C3980" s="2">
        <f t="shared" si="63"/>
        <v>-2.0381742319340385E-2</v>
      </c>
    </row>
    <row r="3981" spans="1:3" x14ac:dyDescent="0.2">
      <c r="A3981" s="1">
        <v>40288</v>
      </c>
      <c r="B3981">
        <v>114</v>
      </c>
      <c r="C3981" s="2">
        <f t="shared" si="63"/>
        <v>1.4134510934904716E-2</v>
      </c>
    </row>
    <row r="3982" spans="1:3" x14ac:dyDescent="0.2">
      <c r="A3982" s="1">
        <v>40287</v>
      </c>
      <c r="B3982">
        <v>112.4</v>
      </c>
      <c r="C3982" s="2">
        <f t="shared" si="63"/>
        <v>-8.8928418488406168E-4</v>
      </c>
    </row>
    <row r="3983" spans="1:3" x14ac:dyDescent="0.2">
      <c r="A3983" s="1">
        <v>40284</v>
      </c>
      <c r="B3983">
        <v>112.5</v>
      </c>
      <c r="C3983" s="2">
        <f t="shared" si="63"/>
        <v>1.0723963362975642E-2</v>
      </c>
    </row>
    <row r="3984" spans="1:3" x14ac:dyDescent="0.2">
      <c r="A3984" s="1">
        <v>40283</v>
      </c>
      <c r="B3984">
        <v>111.3</v>
      </c>
      <c r="C3984" s="2">
        <f t="shared" si="63"/>
        <v>1.7985616359148977E-3</v>
      </c>
    </row>
    <row r="3985" spans="1:3" x14ac:dyDescent="0.2">
      <c r="A3985" s="1">
        <v>40282</v>
      </c>
      <c r="B3985">
        <v>111.1</v>
      </c>
      <c r="C3985" s="2">
        <f t="shared" si="63"/>
        <v>8.1337999267701855E-3</v>
      </c>
    </row>
    <row r="3986" spans="1:3" x14ac:dyDescent="0.2">
      <c r="A3986" s="1">
        <v>40281</v>
      </c>
      <c r="B3986">
        <v>110.2</v>
      </c>
      <c r="C3986" s="2">
        <f t="shared" si="63"/>
        <v>0</v>
      </c>
    </row>
    <row r="3987" spans="1:3" x14ac:dyDescent="0.2">
      <c r="A3987" s="1">
        <v>40280</v>
      </c>
      <c r="B3987">
        <v>110.2</v>
      </c>
      <c r="C3987" s="2">
        <f t="shared" si="63"/>
        <v>1.8165309263980069E-3</v>
      </c>
    </row>
    <row r="3988" spans="1:3" x14ac:dyDescent="0.2">
      <c r="A3988" s="1">
        <v>40277</v>
      </c>
      <c r="B3988">
        <v>110</v>
      </c>
      <c r="C3988" s="2">
        <f t="shared" si="63"/>
        <v>1.1888571665252505E-2</v>
      </c>
    </row>
    <row r="3989" spans="1:3" x14ac:dyDescent="0.2">
      <c r="A3989" s="1">
        <v>40276</v>
      </c>
      <c r="B3989">
        <v>108.7</v>
      </c>
      <c r="C3989" s="2">
        <f t="shared" si="63"/>
        <v>-5.5046010553290847E-3</v>
      </c>
    </row>
    <row r="3990" spans="1:3" x14ac:dyDescent="0.2">
      <c r="A3990" s="1">
        <v>40275</v>
      </c>
      <c r="B3990">
        <v>109.3</v>
      </c>
      <c r="C3990" s="2">
        <f t="shared" si="63"/>
        <v>-5.4744662270828481E-3</v>
      </c>
    </row>
    <row r="3991" spans="1:3" x14ac:dyDescent="0.2">
      <c r="A3991" s="1">
        <v>40274</v>
      </c>
      <c r="B3991">
        <v>109.9</v>
      </c>
      <c r="C3991" s="2">
        <f t="shared" si="63"/>
        <v>1.9293202934679069E-2</v>
      </c>
    </row>
    <row r="3992" spans="1:3" x14ac:dyDescent="0.2">
      <c r="A3992" s="1">
        <v>40269</v>
      </c>
      <c r="B3992">
        <v>107.8</v>
      </c>
      <c r="C3992" s="2">
        <f t="shared" si="63"/>
        <v>1.401237312699455E-2</v>
      </c>
    </row>
    <row r="3993" spans="1:3" x14ac:dyDescent="0.2">
      <c r="A3993" s="1">
        <v>40268</v>
      </c>
      <c r="B3993">
        <v>106.3</v>
      </c>
      <c r="C3993" s="2">
        <f t="shared" si="63"/>
        <v>-6.5635491140040077E-3</v>
      </c>
    </row>
    <row r="3994" spans="1:3" x14ac:dyDescent="0.2">
      <c r="A3994" s="1">
        <v>40267</v>
      </c>
      <c r="B3994">
        <v>107</v>
      </c>
      <c r="C3994" s="2">
        <f t="shared" si="63"/>
        <v>-1.668249995993602E-2</v>
      </c>
    </row>
    <row r="3995" spans="1:3" x14ac:dyDescent="0.2">
      <c r="A3995" s="1">
        <v>40266</v>
      </c>
      <c r="B3995">
        <v>108.8</v>
      </c>
      <c r="C3995" s="2">
        <f t="shared" si="63"/>
        <v>-1.9117559934479167E-2</v>
      </c>
    </row>
    <row r="3996" spans="1:3" x14ac:dyDescent="0.2">
      <c r="A3996" s="1">
        <v>40263</v>
      </c>
      <c r="B3996">
        <v>110.9</v>
      </c>
      <c r="C3996" s="2">
        <f t="shared" si="63"/>
        <v>0</v>
      </c>
    </row>
    <row r="3997" spans="1:3" x14ac:dyDescent="0.2">
      <c r="A3997" s="1">
        <v>40262</v>
      </c>
      <c r="B3997">
        <v>110.9</v>
      </c>
      <c r="C3997" s="2">
        <f t="shared" si="63"/>
        <v>9.0580329467456391E-3</v>
      </c>
    </row>
    <row r="3998" spans="1:3" x14ac:dyDescent="0.2">
      <c r="A3998" s="1">
        <v>40261</v>
      </c>
      <c r="B3998">
        <v>109.9</v>
      </c>
      <c r="C3998" s="2">
        <f t="shared" si="63"/>
        <v>-6.3492276786586681E-3</v>
      </c>
    </row>
    <row r="3999" spans="1:3" x14ac:dyDescent="0.2">
      <c r="A3999" s="1">
        <v>40260</v>
      </c>
      <c r="B3999">
        <v>110.6</v>
      </c>
      <c r="C3999" s="2">
        <f t="shared" si="63"/>
        <v>2.1938722675853117E-2</v>
      </c>
    </row>
    <row r="4000" spans="1:3" x14ac:dyDescent="0.2">
      <c r="A4000" s="1">
        <v>40259</v>
      </c>
      <c r="B4000">
        <v>108.2</v>
      </c>
      <c r="C4000" s="2">
        <f t="shared" si="63"/>
        <v>-4.6104277147826092E-3</v>
      </c>
    </row>
    <row r="4001" spans="1:3" x14ac:dyDescent="0.2">
      <c r="A4001" s="1">
        <v>40256</v>
      </c>
      <c r="B4001">
        <v>108.7</v>
      </c>
      <c r="C4001" s="2">
        <f t="shared" si="63"/>
        <v>2.7637051216179423E-3</v>
      </c>
    </row>
    <row r="4002" spans="1:3" x14ac:dyDescent="0.2">
      <c r="A4002" s="1">
        <v>40255</v>
      </c>
      <c r="B4002">
        <v>108.4</v>
      </c>
      <c r="C4002" s="2">
        <f t="shared" si="63"/>
        <v>-1.1921278275638724E-2</v>
      </c>
    </row>
    <row r="4003" spans="1:3" x14ac:dyDescent="0.2">
      <c r="A4003" s="1">
        <v>40254</v>
      </c>
      <c r="B4003">
        <v>109.7</v>
      </c>
      <c r="C4003" s="2">
        <f t="shared" si="63"/>
        <v>0</v>
      </c>
    </row>
    <row r="4004" spans="1:3" x14ac:dyDescent="0.2">
      <c r="A4004" s="1">
        <v>40253</v>
      </c>
      <c r="B4004">
        <v>109.7</v>
      </c>
      <c r="C4004" s="2">
        <f t="shared" si="63"/>
        <v>1.747170880628781E-2</v>
      </c>
    </row>
    <row r="4005" spans="1:3" x14ac:dyDescent="0.2">
      <c r="A4005" s="1">
        <v>40252</v>
      </c>
      <c r="B4005">
        <v>107.8</v>
      </c>
      <c r="C4005" s="2">
        <f t="shared" si="63"/>
        <v>-2.1111385253737475E-2</v>
      </c>
    </row>
    <row r="4006" spans="1:3" x14ac:dyDescent="0.2">
      <c r="A4006" s="1">
        <v>40249</v>
      </c>
      <c r="B4006">
        <v>110.1</v>
      </c>
      <c r="C4006" s="2">
        <f t="shared" si="63"/>
        <v>-2.7210901143607247E-3</v>
      </c>
    </row>
    <row r="4007" spans="1:3" x14ac:dyDescent="0.2">
      <c r="A4007" s="1">
        <v>40248</v>
      </c>
      <c r="B4007">
        <v>110.4</v>
      </c>
      <c r="C4007" s="2">
        <f t="shared" si="63"/>
        <v>3.6297680505787311E-3</v>
      </c>
    </row>
    <row r="4008" spans="1:3" x14ac:dyDescent="0.2">
      <c r="A4008" s="1">
        <v>40247</v>
      </c>
      <c r="B4008">
        <v>110</v>
      </c>
      <c r="C4008" s="2">
        <f t="shared" si="63"/>
        <v>1.0050335853501286E-2</v>
      </c>
    </row>
    <row r="4009" spans="1:3" x14ac:dyDescent="0.2">
      <c r="A4009" s="1">
        <v>40246</v>
      </c>
      <c r="B4009">
        <v>108.9</v>
      </c>
      <c r="C4009" s="2">
        <f t="shared" si="63"/>
        <v>1.0152371464018128E-2</v>
      </c>
    </row>
    <row r="4010" spans="1:3" x14ac:dyDescent="0.2">
      <c r="A4010" s="1">
        <v>40245</v>
      </c>
      <c r="B4010">
        <v>107.8</v>
      </c>
      <c r="C4010" s="2">
        <f t="shared" si="63"/>
        <v>1.1194146743152708E-2</v>
      </c>
    </row>
    <row r="4011" spans="1:3" x14ac:dyDescent="0.2">
      <c r="A4011" s="1">
        <v>40242</v>
      </c>
      <c r="B4011">
        <v>106.6</v>
      </c>
      <c r="C4011" s="2">
        <f t="shared" si="63"/>
        <v>2.0853836283205779E-2</v>
      </c>
    </row>
    <row r="4012" spans="1:3" x14ac:dyDescent="0.2">
      <c r="A4012" s="1">
        <v>40241</v>
      </c>
      <c r="B4012">
        <v>104.4</v>
      </c>
      <c r="C4012" s="2">
        <f t="shared" si="63"/>
        <v>-4.7778399537131968E-3</v>
      </c>
    </row>
    <row r="4013" spans="1:3" x14ac:dyDescent="0.2">
      <c r="A4013" s="1">
        <v>40240</v>
      </c>
      <c r="B4013">
        <v>104.9</v>
      </c>
      <c r="C4013" s="2">
        <f t="shared" si="63"/>
        <v>1.1505400166769885E-2</v>
      </c>
    </row>
    <row r="4014" spans="1:3" x14ac:dyDescent="0.2">
      <c r="A4014" s="1">
        <v>40239</v>
      </c>
      <c r="B4014">
        <v>103.7</v>
      </c>
      <c r="C4014" s="2">
        <f t="shared" si="63"/>
        <v>4.8332621880192942E-3</v>
      </c>
    </row>
    <row r="4015" spans="1:3" x14ac:dyDescent="0.2">
      <c r="A4015" s="1">
        <v>40238</v>
      </c>
      <c r="B4015">
        <v>103.2</v>
      </c>
      <c r="C4015" s="2">
        <f t="shared" si="63"/>
        <v>2.0558727021036786E-2</v>
      </c>
    </row>
    <row r="4016" spans="1:3" x14ac:dyDescent="0.2">
      <c r="A4016" s="1">
        <v>40235</v>
      </c>
      <c r="B4016">
        <v>101.1</v>
      </c>
      <c r="C4016" s="2">
        <f t="shared" si="63"/>
        <v>6.9479187687969046E-3</v>
      </c>
    </row>
    <row r="4017" spans="1:3" x14ac:dyDescent="0.2">
      <c r="A4017" s="1">
        <v>40234</v>
      </c>
      <c r="B4017">
        <v>100.4</v>
      </c>
      <c r="C4017" s="2">
        <f t="shared" si="63"/>
        <v>-4.9677201019344445E-3</v>
      </c>
    </row>
    <row r="4018" spans="1:3" x14ac:dyDescent="0.2">
      <c r="A4018" s="1">
        <v>40233</v>
      </c>
      <c r="B4018">
        <v>100.9</v>
      </c>
      <c r="C4018" s="2">
        <f t="shared" si="63"/>
        <v>-1.084288592470777E-2</v>
      </c>
    </row>
    <row r="4019" spans="1:3" x14ac:dyDescent="0.2">
      <c r="A4019" s="1">
        <v>40232</v>
      </c>
      <c r="B4019">
        <v>102</v>
      </c>
      <c r="C4019" s="2">
        <f t="shared" si="63"/>
        <v>-1.4598799421152636E-2</v>
      </c>
    </row>
    <row r="4020" spans="1:3" x14ac:dyDescent="0.2">
      <c r="A4020" s="1">
        <v>40231</v>
      </c>
      <c r="B4020">
        <v>103.5</v>
      </c>
      <c r="C4020" s="2">
        <f t="shared" si="63"/>
        <v>-1.6291687598185778E-2</v>
      </c>
    </row>
    <row r="4021" spans="1:3" x14ac:dyDescent="0.2">
      <c r="A4021" s="1">
        <v>40228</v>
      </c>
      <c r="B4021">
        <v>105.2</v>
      </c>
      <c r="C4021" s="2">
        <f t="shared" si="63"/>
        <v>1.0511324682686323E-2</v>
      </c>
    </row>
    <row r="4022" spans="1:3" x14ac:dyDescent="0.2">
      <c r="A4022" s="1">
        <v>40227</v>
      </c>
      <c r="B4022">
        <v>104.1</v>
      </c>
      <c r="C4022" s="2">
        <f t="shared" si="63"/>
        <v>1.3539858686410489E-2</v>
      </c>
    </row>
    <row r="4023" spans="1:3" x14ac:dyDescent="0.2">
      <c r="A4023" s="1">
        <v>40226</v>
      </c>
      <c r="B4023">
        <v>102.7</v>
      </c>
      <c r="C4023" s="2">
        <f t="shared" si="63"/>
        <v>1.9666317209995943E-2</v>
      </c>
    </row>
    <row r="4024" spans="1:3" x14ac:dyDescent="0.2">
      <c r="A4024" s="1">
        <v>40225</v>
      </c>
      <c r="B4024">
        <v>100.7</v>
      </c>
      <c r="C4024" s="2">
        <f t="shared" si="63"/>
        <v>1.5511944758711559E-2</v>
      </c>
    </row>
    <row r="4025" spans="1:3" x14ac:dyDescent="0.2">
      <c r="A4025" s="1">
        <v>40224</v>
      </c>
      <c r="B4025">
        <v>99.15</v>
      </c>
      <c r="C4025" s="2">
        <f t="shared" si="63"/>
        <v>-8.5363310222863354E-3</v>
      </c>
    </row>
    <row r="4026" spans="1:3" x14ac:dyDescent="0.2">
      <c r="A4026" s="1">
        <v>40221</v>
      </c>
      <c r="B4026">
        <v>100</v>
      </c>
      <c r="C4026" s="2">
        <f t="shared" si="63"/>
        <v>-1.2916225266546288E-2</v>
      </c>
    </row>
    <row r="4027" spans="1:3" x14ac:dyDescent="0.2">
      <c r="A4027" s="1">
        <v>40220</v>
      </c>
      <c r="B4027">
        <v>101.3</v>
      </c>
      <c r="C4027" s="2">
        <f t="shared" si="63"/>
        <v>1.9762852282119588E-3</v>
      </c>
    </row>
    <row r="4028" spans="1:3" x14ac:dyDescent="0.2">
      <c r="A4028" s="1">
        <v>40219</v>
      </c>
      <c r="B4028">
        <v>101.1</v>
      </c>
      <c r="C4028" s="2">
        <f t="shared" si="63"/>
        <v>-9.8863082693954321E-4</v>
      </c>
    </row>
    <row r="4029" spans="1:3" x14ac:dyDescent="0.2">
      <c r="A4029" s="1">
        <v>40218</v>
      </c>
      <c r="B4029">
        <v>101.2</v>
      </c>
      <c r="C4029" s="2">
        <f t="shared" si="63"/>
        <v>1.9960742562538152E-2</v>
      </c>
    </row>
    <row r="4030" spans="1:3" x14ac:dyDescent="0.2">
      <c r="A4030" s="1">
        <v>40217</v>
      </c>
      <c r="B4030">
        <v>99.2</v>
      </c>
      <c r="C4030" s="2">
        <f t="shared" si="63"/>
        <v>-5.0390527647265664E-4</v>
      </c>
    </row>
    <row r="4031" spans="1:3" x14ac:dyDescent="0.2">
      <c r="A4031" s="1">
        <v>40214</v>
      </c>
      <c r="B4031">
        <v>99.25</v>
      </c>
      <c r="C4031" s="2">
        <f t="shared" si="63"/>
        <v>-2.438538348721446E-2</v>
      </c>
    </row>
    <row r="4032" spans="1:3" x14ac:dyDescent="0.2">
      <c r="A4032" s="1">
        <v>40213</v>
      </c>
      <c r="B4032">
        <v>101.7</v>
      </c>
      <c r="C4032" s="2">
        <f t="shared" si="63"/>
        <v>-2.4284826264752275E-2</v>
      </c>
    </row>
    <row r="4033" spans="1:3" x14ac:dyDescent="0.2">
      <c r="A4033" s="1">
        <v>40212</v>
      </c>
      <c r="B4033">
        <v>104.2</v>
      </c>
      <c r="C4033" s="2">
        <f t="shared" si="63"/>
        <v>1.8402456361685731E-2</v>
      </c>
    </row>
    <row r="4034" spans="1:3" x14ac:dyDescent="0.2">
      <c r="A4034" s="1">
        <v>40211</v>
      </c>
      <c r="B4034">
        <v>102.3</v>
      </c>
      <c r="C4034" s="2">
        <f t="shared" si="63"/>
        <v>5.8823699030663918E-3</v>
      </c>
    </row>
    <row r="4035" spans="1:3" x14ac:dyDescent="0.2">
      <c r="A4035" s="1">
        <v>40210</v>
      </c>
      <c r="B4035">
        <v>101.7</v>
      </c>
      <c r="C4035" s="2">
        <f t="shared" ref="C4035:C4098" si="64">+LN(B4035/B4036)</f>
        <v>4.9285462011491796E-3</v>
      </c>
    </row>
    <row r="4036" spans="1:3" x14ac:dyDescent="0.2">
      <c r="A4036" s="1">
        <v>40207</v>
      </c>
      <c r="B4036">
        <v>101.2</v>
      </c>
      <c r="C4036" s="2">
        <f t="shared" si="64"/>
        <v>2.9074729700244328E-2</v>
      </c>
    </row>
    <row r="4037" spans="1:3" x14ac:dyDescent="0.2">
      <c r="A4037" s="1">
        <v>40206</v>
      </c>
      <c r="B4037">
        <v>98.3</v>
      </c>
      <c r="C4037" s="2">
        <f t="shared" si="64"/>
        <v>-3.6948786131150192E-2</v>
      </c>
    </row>
    <row r="4038" spans="1:3" x14ac:dyDescent="0.2">
      <c r="A4038" s="1">
        <v>40205</v>
      </c>
      <c r="B4038">
        <v>102</v>
      </c>
      <c r="C4038" s="2">
        <f t="shared" si="64"/>
        <v>1.4815085785140682E-2</v>
      </c>
    </row>
    <row r="4039" spans="1:3" x14ac:dyDescent="0.2">
      <c r="A4039" s="1">
        <v>40204</v>
      </c>
      <c r="B4039">
        <v>100.5</v>
      </c>
      <c r="C4039" s="2">
        <f t="shared" si="64"/>
        <v>0</v>
      </c>
    </row>
    <row r="4040" spans="1:3" x14ac:dyDescent="0.2">
      <c r="A4040" s="1">
        <v>40203</v>
      </c>
      <c r="B4040">
        <v>100.5</v>
      </c>
      <c r="C4040" s="2">
        <f t="shared" si="64"/>
        <v>-4.9627893421290139E-3</v>
      </c>
    </row>
    <row r="4041" spans="1:3" x14ac:dyDescent="0.2">
      <c r="A4041" s="1">
        <v>40200</v>
      </c>
      <c r="B4041">
        <v>101</v>
      </c>
      <c r="C4041" s="2">
        <f t="shared" si="64"/>
        <v>-4.9382816405825663E-3</v>
      </c>
    </row>
    <row r="4042" spans="1:3" x14ac:dyDescent="0.2">
      <c r="A4042" s="1">
        <v>40199</v>
      </c>
      <c r="B4042">
        <v>101.5</v>
      </c>
      <c r="C4042" s="2">
        <f t="shared" si="64"/>
        <v>-8.827914123565388E-3</v>
      </c>
    </row>
    <row r="4043" spans="1:3" x14ac:dyDescent="0.2">
      <c r="A4043" s="1">
        <v>40198</v>
      </c>
      <c r="B4043">
        <v>102.4</v>
      </c>
      <c r="C4043" s="2">
        <f t="shared" si="64"/>
        <v>3.9138993211363148E-3</v>
      </c>
    </row>
    <row r="4044" spans="1:3" x14ac:dyDescent="0.2">
      <c r="A4044" s="1">
        <v>40197</v>
      </c>
      <c r="B4044">
        <v>102</v>
      </c>
      <c r="C4044" s="2">
        <f t="shared" si="64"/>
        <v>6.8864020296334821E-3</v>
      </c>
    </row>
    <row r="4045" spans="1:3" x14ac:dyDescent="0.2">
      <c r="A4045" s="1">
        <v>40196</v>
      </c>
      <c r="B4045">
        <v>101.3</v>
      </c>
      <c r="C4045" s="2">
        <f t="shared" si="64"/>
        <v>4.9480556173694375E-3</v>
      </c>
    </row>
    <row r="4046" spans="1:3" x14ac:dyDescent="0.2">
      <c r="A4046" s="1">
        <v>40193</v>
      </c>
      <c r="B4046">
        <v>100.8</v>
      </c>
      <c r="C4046" s="2">
        <f t="shared" si="64"/>
        <v>-1.769957709940086E-2</v>
      </c>
    </row>
    <row r="4047" spans="1:3" x14ac:dyDescent="0.2">
      <c r="A4047" s="1">
        <v>40192</v>
      </c>
      <c r="B4047">
        <v>102.6</v>
      </c>
      <c r="C4047" s="2">
        <f t="shared" si="64"/>
        <v>-3.8910554929666762E-3</v>
      </c>
    </row>
    <row r="4048" spans="1:3" x14ac:dyDescent="0.2">
      <c r="A4048" s="1">
        <v>40191</v>
      </c>
      <c r="B4048">
        <v>103</v>
      </c>
      <c r="C4048" s="2">
        <f t="shared" si="64"/>
        <v>4.8661896511729063E-3</v>
      </c>
    </row>
    <row r="4049" spans="1:3" x14ac:dyDescent="0.2">
      <c r="A4049" s="1">
        <v>40190</v>
      </c>
      <c r="B4049">
        <v>102.5</v>
      </c>
      <c r="C4049" s="2">
        <f t="shared" si="64"/>
        <v>-2.409755157906053E-2</v>
      </c>
    </row>
    <row r="4050" spans="1:3" x14ac:dyDescent="0.2">
      <c r="A4050" s="1">
        <v>40189</v>
      </c>
      <c r="B4050">
        <v>105</v>
      </c>
      <c r="C4050" s="2">
        <f t="shared" si="64"/>
        <v>0</v>
      </c>
    </row>
    <row r="4051" spans="1:3" x14ac:dyDescent="0.2">
      <c r="A4051" s="1">
        <v>40186</v>
      </c>
      <c r="B4051">
        <v>105</v>
      </c>
      <c r="C4051" s="2">
        <f t="shared" si="64"/>
        <v>8.6083745366003217E-3</v>
      </c>
    </row>
    <row r="4052" spans="1:3" x14ac:dyDescent="0.2">
      <c r="A4052" s="1">
        <v>40185</v>
      </c>
      <c r="B4052">
        <v>104.1</v>
      </c>
      <c r="C4052" s="2">
        <f t="shared" si="64"/>
        <v>3.0231458779663774E-2</v>
      </c>
    </row>
    <row r="4053" spans="1:3" x14ac:dyDescent="0.2">
      <c r="A4053" s="1">
        <v>40183</v>
      </c>
      <c r="B4053">
        <v>101</v>
      </c>
      <c r="C4053" s="2">
        <f t="shared" si="64"/>
        <v>-2.9658944133781765E-3</v>
      </c>
    </row>
    <row r="4054" spans="1:3" x14ac:dyDescent="0.2">
      <c r="A4054" s="1">
        <v>40182</v>
      </c>
      <c r="B4054">
        <v>101.3</v>
      </c>
      <c r="C4054" s="2">
        <f t="shared" si="64"/>
        <v>2.2966561120047808E-2</v>
      </c>
    </row>
    <row r="4055" spans="1:3" x14ac:dyDescent="0.2">
      <c r="A4055" s="1">
        <v>40177</v>
      </c>
      <c r="B4055">
        <v>99</v>
      </c>
      <c r="C4055" s="2">
        <f t="shared" si="64"/>
        <v>2.5284463533586906E-3</v>
      </c>
    </row>
    <row r="4056" spans="1:3" x14ac:dyDescent="0.2">
      <c r="A4056" s="1">
        <v>40176</v>
      </c>
      <c r="B4056">
        <v>98.75</v>
      </c>
      <c r="C4056" s="2">
        <f t="shared" si="64"/>
        <v>2.0273701825020401E-3</v>
      </c>
    </row>
    <row r="4057" spans="1:3" x14ac:dyDescent="0.2">
      <c r="A4057" s="1">
        <v>40175</v>
      </c>
      <c r="B4057">
        <v>98.55</v>
      </c>
      <c r="C4057" s="2">
        <f t="shared" si="64"/>
        <v>6.6174840622643368E-3</v>
      </c>
    </row>
    <row r="4058" spans="1:3" x14ac:dyDescent="0.2">
      <c r="A4058" s="1">
        <v>40170</v>
      </c>
      <c r="B4058">
        <v>97.9</v>
      </c>
      <c r="C4058" s="2">
        <f t="shared" si="64"/>
        <v>6.1475603445054396E-3</v>
      </c>
    </row>
    <row r="4059" spans="1:3" x14ac:dyDescent="0.2">
      <c r="A4059" s="1">
        <v>40169</v>
      </c>
      <c r="B4059">
        <v>97.3</v>
      </c>
      <c r="C4059" s="2">
        <f t="shared" si="64"/>
        <v>1.3450797724123038E-2</v>
      </c>
    </row>
    <row r="4060" spans="1:3" x14ac:dyDescent="0.2">
      <c r="A4060" s="1">
        <v>40168</v>
      </c>
      <c r="B4060">
        <v>96</v>
      </c>
      <c r="C4060" s="2">
        <f t="shared" si="64"/>
        <v>1.5219396363369846E-2</v>
      </c>
    </row>
    <row r="4061" spans="1:3" x14ac:dyDescent="0.2">
      <c r="A4061" s="1">
        <v>40165</v>
      </c>
      <c r="B4061">
        <v>94.55</v>
      </c>
      <c r="C4061" s="2">
        <f t="shared" si="64"/>
        <v>-1.5219396363369768E-2</v>
      </c>
    </row>
    <row r="4062" spans="1:3" x14ac:dyDescent="0.2">
      <c r="A4062" s="1">
        <v>40164</v>
      </c>
      <c r="B4062">
        <v>96</v>
      </c>
      <c r="C4062" s="2">
        <f t="shared" si="64"/>
        <v>-7.7821404420549628E-3</v>
      </c>
    </row>
    <row r="4063" spans="1:3" x14ac:dyDescent="0.2">
      <c r="A4063" s="1">
        <v>40163</v>
      </c>
      <c r="B4063">
        <v>96.75</v>
      </c>
      <c r="C4063" s="2">
        <f t="shared" si="64"/>
        <v>6.2208598751023123E-3</v>
      </c>
    </row>
    <row r="4064" spans="1:3" x14ac:dyDescent="0.2">
      <c r="A4064" s="1">
        <v>40162</v>
      </c>
      <c r="B4064">
        <v>96.15</v>
      </c>
      <c r="C4064" s="2">
        <f t="shared" si="64"/>
        <v>-1.394290596901275E-2</v>
      </c>
    </row>
    <row r="4065" spans="1:3" x14ac:dyDescent="0.2">
      <c r="A4065" s="1">
        <v>40161</v>
      </c>
      <c r="B4065">
        <v>97.5</v>
      </c>
      <c r="C4065" s="2">
        <f t="shared" si="64"/>
        <v>8.2389755445528619E-3</v>
      </c>
    </row>
    <row r="4066" spans="1:3" x14ac:dyDescent="0.2">
      <c r="A4066" s="1">
        <v>40158</v>
      </c>
      <c r="B4066">
        <v>96.7</v>
      </c>
      <c r="C4066" s="2">
        <f t="shared" si="64"/>
        <v>3.6260075988732523E-3</v>
      </c>
    </row>
    <row r="4067" spans="1:3" x14ac:dyDescent="0.2">
      <c r="A4067" s="1">
        <v>40157</v>
      </c>
      <c r="B4067">
        <v>96.35</v>
      </c>
      <c r="C4067" s="2">
        <f t="shared" si="64"/>
        <v>-8.268780963073789E-3</v>
      </c>
    </row>
    <row r="4068" spans="1:3" x14ac:dyDescent="0.2">
      <c r="A4068" s="1">
        <v>40156</v>
      </c>
      <c r="B4068">
        <v>97.15</v>
      </c>
      <c r="C4068" s="2">
        <f t="shared" si="64"/>
        <v>-3.0832501301207306E-3</v>
      </c>
    </row>
    <row r="4069" spans="1:3" x14ac:dyDescent="0.2">
      <c r="A4069" s="1">
        <v>40155</v>
      </c>
      <c r="B4069">
        <v>97.45</v>
      </c>
      <c r="C4069" s="2">
        <f t="shared" si="64"/>
        <v>-1.5780424181020044E-2</v>
      </c>
    </row>
    <row r="4070" spans="1:3" x14ac:dyDescent="0.2">
      <c r="A4070" s="1">
        <v>40154</v>
      </c>
      <c r="B4070">
        <v>99</v>
      </c>
      <c r="C4070" s="2">
        <f t="shared" si="64"/>
        <v>6.0790460763821925E-3</v>
      </c>
    </row>
    <row r="4071" spans="1:3" x14ac:dyDescent="0.2">
      <c r="A4071" s="1">
        <v>40151</v>
      </c>
      <c r="B4071">
        <v>98.4</v>
      </c>
      <c r="C4071" s="2">
        <f t="shared" si="64"/>
        <v>2.543883335737681E-3</v>
      </c>
    </row>
    <row r="4072" spans="1:3" x14ac:dyDescent="0.2">
      <c r="A4072" s="1">
        <v>40150</v>
      </c>
      <c r="B4072">
        <v>98.15</v>
      </c>
      <c r="C4072" s="2">
        <f t="shared" si="64"/>
        <v>5.0955415115280485E-4</v>
      </c>
    </row>
    <row r="4073" spans="1:3" x14ac:dyDescent="0.2">
      <c r="A4073" s="1">
        <v>40149</v>
      </c>
      <c r="B4073">
        <v>98.1</v>
      </c>
      <c r="C4073" s="2">
        <f t="shared" si="64"/>
        <v>1.6444358226377041E-2</v>
      </c>
    </row>
    <row r="4074" spans="1:3" x14ac:dyDescent="0.2">
      <c r="A4074" s="1">
        <v>40148</v>
      </c>
      <c r="B4074">
        <v>96.5</v>
      </c>
      <c r="C4074" s="2">
        <f t="shared" si="64"/>
        <v>3.7481294177487232E-2</v>
      </c>
    </row>
    <row r="4075" spans="1:3" x14ac:dyDescent="0.2">
      <c r="A4075" s="1">
        <v>40147</v>
      </c>
      <c r="B4075">
        <v>92.95</v>
      </c>
      <c r="C4075" s="2">
        <f t="shared" si="64"/>
        <v>-1.2827540935708469E-2</v>
      </c>
    </row>
    <row r="4076" spans="1:3" x14ac:dyDescent="0.2">
      <c r="A4076" s="1">
        <v>40144</v>
      </c>
      <c r="B4076">
        <v>94.15</v>
      </c>
      <c r="C4076" s="2">
        <f t="shared" si="64"/>
        <v>1.1215070820140224E-2</v>
      </c>
    </row>
    <row r="4077" spans="1:3" x14ac:dyDescent="0.2">
      <c r="A4077" s="1">
        <v>40143</v>
      </c>
      <c r="B4077">
        <v>93.1</v>
      </c>
      <c r="C4077" s="2">
        <f t="shared" si="64"/>
        <v>-2.9631797606371229E-2</v>
      </c>
    </row>
    <row r="4078" spans="1:3" x14ac:dyDescent="0.2">
      <c r="A4078" s="1">
        <v>40142</v>
      </c>
      <c r="B4078">
        <v>95.9</v>
      </c>
      <c r="C4078" s="2">
        <f t="shared" si="64"/>
        <v>1.153657262841655E-2</v>
      </c>
    </row>
    <row r="4079" spans="1:3" x14ac:dyDescent="0.2">
      <c r="A4079" s="1">
        <v>40141</v>
      </c>
      <c r="B4079">
        <v>94.8</v>
      </c>
      <c r="C4079" s="2">
        <f t="shared" si="64"/>
        <v>-1.0542963549061591E-3</v>
      </c>
    </row>
    <row r="4080" spans="1:3" x14ac:dyDescent="0.2">
      <c r="A4080" s="1">
        <v>40140</v>
      </c>
      <c r="B4080">
        <v>94.9</v>
      </c>
      <c r="C4080" s="2">
        <f t="shared" si="64"/>
        <v>3.4301326353463009E-2</v>
      </c>
    </row>
    <row r="4081" spans="1:3" x14ac:dyDescent="0.2">
      <c r="A4081" s="1">
        <v>40137</v>
      </c>
      <c r="B4081">
        <v>91.7</v>
      </c>
      <c r="C4081" s="2">
        <f t="shared" si="64"/>
        <v>7.6628727455690972E-3</v>
      </c>
    </row>
    <row r="4082" spans="1:3" x14ac:dyDescent="0.2">
      <c r="A4082" s="1">
        <v>40136</v>
      </c>
      <c r="B4082">
        <v>91</v>
      </c>
      <c r="C4082" s="2">
        <f t="shared" si="64"/>
        <v>-1.2015436744411013E-2</v>
      </c>
    </row>
    <row r="4083" spans="1:3" x14ac:dyDescent="0.2">
      <c r="A4083" s="1">
        <v>40135</v>
      </c>
      <c r="B4083">
        <v>92.1</v>
      </c>
    </row>
    <row r="4084" spans="1:3" x14ac:dyDescent="0.2">
      <c r="A4084" s="1">
        <v>40134</v>
      </c>
      <c r="B4084">
        <v>90.85</v>
      </c>
      <c r="C4084" s="2">
        <f t="shared" si="64"/>
        <v>-2.2313850977612768E-2</v>
      </c>
    </row>
    <row r="4085" spans="1:3" x14ac:dyDescent="0.2">
      <c r="A4085" s="1">
        <v>40133</v>
      </c>
      <c r="B4085">
        <v>92.9</v>
      </c>
      <c r="C4085" s="2">
        <f t="shared" si="64"/>
        <v>2.0114839646176042E-2</v>
      </c>
    </row>
    <row r="4086" spans="1:3" x14ac:dyDescent="0.2">
      <c r="A4086" s="1">
        <v>40130</v>
      </c>
      <c r="B4086">
        <v>91.05</v>
      </c>
      <c r="C4086" s="2">
        <f t="shared" si="64"/>
        <v>1.048864155932485E-2</v>
      </c>
    </row>
    <row r="4087" spans="1:3" x14ac:dyDescent="0.2">
      <c r="A4087" s="1">
        <v>40129</v>
      </c>
      <c r="B4087">
        <v>90.1</v>
      </c>
      <c r="C4087" s="2">
        <f t="shared" si="64"/>
        <v>1.3408022094433156E-2</v>
      </c>
    </row>
    <row r="4088" spans="1:3" x14ac:dyDescent="0.2">
      <c r="A4088" s="1">
        <v>40128</v>
      </c>
      <c r="B4088">
        <v>88.9</v>
      </c>
      <c r="C4088" s="2">
        <f t="shared" si="64"/>
        <v>5.6401728762611233E-3</v>
      </c>
    </row>
    <row r="4089" spans="1:3" x14ac:dyDescent="0.2">
      <c r="A4089" s="1">
        <v>40127</v>
      </c>
      <c r="B4089">
        <v>88.4</v>
      </c>
      <c r="C4089" s="2">
        <f t="shared" si="64"/>
        <v>-3.387919671936003E-3</v>
      </c>
    </row>
    <row r="4090" spans="1:3" x14ac:dyDescent="0.2">
      <c r="A4090" s="1">
        <v>40126</v>
      </c>
      <c r="B4090">
        <v>88.7</v>
      </c>
      <c r="C4090" s="2">
        <f t="shared" si="64"/>
        <v>1.6482328232997362E-2</v>
      </c>
    </row>
    <row r="4091" spans="1:3" x14ac:dyDescent="0.2">
      <c r="A4091" s="1">
        <v>40123</v>
      </c>
      <c r="B4091">
        <v>87.25</v>
      </c>
      <c r="C4091" s="2">
        <f t="shared" si="64"/>
        <v>0</v>
      </c>
    </row>
    <row r="4092" spans="1:3" x14ac:dyDescent="0.2">
      <c r="A4092" s="1">
        <v>40122</v>
      </c>
      <c r="B4092">
        <v>87.25</v>
      </c>
      <c r="C4092" s="2">
        <f t="shared" si="64"/>
        <v>1.0368756489849014E-2</v>
      </c>
    </row>
    <row r="4093" spans="1:3" x14ac:dyDescent="0.2">
      <c r="A4093" s="1">
        <v>40121</v>
      </c>
      <c r="B4093">
        <v>86.35</v>
      </c>
      <c r="C4093" s="2">
        <f t="shared" si="64"/>
        <v>1.3407370757417452E-2</v>
      </c>
    </row>
    <row r="4094" spans="1:3" x14ac:dyDescent="0.2">
      <c r="A4094" s="1">
        <v>40120</v>
      </c>
      <c r="B4094">
        <v>85.2</v>
      </c>
      <c r="C4094" s="2">
        <f t="shared" si="64"/>
        <v>-1.5142980102563526E-2</v>
      </c>
    </row>
    <row r="4095" spans="1:3" x14ac:dyDescent="0.2">
      <c r="A4095" s="1">
        <v>40119</v>
      </c>
      <c r="B4095">
        <v>86.5</v>
      </c>
      <c r="C4095" s="2">
        <f t="shared" si="64"/>
        <v>-2.2293006667960621E-2</v>
      </c>
    </row>
    <row r="4096" spans="1:3" x14ac:dyDescent="0.2">
      <c r="A4096" s="1">
        <v>40116</v>
      </c>
      <c r="B4096">
        <v>88.45</v>
      </c>
      <c r="C4096" s="2">
        <f t="shared" si="64"/>
        <v>1.1942137944304385E-2</v>
      </c>
    </row>
    <row r="4097" spans="1:3" x14ac:dyDescent="0.2">
      <c r="A4097" s="1">
        <v>40115</v>
      </c>
      <c r="B4097">
        <v>87.4</v>
      </c>
      <c r="C4097" s="2">
        <f t="shared" si="64"/>
        <v>2.4907166497863755E-2</v>
      </c>
    </row>
    <row r="4098" spans="1:3" x14ac:dyDescent="0.2">
      <c r="A4098" s="1">
        <v>40114</v>
      </c>
      <c r="B4098">
        <v>85.25</v>
      </c>
      <c r="C4098" s="2">
        <f t="shared" si="64"/>
        <v>-2.6621942568234701E-2</v>
      </c>
    </row>
    <row r="4099" spans="1:3" x14ac:dyDescent="0.2">
      <c r="A4099" s="1">
        <v>40113</v>
      </c>
      <c r="B4099">
        <v>87.55</v>
      </c>
      <c r="C4099" s="2">
        <f t="shared" ref="C4099:C4162" si="65">+LN(B4099/B4100)</f>
        <v>-6.8298501120184815E-3</v>
      </c>
    </row>
    <row r="4100" spans="1:3" x14ac:dyDescent="0.2">
      <c r="A4100" s="1">
        <v>40112</v>
      </c>
      <c r="B4100">
        <v>88.15</v>
      </c>
      <c r="C4100" s="2">
        <f t="shared" si="65"/>
        <v>1.7030943656727656E-3</v>
      </c>
    </row>
    <row r="4101" spans="1:3" x14ac:dyDescent="0.2">
      <c r="A4101" s="1">
        <v>40109</v>
      </c>
      <c r="B4101">
        <v>88</v>
      </c>
      <c r="C4101" s="2">
        <f t="shared" si="65"/>
        <v>1.142869582362285E-2</v>
      </c>
    </row>
    <row r="4102" spans="1:3" x14ac:dyDescent="0.2">
      <c r="A4102" s="1">
        <v>40108</v>
      </c>
      <c r="B4102">
        <v>87</v>
      </c>
      <c r="C4102" s="2">
        <f t="shared" si="65"/>
        <v>4.6083030861944025E-3</v>
      </c>
    </row>
    <row r="4103" spans="1:3" x14ac:dyDescent="0.2">
      <c r="A4103" s="1">
        <v>40107</v>
      </c>
      <c r="B4103">
        <v>86.6</v>
      </c>
      <c r="C4103" s="2">
        <f t="shared" si="65"/>
        <v>2.218421391038072E-2</v>
      </c>
    </row>
    <row r="4104" spans="1:3" x14ac:dyDescent="0.2">
      <c r="A4104" s="1">
        <v>40106</v>
      </c>
      <c r="B4104">
        <v>84.7</v>
      </c>
      <c r="C4104" s="2">
        <f t="shared" si="65"/>
        <v>9.4899881848482092E-3</v>
      </c>
    </row>
    <row r="4105" spans="1:3" x14ac:dyDescent="0.2">
      <c r="A4105" s="1">
        <v>40105</v>
      </c>
      <c r="B4105">
        <v>83.9</v>
      </c>
      <c r="C4105" s="2">
        <f t="shared" si="65"/>
        <v>7.1770643003636501E-3</v>
      </c>
    </row>
    <row r="4106" spans="1:3" x14ac:dyDescent="0.2">
      <c r="A4106" s="1">
        <v>40102</v>
      </c>
      <c r="B4106">
        <v>83.3</v>
      </c>
      <c r="C4106" s="2">
        <f t="shared" si="65"/>
        <v>-9.5580178061053563E-3</v>
      </c>
    </row>
    <row r="4107" spans="1:3" x14ac:dyDescent="0.2">
      <c r="A4107" s="1">
        <v>40101</v>
      </c>
      <c r="B4107">
        <v>84.1</v>
      </c>
      <c r="C4107" s="2">
        <f t="shared" si="65"/>
        <v>0</v>
      </c>
    </row>
    <row r="4108" spans="1:3" x14ac:dyDescent="0.2">
      <c r="A4108" s="1">
        <v>40100</v>
      </c>
      <c r="B4108">
        <v>84.1</v>
      </c>
      <c r="C4108" s="2">
        <f t="shared" si="65"/>
        <v>1.3165959182304303E-2</v>
      </c>
    </row>
    <row r="4109" spans="1:3" x14ac:dyDescent="0.2">
      <c r="A4109" s="1">
        <v>40099</v>
      </c>
      <c r="B4109">
        <v>83</v>
      </c>
      <c r="C4109" s="2">
        <f t="shared" si="65"/>
        <v>-1.1976191046715649E-2</v>
      </c>
    </row>
    <row r="4110" spans="1:3" x14ac:dyDescent="0.2">
      <c r="A4110" s="1">
        <v>40098</v>
      </c>
      <c r="B4110">
        <v>84</v>
      </c>
      <c r="C4110" s="2">
        <f t="shared" si="65"/>
        <v>1.3181736702064281E-2</v>
      </c>
    </row>
    <row r="4111" spans="1:3" x14ac:dyDescent="0.2">
      <c r="A4111" s="1">
        <v>40095</v>
      </c>
      <c r="B4111">
        <v>82.9</v>
      </c>
      <c r="C4111" s="2">
        <f t="shared" si="65"/>
        <v>9.6970456828669935E-3</v>
      </c>
    </row>
    <row r="4112" spans="1:3" x14ac:dyDescent="0.2">
      <c r="A4112" s="1">
        <v>40094</v>
      </c>
      <c r="B4112">
        <v>82.1</v>
      </c>
      <c r="C4112" s="2">
        <f t="shared" si="65"/>
        <v>2.2168395505666419E-2</v>
      </c>
    </row>
    <row r="4113" spans="1:3" x14ac:dyDescent="0.2">
      <c r="A4113" s="1">
        <v>40093</v>
      </c>
      <c r="B4113">
        <v>80.3</v>
      </c>
      <c r="C4113" s="2">
        <f t="shared" si="65"/>
        <v>1.2461060802471558E-3</v>
      </c>
    </row>
    <row r="4114" spans="1:3" x14ac:dyDescent="0.2">
      <c r="A4114" s="1">
        <v>40092</v>
      </c>
      <c r="B4114">
        <v>80.2</v>
      </c>
      <c r="C4114" s="2">
        <f t="shared" si="65"/>
        <v>2.6533458026828573E-2</v>
      </c>
    </row>
    <row r="4115" spans="1:3" x14ac:dyDescent="0.2">
      <c r="A4115" s="1">
        <v>40091</v>
      </c>
      <c r="B4115">
        <v>78.099999999999994</v>
      </c>
      <c r="C4115" s="2">
        <f t="shared" si="65"/>
        <v>3.8486256612942351E-3</v>
      </c>
    </row>
    <row r="4116" spans="1:3" x14ac:dyDescent="0.2">
      <c r="A4116" s="1">
        <v>40088</v>
      </c>
      <c r="B4116">
        <v>77.8</v>
      </c>
      <c r="C4116" s="2">
        <f t="shared" si="65"/>
        <v>-2.1615590475940295E-2</v>
      </c>
    </row>
    <row r="4117" spans="1:3" x14ac:dyDescent="0.2">
      <c r="A4117" s="1">
        <v>40087</v>
      </c>
      <c r="B4117">
        <v>79.5</v>
      </c>
      <c r="C4117" s="2">
        <f t="shared" si="65"/>
        <v>-2.8520221948415147E-2</v>
      </c>
    </row>
    <row r="4118" spans="1:3" x14ac:dyDescent="0.2">
      <c r="A4118" s="1">
        <v>40086</v>
      </c>
      <c r="B4118">
        <v>81.8</v>
      </c>
      <c r="C4118" s="2">
        <f t="shared" si="65"/>
        <v>-1.4563364187896555E-2</v>
      </c>
    </row>
    <row r="4119" spans="1:3" x14ac:dyDescent="0.2">
      <c r="A4119" s="1">
        <v>40085</v>
      </c>
      <c r="B4119">
        <v>83</v>
      </c>
      <c r="C4119" s="2">
        <f t="shared" si="65"/>
        <v>-1.3165959182304338E-2</v>
      </c>
    </row>
    <row r="4120" spans="1:3" x14ac:dyDescent="0.2">
      <c r="A4120" s="1">
        <v>40084</v>
      </c>
      <c r="B4120">
        <v>84.1</v>
      </c>
      <c r="C4120" s="2">
        <f t="shared" si="65"/>
        <v>1.7996886451970066E-2</v>
      </c>
    </row>
    <row r="4121" spans="1:3" x14ac:dyDescent="0.2">
      <c r="A4121" s="1">
        <v>40081</v>
      </c>
      <c r="B4121">
        <v>82.6</v>
      </c>
      <c r="C4121" s="2">
        <f t="shared" si="65"/>
        <v>-8.4388686458647076E-3</v>
      </c>
    </row>
    <row r="4122" spans="1:3" x14ac:dyDescent="0.2">
      <c r="A4122" s="1">
        <v>40080</v>
      </c>
      <c r="B4122">
        <v>83.3</v>
      </c>
      <c r="C4122" s="2">
        <f t="shared" si="65"/>
        <v>-3.4221628496850467E-2</v>
      </c>
    </row>
    <row r="4123" spans="1:3" x14ac:dyDescent="0.2">
      <c r="A4123" s="1">
        <v>40079</v>
      </c>
      <c r="B4123">
        <v>86.2</v>
      </c>
      <c r="C4123" s="2">
        <f t="shared" si="65"/>
        <v>-8.0878546016990051E-3</v>
      </c>
    </row>
    <row r="4124" spans="1:3" x14ac:dyDescent="0.2">
      <c r="A4124" s="1">
        <v>40078</v>
      </c>
      <c r="B4124">
        <v>86.9</v>
      </c>
      <c r="C4124" s="2">
        <f t="shared" si="65"/>
        <v>1.3905206667612188E-2</v>
      </c>
    </row>
    <row r="4125" spans="1:3" x14ac:dyDescent="0.2">
      <c r="A4125" s="1">
        <v>40077</v>
      </c>
      <c r="B4125">
        <v>85.7</v>
      </c>
      <c r="C4125" s="2">
        <f t="shared" si="65"/>
        <v>-8.1348502062758409E-3</v>
      </c>
    </row>
    <row r="4126" spans="1:3" x14ac:dyDescent="0.2">
      <c r="A4126" s="1">
        <v>40074</v>
      </c>
      <c r="B4126">
        <v>86.4</v>
      </c>
      <c r="C4126" s="2">
        <f t="shared" si="65"/>
        <v>1.1580777206278686E-3</v>
      </c>
    </row>
    <row r="4127" spans="1:3" x14ac:dyDescent="0.2">
      <c r="A4127" s="1">
        <v>40073</v>
      </c>
      <c r="B4127">
        <v>86.3</v>
      </c>
      <c r="C4127" s="2">
        <f t="shared" si="65"/>
        <v>0</v>
      </c>
    </row>
    <row r="4128" spans="1:3" x14ac:dyDescent="0.2">
      <c r="A4128" s="1">
        <v>40072</v>
      </c>
      <c r="B4128">
        <v>86.3</v>
      </c>
      <c r="C4128" s="2">
        <f t="shared" si="65"/>
        <v>1.5178341599065665E-2</v>
      </c>
    </row>
    <row r="4129" spans="1:3" x14ac:dyDescent="0.2">
      <c r="A4129" s="1">
        <v>40071</v>
      </c>
      <c r="B4129">
        <v>85</v>
      </c>
      <c r="C4129" s="2">
        <f t="shared" si="65"/>
        <v>-1.1757790890119504E-3</v>
      </c>
    </row>
    <row r="4130" spans="1:3" x14ac:dyDescent="0.2">
      <c r="A4130" s="1">
        <v>40070</v>
      </c>
      <c r="B4130">
        <v>85.1</v>
      </c>
      <c r="C4130" s="2">
        <f t="shared" si="65"/>
        <v>-4.6893403633861712E-3</v>
      </c>
    </row>
    <row r="4131" spans="1:3" x14ac:dyDescent="0.2">
      <c r="A4131" s="1">
        <v>40067</v>
      </c>
      <c r="B4131">
        <v>85.5</v>
      </c>
      <c r="C4131" s="2">
        <f t="shared" si="65"/>
        <v>2.3419214450811246E-3</v>
      </c>
    </row>
    <row r="4132" spans="1:3" x14ac:dyDescent="0.2">
      <c r="A4132" s="1">
        <v>40066</v>
      </c>
      <c r="B4132">
        <v>85.3</v>
      </c>
      <c r="C4132" s="2">
        <f t="shared" si="65"/>
        <v>2.853939235638395E-2</v>
      </c>
    </row>
    <row r="4133" spans="1:3" x14ac:dyDescent="0.2">
      <c r="A4133" s="1">
        <v>40065</v>
      </c>
      <c r="B4133">
        <v>82.9</v>
      </c>
      <c r="C4133" s="2">
        <f t="shared" si="65"/>
        <v>2.4421238076803357E-2</v>
      </c>
    </row>
    <row r="4134" spans="1:3" x14ac:dyDescent="0.2">
      <c r="A4134" s="1">
        <v>40064</v>
      </c>
      <c r="B4134">
        <v>80.900000000000006</v>
      </c>
      <c r="C4134" s="2">
        <f t="shared" si="65"/>
        <v>1.2368585373964223E-3</v>
      </c>
    </row>
    <row r="4135" spans="1:3" x14ac:dyDescent="0.2">
      <c r="A4135" s="1">
        <v>40063</v>
      </c>
      <c r="B4135">
        <v>80.8</v>
      </c>
      <c r="C4135" s="2">
        <f t="shared" si="65"/>
        <v>9.950330853168092E-3</v>
      </c>
    </row>
    <row r="4136" spans="1:3" x14ac:dyDescent="0.2">
      <c r="A4136" s="1">
        <v>40060</v>
      </c>
      <c r="B4136">
        <v>80</v>
      </c>
      <c r="C4136" s="2">
        <f t="shared" si="65"/>
        <v>2.0202707317519469E-2</v>
      </c>
    </row>
    <row r="4137" spans="1:3" x14ac:dyDescent="0.2">
      <c r="A4137" s="1">
        <v>40059</v>
      </c>
      <c r="B4137">
        <v>78.400000000000006</v>
      </c>
      <c r="C4137" s="2">
        <f t="shared" si="65"/>
        <v>5.1151006667704089E-3</v>
      </c>
    </row>
    <row r="4138" spans="1:3" x14ac:dyDescent="0.2">
      <c r="A4138" s="1">
        <v>40058</v>
      </c>
      <c r="B4138">
        <v>78</v>
      </c>
      <c r="C4138" s="2">
        <f t="shared" si="65"/>
        <v>-8.9343287337658554E-3</v>
      </c>
    </row>
    <row r="4139" spans="1:3" x14ac:dyDescent="0.2">
      <c r="A4139" s="1">
        <v>40057</v>
      </c>
      <c r="B4139">
        <v>78.7</v>
      </c>
      <c r="C4139" s="2">
        <f t="shared" si="65"/>
        <v>-8.8552128297325495E-3</v>
      </c>
    </row>
    <row r="4140" spans="1:3" x14ac:dyDescent="0.2">
      <c r="A4140" s="1">
        <v>40056</v>
      </c>
      <c r="B4140">
        <v>79.400000000000006</v>
      </c>
      <c r="C4140" s="2">
        <f t="shared" si="65"/>
        <v>-1.9950786419348682E-2</v>
      </c>
    </row>
    <row r="4141" spans="1:3" x14ac:dyDescent="0.2">
      <c r="A4141" s="1">
        <v>40053</v>
      </c>
      <c r="B4141">
        <v>81</v>
      </c>
      <c r="C4141" s="2">
        <f t="shared" si="65"/>
        <v>2.4721891453890728E-3</v>
      </c>
    </row>
    <row r="4142" spans="1:3" x14ac:dyDescent="0.2">
      <c r="A4142" s="1">
        <v>40052</v>
      </c>
      <c r="B4142">
        <v>80.8</v>
      </c>
      <c r="C4142" s="2">
        <f t="shared" si="65"/>
        <v>1.6219943866763474E-2</v>
      </c>
    </row>
    <row r="4143" spans="1:3" x14ac:dyDescent="0.2">
      <c r="A4143" s="1">
        <v>40051</v>
      </c>
      <c r="B4143">
        <v>79.5</v>
      </c>
      <c r="C4143" s="2">
        <f t="shared" si="65"/>
        <v>-4.6691527512510718E-2</v>
      </c>
    </row>
    <row r="4144" spans="1:3" x14ac:dyDescent="0.2">
      <c r="A4144" s="1">
        <v>40050</v>
      </c>
      <c r="B4144">
        <v>83.3</v>
      </c>
      <c r="C4144" s="2">
        <f t="shared" si="65"/>
        <v>3.7925034300328175E-2</v>
      </c>
    </row>
    <row r="4145" spans="1:3" x14ac:dyDescent="0.2">
      <c r="A4145" s="1">
        <v>40049</v>
      </c>
      <c r="B4145">
        <v>80.2</v>
      </c>
      <c r="C4145" s="2">
        <f t="shared" si="65"/>
        <v>2.6533458026828573E-2</v>
      </c>
    </row>
    <row r="4146" spans="1:3" x14ac:dyDescent="0.2">
      <c r="A4146" s="1">
        <v>40046</v>
      </c>
      <c r="B4146">
        <v>78.099999999999994</v>
      </c>
      <c r="C4146" s="2">
        <f t="shared" si="65"/>
        <v>2.7256716559309231E-2</v>
      </c>
    </row>
    <row r="4147" spans="1:3" x14ac:dyDescent="0.2">
      <c r="A4147" s="1">
        <v>40045</v>
      </c>
      <c r="B4147">
        <v>76</v>
      </c>
      <c r="C4147" s="2">
        <f t="shared" si="65"/>
        <v>6.6006840313520927E-3</v>
      </c>
    </row>
    <row r="4148" spans="1:3" x14ac:dyDescent="0.2">
      <c r="A4148" s="1">
        <v>40044</v>
      </c>
      <c r="B4148">
        <v>75.5</v>
      </c>
      <c r="C4148" s="2">
        <f t="shared" si="65"/>
        <v>-1.44644204915665E-2</v>
      </c>
    </row>
    <row r="4149" spans="1:3" x14ac:dyDescent="0.2">
      <c r="A4149" s="1">
        <v>40043</v>
      </c>
      <c r="B4149">
        <v>76.599999999999994</v>
      </c>
      <c r="C4149" s="2">
        <f t="shared" si="65"/>
        <v>1.1818916303142385E-2</v>
      </c>
    </row>
    <row r="4150" spans="1:3" x14ac:dyDescent="0.2">
      <c r="A4150" s="1">
        <v>40042</v>
      </c>
      <c r="B4150">
        <v>75.7</v>
      </c>
      <c r="C4150" s="2">
        <f t="shared" si="65"/>
        <v>-2.2208620152278341E-2</v>
      </c>
    </row>
    <row r="4151" spans="1:3" x14ac:dyDescent="0.2">
      <c r="A4151" s="1">
        <v>40039</v>
      </c>
      <c r="B4151">
        <v>77.400000000000006</v>
      </c>
      <c r="C4151" s="2">
        <f t="shared" si="65"/>
        <v>-3.8684767779203176E-3</v>
      </c>
    </row>
    <row r="4152" spans="1:3" x14ac:dyDescent="0.2">
      <c r="A4152" s="1">
        <v>40038</v>
      </c>
      <c r="B4152">
        <v>77.7</v>
      </c>
      <c r="C4152" s="2">
        <f t="shared" si="65"/>
        <v>1.2953549000391187E-2</v>
      </c>
    </row>
    <row r="4153" spans="1:3" x14ac:dyDescent="0.2">
      <c r="A4153" s="1">
        <v>40037</v>
      </c>
      <c r="B4153">
        <v>76.7</v>
      </c>
      <c r="C4153" s="2">
        <f t="shared" si="65"/>
        <v>1.3123547929807428E-2</v>
      </c>
    </row>
    <row r="4154" spans="1:3" x14ac:dyDescent="0.2">
      <c r="A4154" s="1">
        <v>40036</v>
      </c>
      <c r="B4154">
        <v>75.7</v>
      </c>
      <c r="C4154" s="2">
        <f t="shared" si="65"/>
        <v>-2.0915795149973125E-2</v>
      </c>
    </row>
    <row r="4155" spans="1:3" x14ac:dyDescent="0.2">
      <c r="A4155" s="1">
        <v>40035</v>
      </c>
      <c r="B4155">
        <v>77.3</v>
      </c>
      <c r="C4155" s="2">
        <f t="shared" si="65"/>
        <v>-1.2853647403381173E-2</v>
      </c>
    </row>
    <row r="4156" spans="1:3" x14ac:dyDescent="0.2">
      <c r="A4156" s="1">
        <v>40032</v>
      </c>
      <c r="B4156">
        <v>78.3</v>
      </c>
      <c r="C4156" s="2">
        <f t="shared" si="65"/>
        <v>1.5444322427473556E-2</v>
      </c>
    </row>
    <row r="4157" spans="1:3" x14ac:dyDescent="0.2">
      <c r="A4157" s="1">
        <v>40031</v>
      </c>
      <c r="B4157">
        <v>77.099999999999994</v>
      </c>
      <c r="C4157" s="2">
        <f t="shared" si="65"/>
        <v>-6.4641466198892376E-3</v>
      </c>
    </row>
    <row r="4158" spans="1:3" x14ac:dyDescent="0.2">
      <c r="A4158" s="1">
        <v>40030</v>
      </c>
      <c r="B4158">
        <v>77.599999999999994</v>
      </c>
      <c r="C4158" s="2">
        <f t="shared" si="65"/>
        <v>-2.1670701451629287E-2</v>
      </c>
    </row>
    <row r="4159" spans="1:3" x14ac:dyDescent="0.2">
      <c r="A4159" s="1">
        <v>40029</v>
      </c>
      <c r="B4159">
        <v>79.3</v>
      </c>
      <c r="C4159" s="2">
        <f t="shared" si="65"/>
        <v>-1.003772543351115E-2</v>
      </c>
    </row>
    <row r="4160" spans="1:3" x14ac:dyDescent="0.2">
      <c r="A4160" s="1">
        <v>40028</v>
      </c>
      <c r="B4160">
        <v>80.099999999999994</v>
      </c>
      <c r="C4160" s="2">
        <f t="shared" si="65"/>
        <v>1.8904154639152654E-2</v>
      </c>
    </row>
    <row r="4161" spans="1:3" x14ac:dyDescent="0.2">
      <c r="A4161" s="1">
        <v>40025</v>
      </c>
      <c r="B4161">
        <v>78.599999999999994</v>
      </c>
      <c r="C4161" s="2">
        <f t="shared" si="65"/>
        <v>0</v>
      </c>
    </row>
    <row r="4162" spans="1:3" x14ac:dyDescent="0.2">
      <c r="A4162" s="1">
        <v>40024</v>
      </c>
      <c r="B4162">
        <v>78.599999999999994</v>
      </c>
      <c r="C4162" s="2">
        <f t="shared" si="65"/>
        <v>2.9698761144749425E-2</v>
      </c>
    </row>
    <row r="4163" spans="1:3" x14ac:dyDescent="0.2">
      <c r="A4163" s="1">
        <v>40023</v>
      </c>
      <c r="B4163">
        <v>76.3</v>
      </c>
      <c r="C4163" s="2">
        <f t="shared" ref="C4163:C4226" si="66">+LN(B4163/B4164)</f>
        <v>-7.8329382211870593E-3</v>
      </c>
    </row>
    <row r="4164" spans="1:3" x14ac:dyDescent="0.2">
      <c r="A4164" s="1">
        <v>40022</v>
      </c>
      <c r="B4164">
        <v>76.900000000000006</v>
      </c>
      <c r="C4164" s="2">
        <f t="shared" si="66"/>
        <v>-7.7720598477029734E-3</v>
      </c>
    </row>
    <row r="4165" spans="1:3" x14ac:dyDescent="0.2">
      <c r="A4165" s="1">
        <v>40021</v>
      </c>
      <c r="B4165">
        <v>77.5</v>
      </c>
      <c r="C4165" s="2">
        <f t="shared" si="66"/>
        <v>-1.6635060504532097E-2</v>
      </c>
    </row>
    <row r="4166" spans="1:3" x14ac:dyDescent="0.2">
      <c r="A4166" s="1">
        <v>40018</v>
      </c>
      <c r="B4166">
        <v>78.8</v>
      </c>
      <c r="C4166" s="2">
        <f t="shared" si="66"/>
        <v>3.8143720754706925E-3</v>
      </c>
    </row>
    <row r="4167" spans="1:3" x14ac:dyDescent="0.2">
      <c r="A4167" s="1">
        <v>40017</v>
      </c>
      <c r="B4167">
        <v>78.5</v>
      </c>
      <c r="C4167" s="2">
        <f t="shared" si="66"/>
        <v>2.5510217916054258E-3</v>
      </c>
    </row>
    <row r="4168" spans="1:3" x14ac:dyDescent="0.2">
      <c r="A4168" s="1">
        <v>40016</v>
      </c>
      <c r="B4168">
        <v>78.3</v>
      </c>
      <c r="C4168" s="2">
        <f t="shared" si="66"/>
        <v>2.8499338129117389E-2</v>
      </c>
    </row>
    <row r="4169" spans="1:3" x14ac:dyDescent="0.2">
      <c r="A4169" s="1">
        <v>40015</v>
      </c>
      <c r="B4169">
        <v>76.099999999999994</v>
      </c>
      <c r="C4169" s="2">
        <f t="shared" si="66"/>
        <v>1.1897033911845843E-2</v>
      </c>
    </row>
    <row r="4170" spans="1:3" x14ac:dyDescent="0.2">
      <c r="A4170" s="1">
        <v>40014</v>
      </c>
      <c r="B4170">
        <v>75.2</v>
      </c>
      <c r="C4170" s="2">
        <f t="shared" si="66"/>
        <v>1.4735698653752965E-2</v>
      </c>
    </row>
    <row r="4171" spans="1:3" x14ac:dyDescent="0.2">
      <c r="A4171" s="1">
        <v>40011</v>
      </c>
      <c r="B4171">
        <v>74.099999999999994</v>
      </c>
      <c r="C4171" s="2">
        <f t="shared" si="66"/>
        <v>8.1301260832500888E-3</v>
      </c>
    </row>
    <row r="4172" spans="1:3" x14ac:dyDescent="0.2">
      <c r="A4172" s="1">
        <v>40010</v>
      </c>
      <c r="B4172">
        <v>73.5</v>
      </c>
      <c r="C4172" s="2">
        <f t="shared" si="66"/>
        <v>-4.2616302154419583E-2</v>
      </c>
    </row>
    <row r="4173" spans="1:3" x14ac:dyDescent="0.2">
      <c r="A4173" s="1">
        <v>40009</v>
      </c>
      <c r="B4173">
        <v>76.7</v>
      </c>
      <c r="C4173" s="2">
        <f t="shared" si="66"/>
        <v>4.8073341617477838E-2</v>
      </c>
    </row>
    <row r="4174" spans="1:3" x14ac:dyDescent="0.2">
      <c r="A4174" s="1">
        <v>40008</v>
      </c>
      <c r="B4174">
        <v>73.099999999999994</v>
      </c>
      <c r="C4174" s="2">
        <f t="shared" si="66"/>
        <v>1.2388320856952266E-2</v>
      </c>
    </row>
    <row r="4175" spans="1:3" x14ac:dyDescent="0.2">
      <c r="A4175" s="1">
        <v>40007</v>
      </c>
      <c r="B4175">
        <v>72.2</v>
      </c>
      <c r="C4175" s="2">
        <f t="shared" si="66"/>
        <v>2.8091734867015085E-2</v>
      </c>
    </row>
    <row r="4176" spans="1:3" x14ac:dyDescent="0.2">
      <c r="A4176" s="1">
        <v>40004</v>
      </c>
      <c r="B4176">
        <v>70.2</v>
      </c>
      <c r="C4176" s="2">
        <f t="shared" si="66"/>
        <v>-1.9746762934834333E-2</v>
      </c>
    </row>
    <row r="4177" spans="1:3" x14ac:dyDescent="0.2">
      <c r="A4177" s="1">
        <v>40003</v>
      </c>
      <c r="B4177">
        <v>71.599999999999994</v>
      </c>
      <c r="C4177" s="2">
        <f t="shared" si="66"/>
        <v>-2.7894020875786365E-3</v>
      </c>
    </row>
    <row r="4178" spans="1:3" x14ac:dyDescent="0.2">
      <c r="A4178" s="1">
        <v>40002</v>
      </c>
      <c r="B4178">
        <v>71.8</v>
      </c>
      <c r="C4178" s="2">
        <f t="shared" si="66"/>
        <v>2.7894020875785922E-3</v>
      </c>
    </row>
    <row r="4179" spans="1:3" x14ac:dyDescent="0.2">
      <c r="A4179" s="1">
        <v>40001</v>
      </c>
      <c r="B4179">
        <v>71.599999999999994</v>
      </c>
      <c r="C4179" s="2">
        <f t="shared" si="66"/>
        <v>-6.9589703243034574E-3</v>
      </c>
    </row>
    <row r="4180" spans="1:3" x14ac:dyDescent="0.2">
      <c r="A4180" s="1">
        <v>40000</v>
      </c>
      <c r="B4180">
        <v>72.099999999999994</v>
      </c>
      <c r="C4180" s="2">
        <f t="shared" si="66"/>
        <v>-2.4658783663252894E-2</v>
      </c>
    </row>
    <row r="4181" spans="1:3" x14ac:dyDescent="0.2">
      <c r="A4181" s="1">
        <v>39997</v>
      </c>
      <c r="B4181">
        <v>73.900000000000006</v>
      </c>
      <c r="C4181" s="2">
        <f t="shared" si="66"/>
        <v>4.0678022193257482E-3</v>
      </c>
    </row>
    <row r="4182" spans="1:3" x14ac:dyDescent="0.2">
      <c r="A4182" s="1">
        <v>39996</v>
      </c>
      <c r="B4182">
        <v>73.599999999999994</v>
      </c>
      <c r="C4182" s="2">
        <f t="shared" si="66"/>
        <v>-1.8843087801479943E-2</v>
      </c>
    </row>
    <row r="4183" spans="1:3" x14ac:dyDescent="0.2">
      <c r="A4183" s="1">
        <v>39995</v>
      </c>
      <c r="B4183">
        <v>75</v>
      </c>
      <c r="C4183" s="2">
        <f t="shared" si="66"/>
        <v>1.8843087801479915E-2</v>
      </c>
    </row>
    <row r="4184" spans="1:3" x14ac:dyDescent="0.2">
      <c r="A4184" s="1">
        <v>39994</v>
      </c>
      <c r="B4184">
        <v>73.599999999999994</v>
      </c>
      <c r="C4184" s="2">
        <f t="shared" si="66"/>
        <v>-4.2559614418796007E-2</v>
      </c>
    </row>
    <row r="4185" spans="1:3" x14ac:dyDescent="0.2">
      <c r="A4185" s="1">
        <v>39993</v>
      </c>
      <c r="B4185">
        <v>76.8</v>
      </c>
      <c r="C4185" s="2">
        <f t="shared" si="66"/>
        <v>3.174869831458027E-2</v>
      </c>
    </row>
    <row r="4186" spans="1:3" x14ac:dyDescent="0.2">
      <c r="A4186" s="1">
        <v>39990</v>
      </c>
      <c r="B4186">
        <v>74.400000000000006</v>
      </c>
      <c r="C4186" s="2">
        <f t="shared" si="66"/>
        <v>1.6260520871780326E-2</v>
      </c>
    </row>
    <row r="4187" spans="1:3" x14ac:dyDescent="0.2">
      <c r="A4187" s="1">
        <v>39989</v>
      </c>
      <c r="B4187">
        <v>73.2</v>
      </c>
      <c r="C4187" s="2">
        <f t="shared" si="66"/>
        <v>-1.0869672236903879E-2</v>
      </c>
    </row>
    <row r="4188" spans="1:3" x14ac:dyDescent="0.2">
      <c r="A4188" s="1">
        <v>39988</v>
      </c>
      <c r="B4188">
        <v>74</v>
      </c>
      <c r="C4188" s="2">
        <f t="shared" si="66"/>
        <v>4.8452383385946748E-2</v>
      </c>
    </row>
    <row r="4189" spans="1:3" x14ac:dyDescent="0.2">
      <c r="A4189" s="1">
        <v>39987</v>
      </c>
      <c r="B4189">
        <v>70.5</v>
      </c>
      <c r="C4189" s="2">
        <f t="shared" si="66"/>
        <v>-2.8328630843040899E-3</v>
      </c>
    </row>
    <row r="4190" spans="1:3" x14ac:dyDescent="0.2">
      <c r="A4190" s="1">
        <v>39986</v>
      </c>
      <c r="B4190">
        <v>70.7</v>
      </c>
      <c r="C4190" s="2">
        <f t="shared" si="66"/>
        <v>-3.8839833316263894E-2</v>
      </c>
    </row>
    <row r="4191" spans="1:3" x14ac:dyDescent="0.2">
      <c r="A4191" s="1">
        <v>39982</v>
      </c>
      <c r="B4191">
        <v>73.5</v>
      </c>
      <c r="C4191" s="2">
        <f t="shared" si="66"/>
        <v>6.8259650703998906E-3</v>
      </c>
    </row>
    <row r="4192" spans="1:3" x14ac:dyDescent="0.2">
      <c r="A4192" s="1">
        <v>39981</v>
      </c>
      <c r="B4192">
        <v>73</v>
      </c>
      <c r="C4192" s="2">
        <f t="shared" si="66"/>
        <v>-4.4213497142020206E-2</v>
      </c>
    </row>
    <row r="4193" spans="1:3" x14ac:dyDescent="0.2">
      <c r="A4193" s="1">
        <v>39980</v>
      </c>
      <c r="B4193">
        <v>76.3</v>
      </c>
      <c r="C4193" s="2">
        <f t="shared" si="66"/>
        <v>2.2532431080696278E-2</v>
      </c>
    </row>
    <row r="4194" spans="1:3" x14ac:dyDescent="0.2">
      <c r="A4194" s="1">
        <v>39979</v>
      </c>
      <c r="B4194">
        <v>74.599999999999994</v>
      </c>
      <c r="C4194" s="2">
        <f t="shared" si="66"/>
        <v>-3.2962773359568633E-2</v>
      </c>
    </row>
    <row r="4195" spans="1:3" x14ac:dyDescent="0.2">
      <c r="A4195" s="1">
        <v>39976</v>
      </c>
      <c r="B4195">
        <v>77.099999999999994</v>
      </c>
      <c r="C4195" s="2">
        <f t="shared" si="66"/>
        <v>-2.4344571897737706E-2</v>
      </c>
    </row>
    <row r="4196" spans="1:3" x14ac:dyDescent="0.2">
      <c r="A4196" s="1">
        <v>39975</v>
      </c>
      <c r="B4196">
        <v>79</v>
      </c>
      <c r="C4196" s="2">
        <f t="shared" si="66"/>
        <v>2.6941975955423077E-2</v>
      </c>
    </row>
    <row r="4197" spans="1:3" x14ac:dyDescent="0.2">
      <c r="A4197" s="1">
        <v>39974</v>
      </c>
      <c r="B4197">
        <v>76.900000000000006</v>
      </c>
      <c r="C4197" s="2">
        <f t="shared" si="66"/>
        <v>2.1025741705750597E-2</v>
      </c>
    </row>
    <row r="4198" spans="1:3" x14ac:dyDescent="0.2">
      <c r="A4198" s="1">
        <v>39973</v>
      </c>
      <c r="B4198">
        <v>75.3</v>
      </c>
      <c r="C4198" s="2">
        <f t="shared" si="66"/>
        <v>1.4715984632513109E-2</v>
      </c>
    </row>
    <row r="4199" spans="1:3" x14ac:dyDescent="0.2">
      <c r="A4199" s="1">
        <v>39972</v>
      </c>
      <c r="B4199">
        <v>74.2</v>
      </c>
      <c r="C4199" s="2">
        <f t="shared" si="66"/>
        <v>-1.4051753455650302E-2</v>
      </c>
    </row>
    <row r="4200" spans="1:3" x14ac:dyDescent="0.2">
      <c r="A4200" s="1">
        <v>39969</v>
      </c>
      <c r="B4200">
        <v>75.25</v>
      </c>
      <c r="C4200" s="2">
        <f t="shared" si="66"/>
        <v>1.6750810424815351E-2</v>
      </c>
    </row>
    <row r="4201" spans="1:3" x14ac:dyDescent="0.2">
      <c r="A4201" s="1">
        <v>39968</v>
      </c>
      <c r="B4201">
        <v>74</v>
      </c>
      <c r="C4201" s="2">
        <f t="shared" si="66"/>
        <v>-3.3726844786392302E-3</v>
      </c>
    </row>
    <row r="4202" spans="1:3" x14ac:dyDescent="0.2">
      <c r="A4202" s="1">
        <v>39967</v>
      </c>
      <c r="B4202">
        <v>74.25</v>
      </c>
      <c r="C4202" s="2">
        <f t="shared" si="66"/>
        <v>-2.985296314968116E-2</v>
      </c>
    </row>
    <row r="4203" spans="1:3" x14ac:dyDescent="0.2">
      <c r="A4203" s="1">
        <v>39966</v>
      </c>
      <c r="B4203">
        <v>76.5</v>
      </c>
      <c r="C4203" s="2">
        <f t="shared" si="66"/>
        <v>3.2733253449691085E-3</v>
      </c>
    </row>
    <row r="4204" spans="1:3" x14ac:dyDescent="0.2">
      <c r="A4204" s="1">
        <v>39965</v>
      </c>
      <c r="B4204">
        <v>76.25</v>
      </c>
      <c r="C4204" s="2">
        <f t="shared" si="66"/>
        <v>5.7351296471465599E-2</v>
      </c>
    </row>
    <row r="4205" spans="1:3" x14ac:dyDescent="0.2">
      <c r="A4205" s="1">
        <v>39962</v>
      </c>
      <c r="B4205">
        <v>72</v>
      </c>
      <c r="C4205" s="2">
        <f t="shared" si="66"/>
        <v>-6.9204428445737952E-3</v>
      </c>
    </row>
    <row r="4206" spans="1:3" x14ac:dyDescent="0.2">
      <c r="A4206" s="1">
        <v>39961</v>
      </c>
      <c r="B4206">
        <v>72.5</v>
      </c>
      <c r="C4206" s="2">
        <f t="shared" si="66"/>
        <v>-2.0478531343540676E-2</v>
      </c>
    </row>
    <row r="4207" spans="1:3" x14ac:dyDescent="0.2">
      <c r="A4207" s="1">
        <v>39960</v>
      </c>
      <c r="B4207">
        <v>74</v>
      </c>
      <c r="C4207" s="2">
        <f t="shared" si="66"/>
        <v>-3.3726844786392302E-3</v>
      </c>
    </row>
    <row r="4208" spans="1:3" x14ac:dyDescent="0.2">
      <c r="A4208" s="1">
        <v>39959</v>
      </c>
      <c r="B4208">
        <v>74.25</v>
      </c>
      <c r="C4208" s="2">
        <f t="shared" si="66"/>
        <v>3.372684478639156E-3</v>
      </c>
    </row>
    <row r="4209" spans="1:3" x14ac:dyDescent="0.2">
      <c r="A4209" s="1">
        <v>39958</v>
      </c>
      <c r="B4209">
        <v>74</v>
      </c>
      <c r="C4209" s="2">
        <f t="shared" si="66"/>
        <v>-3.3726844786392302E-3</v>
      </c>
    </row>
    <row r="4210" spans="1:3" x14ac:dyDescent="0.2">
      <c r="A4210" s="1">
        <v>39955</v>
      </c>
      <c r="B4210">
        <v>74.25</v>
      </c>
      <c r="C4210" s="2">
        <f t="shared" si="66"/>
        <v>-1.6694878572169992E-2</v>
      </c>
    </row>
    <row r="4211" spans="1:3" x14ac:dyDescent="0.2">
      <c r="A4211" s="1">
        <v>39953</v>
      </c>
      <c r="B4211">
        <v>75.5</v>
      </c>
      <c r="C4211" s="2">
        <f t="shared" si="66"/>
        <v>-1.6420730212327522E-2</v>
      </c>
    </row>
    <row r="4212" spans="1:3" x14ac:dyDescent="0.2">
      <c r="A4212" s="1">
        <v>39952</v>
      </c>
      <c r="B4212">
        <v>76.75</v>
      </c>
      <c r="C4212" s="2">
        <f t="shared" si="66"/>
        <v>4.3267980248515484E-2</v>
      </c>
    </row>
    <row r="4213" spans="1:3" x14ac:dyDescent="0.2">
      <c r="A4213" s="1">
        <v>39951</v>
      </c>
      <c r="B4213">
        <v>73.5</v>
      </c>
      <c r="C4213" s="2">
        <f t="shared" si="66"/>
        <v>1.3698844358161927E-2</v>
      </c>
    </row>
    <row r="4214" spans="1:3" x14ac:dyDescent="0.2">
      <c r="A4214" s="1">
        <v>39948</v>
      </c>
      <c r="B4214">
        <v>72.5</v>
      </c>
      <c r="C4214" s="2">
        <f t="shared" si="66"/>
        <v>1.3889112160667093E-2</v>
      </c>
    </row>
    <row r="4215" spans="1:3" x14ac:dyDescent="0.2">
      <c r="A4215" s="1">
        <v>39947</v>
      </c>
      <c r="B4215">
        <v>71.5</v>
      </c>
      <c r="C4215" s="2">
        <f t="shared" si="66"/>
        <v>2.4780028998486865E-2</v>
      </c>
    </row>
    <row r="4216" spans="1:3" x14ac:dyDescent="0.2">
      <c r="A4216" s="1">
        <v>39946</v>
      </c>
      <c r="B4216">
        <v>69.75</v>
      </c>
      <c r="C4216" s="2">
        <f t="shared" si="66"/>
        <v>-2.4780028998486966E-2</v>
      </c>
    </row>
    <row r="4217" spans="1:3" x14ac:dyDescent="0.2">
      <c r="A4217" s="1">
        <v>39945</v>
      </c>
      <c r="B4217">
        <v>71.5</v>
      </c>
      <c r="C4217" s="2">
        <f t="shared" si="66"/>
        <v>-2.0761991448429128E-2</v>
      </c>
    </row>
    <row r="4218" spans="1:3" x14ac:dyDescent="0.2">
      <c r="A4218" s="1">
        <v>39944</v>
      </c>
      <c r="B4218">
        <v>73</v>
      </c>
      <c r="C4218" s="2">
        <f t="shared" si="66"/>
        <v>-5.3345980705292735E-2</v>
      </c>
    </row>
    <row r="4219" spans="1:3" x14ac:dyDescent="0.2">
      <c r="A4219" s="1">
        <v>39941</v>
      </c>
      <c r="B4219">
        <v>77</v>
      </c>
      <c r="C4219" s="2">
        <f t="shared" si="66"/>
        <v>1.6366977464205412E-2</v>
      </c>
    </row>
    <row r="4220" spans="1:3" x14ac:dyDescent="0.2">
      <c r="A4220" s="1">
        <v>39940</v>
      </c>
      <c r="B4220">
        <v>75.75</v>
      </c>
      <c r="C4220" s="2">
        <f t="shared" si="66"/>
        <v>-3.2470385030784046E-2</v>
      </c>
    </row>
    <row r="4221" spans="1:3" x14ac:dyDescent="0.2">
      <c r="A4221" s="1">
        <v>39939</v>
      </c>
      <c r="B4221">
        <v>78.25</v>
      </c>
      <c r="C4221" s="2">
        <f t="shared" si="66"/>
        <v>3.5776173165283649E-2</v>
      </c>
    </row>
    <row r="4222" spans="1:3" x14ac:dyDescent="0.2">
      <c r="A4222" s="1">
        <v>39938</v>
      </c>
      <c r="B4222">
        <v>75.5</v>
      </c>
      <c r="C4222" s="2">
        <f t="shared" si="66"/>
        <v>3.3167526259938207E-3</v>
      </c>
    </row>
    <row r="4223" spans="1:3" x14ac:dyDescent="0.2">
      <c r="A4223" s="1">
        <v>39937</v>
      </c>
      <c r="B4223">
        <v>75.25</v>
      </c>
      <c r="C4223" s="2">
        <f t="shared" si="66"/>
        <v>4.0683576636443543E-2</v>
      </c>
    </row>
    <row r="4224" spans="1:3" x14ac:dyDescent="0.2">
      <c r="A4224" s="1">
        <v>39933</v>
      </c>
      <c r="B4224">
        <v>72.25</v>
      </c>
      <c r="C4224" s="2">
        <f t="shared" si="66"/>
        <v>1.3937507843781678E-2</v>
      </c>
    </row>
    <row r="4225" spans="1:3" x14ac:dyDescent="0.2">
      <c r="A4225" s="1">
        <v>39932</v>
      </c>
      <c r="B4225">
        <v>71.25</v>
      </c>
      <c r="C4225" s="2">
        <f t="shared" si="66"/>
        <v>2.1277398447284879E-2</v>
      </c>
    </row>
    <row r="4226" spans="1:3" x14ac:dyDescent="0.2">
      <c r="A4226" s="1">
        <v>39931</v>
      </c>
      <c r="B4226">
        <v>69.75</v>
      </c>
      <c r="C4226" s="2">
        <f t="shared" si="66"/>
        <v>-4.2111485350126848E-2</v>
      </c>
    </row>
    <row r="4227" spans="1:3" x14ac:dyDescent="0.2">
      <c r="A4227" s="1">
        <v>39930</v>
      </c>
      <c r="B4227">
        <v>72.75</v>
      </c>
      <c r="C4227" s="2">
        <f t="shared" ref="C4227:C4290" si="67">+LN(B4227/B4228)</f>
        <v>-1.7036187152567852E-2</v>
      </c>
    </row>
    <row r="4228" spans="1:3" x14ac:dyDescent="0.2">
      <c r="A4228" s="1">
        <v>39927</v>
      </c>
      <c r="B4228">
        <v>74</v>
      </c>
      <c r="C4228" s="2">
        <f t="shared" si="67"/>
        <v>1.3605652055778678E-2</v>
      </c>
    </row>
    <row r="4229" spans="1:3" x14ac:dyDescent="0.2">
      <c r="A4229" s="1">
        <v>39926</v>
      </c>
      <c r="B4229">
        <v>73</v>
      </c>
      <c r="C4229" s="2">
        <f t="shared" si="67"/>
        <v>1.3793322132335769E-2</v>
      </c>
    </row>
    <row r="4230" spans="1:3" x14ac:dyDescent="0.2">
      <c r="A4230" s="1">
        <v>39925</v>
      </c>
      <c r="B4230">
        <v>72</v>
      </c>
      <c r="C4230" s="2">
        <f t="shared" si="67"/>
        <v>3.174869831458027E-2</v>
      </c>
    </row>
    <row r="4231" spans="1:3" x14ac:dyDescent="0.2">
      <c r="A4231" s="1">
        <v>39924</v>
      </c>
      <c r="B4231">
        <v>69.75</v>
      </c>
      <c r="C4231" s="2">
        <f t="shared" si="67"/>
        <v>-2.8270433938255474E-2</v>
      </c>
    </row>
    <row r="4232" spans="1:3" x14ac:dyDescent="0.2">
      <c r="A4232" s="1">
        <v>39923</v>
      </c>
      <c r="B4232">
        <v>71.75</v>
      </c>
      <c r="C4232" s="2">
        <f t="shared" si="67"/>
        <v>-6.736553182757607E-2</v>
      </c>
    </row>
    <row r="4233" spans="1:3" x14ac:dyDescent="0.2">
      <c r="A4233" s="1">
        <v>39920</v>
      </c>
      <c r="B4233">
        <v>76.75</v>
      </c>
      <c r="C4233" s="2">
        <f t="shared" si="67"/>
        <v>6.3887267451251312E-2</v>
      </c>
    </row>
    <row r="4234" spans="1:3" x14ac:dyDescent="0.2">
      <c r="A4234" s="1">
        <v>39919</v>
      </c>
      <c r="B4234">
        <v>72</v>
      </c>
      <c r="C4234" s="2">
        <f t="shared" si="67"/>
        <v>3.5339366445308863E-2</v>
      </c>
    </row>
    <row r="4235" spans="1:3" x14ac:dyDescent="0.2">
      <c r="A4235" s="1">
        <v>39918</v>
      </c>
      <c r="B4235">
        <v>69.5</v>
      </c>
      <c r="C4235" s="2">
        <f t="shared" si="67"/>
        <v>-1.4285957247476541E-2</v>
      </c>
    </row>
    <row r="4236" spans="1:3" x14ac:dyDescent="0.2">
      <c r="A4236" s="1">
        <v>39917</v>
      </c>
      <c r="B4236">
        <v>70.5</v>
      </c>
      <c r="C4236" s="2">
        <f t="shared" si="67"/>
        <v>3.6105004642116356E-2</v>
      </c>
    </row>
    <row r="4237" spans="1:3" x14ac:dyDescent="0.2">
      <c r="A4237" s="1">
        <v>39912</v>
      </c>
      <c r="B4237">
        <v>68</v>
      </c>
      <c r="C4237" s="2">
        <f t="shared" si="67"/>
        <v>3.7457562534900415E-2</v>
      </c>
    </row>
    <row r="4238" spans="1:3" x14ac:dyDescent="0.2">
      <c r="A4238" s="1">
        <v>39911</v>
      </c>
      <c r="B4238">
        <v>65.5</v>
      </c>
      <c r="C4238" s="2">
        <f t="shared" si="67"/>
        <v>-1.1385322225125352E-2</v>
      </c>
    </row>
    <row r="4239" spans="1:3" x14ac:dyDescent="0.2">
      <c r="A4239" s="1">
        <v>39910</v>
      </c>
      <c r="B4239">
        <v>66.25</v>
      </c>
      <c r="C4239" s="2">
        <f t="shared" si="67"/>
        <v>-3.7041271680349097E-2</v>
      </c>
    </row>
    <row r="4240" spans="1:3" x14ac:dyDescent="0.2">
      <c r="A4240" s="1">
        <v>39909</v>
      </c>
      <c r="B4240">
        <v>68.75</v>
      </c>
      <c r="C4240" s="2">
        <f t="shared" si="67"/>
        <v>3.6429912785010087E-3</v>
      </c>
    </row>
    <row r="4241" spans="1:3" x14ac:dyDescent="0.2">
      <c r="A4241" s="1">
        <v>39906</v>
      </c>
      <c r="B4241">
        <v>68.5</v>
      </c>
      <c r="C4241" s="2">
        <f t="shared" si="67"/>
        <v>0</v>
      </c>
    </row>
    <row r="4242" spans="1:3" x14ac:dyDescent="0.2">
      <c r="A4242" s="1">
        <v>39905</v>
      </c>
      <c r="B4242">
        <v>68.5</v>
      </c>
      <c r="C4242" s="2">
        <f t="shared" si="67"/>
        <v>6.7950661908507751E-2</v>
      </c>
    </row>
    <row r="4243" spans="1:3" x14ac:dyDescent="0.2">
      <c r="A4243" s="1">
        <v>39904</v>
      </c>
      <c r="B4243">
        <v>64</v>
      </c>
      <c r="C4243" s="2">
        <f t="shared" si="67"/>
        <v>2.7724548014854768E-2</v>
      </c>
    </row>
    <row r="4244" spans="1:3" x14ac:dyDescent="0.2">
      <c r="A4244" s="1">
        <v>39903</v>
      </c>
      <c r="B4244">
        <v>62.25</v>
      </c>
      <c r="C4244" s="2">
        <f t="shared" si="67"/>
        <v>3.6813973122716399E-2</v>
      </c>
    </row>
    <row r="4245" spans="1:3" x14ac:dyDescent="0.2">
      <c r="A4245" s="1">
        <v>39902</v>
      </c>
      <c r="B4245">
        <v>60</v>
      </c>
      <c r="C4245" s="2">
        <f t="shared" si="67"/>
        <v>-2.4692612590371522E-2</v>
      </c>
    </row>
    <row r="4246" spans="1:3" x14ac:dyDescent="0.2">
      <c r="A4246" s="1">
        <v>39899</v>
      </c>
      <c r="B4246">
        <v>61.5</v>
      </c>
      <c r="C4246" s="2">
        <f t="shared" si="67"/>
        <v>-3.5932009226063329E-2</v>
      </c>
    </row>
    <row r="4247" spans="1:3" x14ac:dyDescent="0.2">
      <c r="A4247" s="1">
        <v>39898</v>
      </c>
      <c r="B4247">
        <v>63.75</v>
      </c>
      <c r="C4247" s="2">
        <f t="shared" si="67"/>
        <v>7.8740564309058656E-3</v>
      </c>
    </row>
    <row r="4248" spans="1:3" x14ac:dyDescent="0.2">
      <c r="A4248" s="1">
        <v>39897</v>
      </c>
      <c r="B4248">
        <v>63.25</v>
      </c>
      <c r="C4248" s="2">
        <f t="shared" si="67"/>
        <v>3.9604012160969143E-3</v>
      </c>
    </row>
    <row r="4249" spans="1:3" x14ac:dyDescent="0.2">
      <c r="A4249" s="1">
        <v>39896</v>
      </c>
      <c r="B4249">
        <v>63</v>
      </c>
      <c r="C4249" s="2">
        <f t="shared" si="67"/>
        <v>-3.8915416249673498E-2</v>
      </c>
    </row>
    <row r="4250" spans="1:3" x14ac:dyDescent="0.2">
      <c r="A4250" s="1">
        <v>39895</v>
      </c>
      <c r="B4250">
        <v>65.5</v>
      </c>
      <c r="C4250" s="2">
        <f t="shared" si="67"/>
        <v>3.4955015033576634E-2</v>
      </c>
    </row>
    <row r="4251" spans="1:3" x14ac:dyDescent="0.2">
      <c r="A4251" s="1">
        <v>39892</v>
      </c>
      <c r="B4251">
        <v>63.25</v>
      </c>
      <c r="C4251" s="2">
        <f t="shared" si="67"/>
        <v>-2.7292142288007512E-2</v>
      </c>
    </row>
    <row r="4252" spans="1:3" x14ac:dyDescent="0.2">
      <c r="A4252" s="1">
        <v>39891</v>
      </c>
      <c r="B4252">
        <v>65</v>
      </c>
      <c r="C4252" s="2">
        <f t="shared" si="67"/>
        <v>3.125254350410453E-2</v>
      </c>
    </row>
    <row r="4253" spans="1:3" x14ac:dyDescent="0.2">
      <c r="A4253" s="1">
        <v>39890</v>
      </c>
      <c r="B4253">
        <v>63</v>
      </c>
      <c r="C4253" s="2">
        <f t="shared" si="67"/>
        <v>-4.6520015634892817E-2</v>
      </c>
    </row>
    <row r="4254" spans="1:3" x14ac:dyDescent="0.2">
      <c r="A4254" s="1">
        <v>39889</v>
      </c>
      <c r="B4254">
        <v>66</v>
      </c>
      <c r="C4254" s="2">
        <f t="shared" si="67"/>
        <v>-4.0821994520255166E-2</v>
      </c>
    </row>
    <row r="4255" spans="1:3" x14ac:dyDescent="0.2">
      <c r="A4255" s="1">
        <v>39888</v>
      </c>
      <c r="B4255">
        <v>68.75</v>
      </c>
      <c r="C4255" s="2">
        <f t="shared" si="67"/>
        <v>2.5784117155714634E-2</v>
      </c>
    </row>
    <row r="4256" spans="1:3" x14ac:dyDescent="0.2">
      <c r="A4256" s="1">
        <v>39885</v>
      </c>
      <c r="B4256">
        <v>67</v>
      </c>
      <c r="C4256" s="2">
        <f t="shared" si="67"/>
        <v>-2.2141125877213518E-2</v>
      </c>
    </row>
    <row r="4257" spans="1:3" x14ac:dyDescent="0.2">
      <c r="A4257" s="1">
        <v>39884</v>
      </c>
      <c r="B4257">
        <v>68.5</v>
      </c>
      <c r="C4257" s="2">
        <f t="shared" si="67"/>
        <v>2.2141125877213501E-2</v>
      </c>
    </row>
    <row r="4258" spans="1:3" x14ac:dyDescent="0.2">
      <c r="A4258" s="1">
        <v>39883</v>
      </c>
      <c r="B4258">
        <v>67</v>
      </c>
      <c r="C4258" s="2">
        <f t="shared" si="67"/>
        <v>-1.4815085785140587E-2</v>
      </c>
    </row>
    <row r="4259" spans="1:3" x14ac:dyDescent="0.2">
      <c r="A4259" s="1">
        <v>39882</v>
      </c>
      <c r="B4259">
        <v>68</v>
      </c>
      <c r="C4259" s="2">
        <f t="shared" si="67"/>
        <v>6.8467799277460828E-2</v>
      </c>
    </row>
    <row r="4260" spans="1:3" x14ac:dyDescent="0.2">
      <c r="A4260" s="1">
        <v>39881</v>
      </c>
      <c r="B4260">
        <v>63.5</v>
      </c>
      <c r="C4260" s="2">
        <f t="shared" si="67"/>
        <v>1.1881327886752686E-2</v>
      </c>
    </row>
    <row r="4261" spans="1:3" x14ac:dyDescent="0.2">
      <c r="A4261" s="1">
        <v>39878</v>
      </c>
      <c r="B4261">
        <v>62.75</v>
      </c>
      <c r="C4261" s="2">
        <f t="shared" si="67"/>
        <v>-1.5810606026642315E-2</v>
      </c>
    </row>
    <row r="4262" spans="1:3" x14ac:dyDescent="0.2">
      <c r="A4262" s="1">
        <v>39877</v>
      </c>
      <c r="B4262">
        <v>63.75</v>
      </c>
      <c r="C4262" s="2">
        <f t="shared" si="67"/>
        <v>-3.8466280827796052E-2</v>
      </c>
    </row>
    <row r="4263" spans="1:3" x14ac:dyDescent="0.2">
      <c r="A4263" s="1">
        <v>39876</v>
      </c>
      <c r="B4263">
        <v>66.25</v>
      </c>
      <c r="C4263" s="2">
        <f t="shared" si="67"/>
        <v>9.079209982953583E-2</v>
      </c>
    </row>
    <row r="4264" spans="1:3" x14ac:dyDescent="0.2">
      <c r="A4264" s="1">
        <v>39875</v>
      </c>
      <c r="B4264">
        <v>60.5</v>
      </c>
      <c r="C4264" s="2">
        <f t="shared" si="67"/>
        <v>-4.1237171838620409E-3</v>
      </c>
    </row>
    <row r="4265" spans="1:3" x14ac:dyDescent="0.2">
      <c r="A4265" s="1">
        <v>39874</v>
      </c>
      <c r="B4265">
        <v>60.75</v>
      </c>
      <c r="C4265" s="2">
        <f t="shared" si="67"/>
        <v>-4.0328045386971774E-2</v>
      </c>
    </row>
    <row r="4266" spans="1:3" x14ac:dyDescent="0.2">
      <c r="A4266" s="1">
        <v>39871</v>
      </c>
      <c r="B4266">
        <v>63.25</v>
      </c>
      <c r="C4266" s="2">
        <f t="shared" si="67"/>
        <v>1.9960742562538152E-2</v>
      </c>
    </row>
    <row r="4267" spans="1:3" x14ac:dyDescent="0.2">
      <c r="A4267" s="1">
        <v>39870</v>
      </c>
      <c r="B4267">
        <v>62</v>
      </c>
      <c r="C4267" s="2">
        <f t="shared" si="67"/>
        <v>3.278982282299097E-2</v>
      </c>
    </row>
    <row r="4268" spans="1:3" x14ac:dyDescent="0.2">
      <c r="A4268" s="1">
        <v>39869</v>
      </c>
      <c r="B4268">
        <v>60</v>
      </c>
      <c r="C4268" s="2">
        <f t="shared" si="67"/>
        <v>-8.2988028146950658E-3</v>
      </c>
    </row>
    <row r="4269" spans="1:3" x14ac:dyDescent="0.2">
      <c r="A4269" s="1">
        <v>39868</v>
      </c>
      <c r="B4269">
        <v>60.5</v>
      </c>
      <c r="C4269" s="2">
        <f t="shared" si="67"/>
        <v>8.2988028146950641E-3</v>
      </c>
    </row>
    <row r="4270" spans="1:3" x14ac:dyDescent="0.2">
      <c r="A4270" s="1">
        <v>39867</v>
      </c>
      <c r="B4270">
        <v>60</v>
      </c>
      <c r="C4270" s="2">
        <f t="shared" si="67"/>
        <v>-3.6813973122716316E-2</v>
      </c>
    </row>
    <row r="4271" spans="1:3" x14ac:dyDescent="0.2">
      <c r="A4271" s="1">
        <v>39864</v>
      </c>
      <c r="B4271">
        <v>62.25</v>
      </c>
      <c r="C4271" s="2">
        <f t="shared" si="67"/>
        <v>-8.4665924414993293E-2</v>
      </c>
    </row>
    <row r="4272" spans="1:3" x14ac:dyDescent="0.2">
      <c r="A4272" s="1">
        <v>39863</v>
      </c>
      <c r="B4272">
        <v>67.75</v>
      </c>
      <c r="C4272" s="2">
        <f t="shared" si="67"/>
        <v>0</v>
      </c>
    </row>
    <row r="4273" spans="1:3" x14ac:dyDescent="0.2">
      <c r="A4273" s="1">
        <v>39862</v>
      </c>
      <c r="B4273">
        <v>67.75</v>
      </c>
      <c r="C4273" s="2">
        <f t="shared" si="67"/>
        <v>2.616971773338482E-2</v>
      </c>
    </row>
    <row r="4274" spans="1:3" x14ac:dyDescent="0.2">
      <c r="A4274" s="1">
        <v>39861</v>
      </c>
      <c r="B4274">
        <v>66</v>
      </c>
      <c r="C4274" s="2">
        <f t="shared" si="67"/>
        <v>-4.0821994520255166E-2</v>
      </c>
    </row>
    <row r="4275" spans="1:3" x14ac:dyDescent="0.2">
      <c r="A4275" s="1">
        <v>39860</v>
      </c>
      <c r="B4275">
        <v>68.75</v>
      </c>
      <c r="C4275" s="2">
        <f t="shared" si="67"/>
        <v>-7.2464085207671978E-3</v>
      </c>
    </row>
    <row r="4276" spans="1:3" x14ac:dyDescent="0.2">
      <c r="A4276" s="1">
        <v>39857</v>
      </c>
      <c r="B4276">
        <v>69.25</v>
      </c>
      <c r="C4276" s="2">
        <f t="shared" si="67"/>
        <v>7.2464085207672533E-3</v>
      </c>
    </row>
    <row r="4277" spans="1:3" x14ac:dyDescent="0.2">
      <c r="A4277" s="1">
        <v>39856</v>
      </c>
      <c r="B4277">
        <v>68.75</v>
      </c>
      <c r="C4277" s="2">
        <f t="shared" si="67"/>
        <v>-2.5135973271542274E-2</v>
      </c>
    </row>
    <row r="4278" spans="1:3" x14ac:dyDescent="0.2">
      <c r="A4278" s="1">
        <v>39855</v>
      </c>
      <c r="B4278">
        <v>70.5</v>
      </c>
      <c r="C4278" s="2">
        <f t="shared" si="67"/>
        <v>2.5135973271542239E-2</v>
      </c>
    </row>
    <row r="4279" spans="1:3" x14ac:dyDescent="0.2">
      <c r="A4279" s="1">
        <v>39854</v>
      </c>
      <c r="B4279">
        <v>68.75</v>
      </c>
      <c r="C4279" s="2">
        <f t="shared" si="67"/>
        <v>-2.8675799976666309E-2</v>
      </c>
    </row>
    <row r="4280" spans="1:3" x14ac:dyDescent="0.2">
      <c r="A4280" s="1">
        <v>39853</v>
      </c>
      <c r="B4280">
        <v>70.75</v>
      </c>
      <c r="C4280" s="2">
        <f t="shared" si="67"/>
        <v>2.8675799976666298E-2</v>
      </c>
    </row>
    <row r="4281" spans="1:3" x14ac:dyDescent="0.2">
      <c r="A4281" s="1">
        <v>39850</v>
      </c>
      <c r="B4281">
        <v>68.75</v>
      </c>
      <c r="C4281" s="2">
        <f t="shared" si="67"/>
        <v>5.6089466651043578E-2</v>
      </c>
    </row>
    <row r="4282" spans="1:3" x14ac:dyDescent="0.2">
      <c r="A4282" s="1">
        <v>39849</v>
      </c>
      <c r="B4282">
        <v>65</v>
      </c>
      <c r="C4282" s="2">
        <f t="shared" si="67"/>
        <v>0</v>
      </c>
    </row>
    <row r="4283" spans="1:3" x14ac:dyDescent="0.2">
      <c r="A4283" s="1">
        <v>39848</v>
      </c>
      <c r="B4283">
        <v>65</v>
      </c>
      <c r="C4283" s="2">
        <f t="shared" si="67"/>
        <v>6.7620187674979293E-2</v>
      </c>
    </row>
    <row r="4284" spans="1:3" x14ac:dyDescent="0.2">
      <c r="A4284" s="1">
        <v>39847</v>
      </c>
      <c r="B4284">
        <v>60.75</v>
      </c>
      <c r="C4284" s="2">
        <f t="shared" si="67"/>
        <v>5.4982134417352981E-2</v>
      </c>
    </row>
    <row r="4285" spans="1:3" x14ac:dyDescent="0.2">
      <c r="A4285" s="1">
        <v>39846</v>
      </c>
      <c r="B4285">
        <v>57.5</v>
      </c>
      <c r="C4285" s="2">
        <f t="shared" si="67"/>
        <v>-2.1506205220963619E-2</v>
      </c>
    </row>
    <row r="4286" spans="1:3" x14ac:dyDescent="0.2">
      <c r="A4286" s="1">
        <v>39843</v>
      </c>
      <c r="B4286">
        <v>58.75</v>
      </c>
      <c r="C4286" s="2">
        <f t="shared" si="67"/>
        <v>-3.3475929196389455E-2</v>
      </c>
    </row>
    <row r="4287" spans="1:3" x14ac:dyDescent="0.2">
      <c r="A4287" s="1">
        <v>39842</v>
      </c>
      <c r="B4287">
        <v>60.75</v>
      </c>
      <c r="C4287" s="2">
        <f t="shared" si="67"/>
        <v>-3.6367644170874833E-2</v>
      </c>
    </row>
    <row r="4288" spans="1:3" x14ac:dyDescent="0.2">
      <c r="A4288" s="1">
        <v>39841</v>
      </c>
      <c r="B4288">
        <v>63</v>
      </c>
      <c r="C4288" s="2">
        <f t="shared" si="67"/>
        <v>2.4097551579060524E-2</v>
      </c>
    </row>
    <row r="4289" spans="1:3" x14ac:dyDescent="0.2">
      <c r="A4289" s="1">
        <v>39840</v>
      </c>
      <c r="B4289">
        <v>61.5</v>
      </c>
      <c r="C4289" s="2">
        <f t="shared" si="67"/>
        <v>2.886798400085205E-2</v>
      </c>
    </row>
    <row r="4290" spans="1:3" x14ac:dyDescent="0.2">
      <c r="A4290" s="1">
        <v>39839</v>
      </c>
      <c r="B4290">
        <v>59.75</v>
      </c>
      <c r="C4290" s="2">
        <f t="shared" si="67"/>
        <v>1.6878037787351731E-2</v>
      </c>
    </row>
    <row r="4291" spans="1:3" x14ac:dyDescent="0.2">
      <c r="A4291" s="1">
        <v>39836</v>
      </c>
      <c r="B4291">
        <v>58.75</v>
      </c>
      <c r="C4291" s="2">
        <f t="shared" ref="C4291:C4294" si="68">+LN(B4291/B4292)</f>
        <v>-1.6878037787351748E-2</v>
      </c>
    </row>
    <row r="4292" spans="1:3" x14ac:dyDescent="0.2">
      <c r="A4292" s="1">
        <v>39835</v>
      </c>
      <c r="B4292">
        <v>59.75</v>
      </c>
      <c r="C4292" s="2">
        <f t="shared" si="68"/>
        <v>-1.2474174225175688E-2</v>
      </c>
    </row>
    <row r="4293" spans="1:3" x14ac:dyDescent="0.2">
      <c r="A4293" s="1">
        <v>39834</v>
      </c>
      <c r="B4293">
        <v>60.5</v>
      </c>
      <c r="C4293" s="2">
        <f t="shared" si="68"/>
        <v>3.789927259098573E-2</v>
      </c>
    </row>
    <row r="4294" spans="1:3" x14ac:dyDescent="0.2">
      <c r="A4294" s="1">
        <v>39833</v>
      </c>
      <c r="B4294">
        <v>58.25</v>
      </c>
      <c r="C4294" s="2">
        <f t="shared" si="68"/>
        <v>-4.6129771727501295E-2</v>
      </c>
    </row>
    <row r="4295" spans="1:3" x14ac:dyDescent="0.2">
      <c r="A4295" s="1">
        <v>39832</v>
      </c>
      <c r="B4295">
        <v>61</v>
      </c>
    </row>
    <row r="4296" spans="1:3" x14ac:dyDescent="0.2">
      <c r="A4296" s="1"/>
    </row>
    <row r="4297" spans="1:3" x14ac:dyDescent="0.2">
      <c r="A4297" s="1"/>
    </row>
    <row r="4298" spans="1:3" x14ac:dyDescent="0.2">
      <c r="A4298" s="1"/>
    </row>
    <row r="4299" spans="1:3" x14ac:dyDescent="0.2">
      <c r="A4299" s="1"/>
    </row>
    <row r="4300" spans="1:3" x14ac:dyDescent="0.2">
      <c r="A4300" s="1"/>
    </row>
    <row r="4301" spans="1:3" x14ac:dyDescent="0.2">
      <c r="A4301" s="1"/>
    </row>
    <row r="4302" spans="1:3" x14ac:dyDescent="0.2">
      <c r="A4302" s="1"/>
    </row>
    <row r="4303" spans="1:3" x14ac:dyDescent="0.2">
      <c r="A4303" s="1"/>
    </row>
    <row r="4304" spans="1:3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</sheetData>
  <autoFilter ref="A1:B4324" xr:uid="{1C020714-C24F-45C1-BF76-F0637F33386F}">
    <sortState xmlns:xlrd2="http://schemas.microsoft.com/office/spreadsheetml/2017/richdata2" ref="A2:B4324">
      <sortCondition descending="1" ref="A1:A4324"/>
    </sortState>
  </autoFilter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7057-6A3E-1942-B617-AD7265BB50A2}">
  <dimension ref="A1:J64"/>
  <sheetViews>
    <sheetView workbookViewId="0">
      <selection activeCell="B2" sqref="B2:B10"/>
    </sheetView>
  </sheetViews>
  <sheetFormatPr baseColWidth="10" defaultRowHeight="15" x14ac:dyDescent="0.2"/>
  <sheetData>
    <row r="1" spans="1:10" x14ac:dyDescent="0.2">
      <c r="A1" s="13" t="s">
        <v>12</v>
      </c>
      <c r="B1" s="12" t="s">
        <v>11</v>
      </c>
      <c r="C1" s="11" t="s">
        <v>10</v>
      </c>
      <c r="D1" s="12" t="s">
        <v>9</v>
      </c>
      <c r="E1" s="12" t="s">
        <v>8</v>
      </c>
      <c r="F1" s="11" t="s">
        <v>7</v>
      </c>
      <c r="G1" s="12" t="s">
        <v>6</v>
      </c>
      <c r="H1" s="11" t="s">
        <v>5</v>
      </c>
      <c r="I1" t="s">
        <v>2</v>
      </c>
      <c r="J1" t="s">
        <v>3</v>
      </c>
    </row>
    <row r="2" spans="1:10" x14ac:dyDescent="0.2">
      <c r="A2" s="1">
        <v>45930</v>
      </c>
      <c r="B2">
        <v>17243</v>
      </c>
      <c r="C2" s="9">
        <f t="shared" ref="C2:C33" si="0">+LN(B2/B3)</f>
        <v>2.4897064272698822E-2</v>
      </c>
      <c r="D2">
        <v>6356</v>
      </c>
      <c r="E2">
        <f t="shared" ref="E2:E33" si="1">+B2-D2</f>
        <v>10887</v>
      </c>
      <c r="F2" s="9">
        <f t="shared" ref="F2:F33" si="2">+E2/B2</f>
        <v>0.63138664965493241</v>
      </c>
      <c r="G2">
        <v>3674</v>
      </c>
      <c r="H2" s="8">
        <f t="shared" ref="H2:H33" si="3">+B2-E2-G2</f>
        <v>2682</v>
      </c>
      <c r="I2">
        <v>15521</v>
      </c>
      <c r="J2">
        <v>177068998656</v>
      </c>
    </row>
    <row r="3" spans="1:10" x14ac:dyDescent="0.2">
      <c r="A3" s="1">
        <v>45838</v>
      </c>
      <c r="B3">
        <v>16819</v>
      </c>
      <c r="C3" s="9">
        <f t="shared" si="0"/>
        <v>2.1272283916968119E-2</v>
      </c>
      <c r="D3">
        <v>6320</v>
      </c>
      <c r="E3">
        <f t="shared" si="1"/>
        <v>10499</v>
      </c>
      <c r="F3" s="9">
        <f t="shared" si="2"/>
        <v>0.62423449670016051</v>
      </c>
      <c r="G3">
        <v>3484</v>
      </c>
      <c r="H3" s="8">
        <f t="shared" si="3"/>
        <v>2836</v>
      </c>
      <c r="I3">
        <v>7172</v>
      </c>
      <c r="J3">
        <v>164421206016</v>
      </c>
    </row>
    <row r="4" spans="1:10" x14ac:dyDescent="0.2">
      <c r="A4" s="1">
        <v>45747</v>
      </c>
      <c r="B4">
        <v>16465</v>
      </c>
      <c r="C4" s="9">
        <f t="shared" si="0"/>
        <v>-0.10615582640214004</v>
      </c>
      <c r="D4">
        <v>6057</v>
      </c>
      <c r="E4">
        <f t="shared" si="1"/>
        <v>10408</v>
      </c>
      <c r="F4" s="9">
        <f t="shared" si="2"/>
        <v>0.63212875797145462</v>
      </c>
      <c r="G4">
        <v>3381</v>
      </c>
      <c r="H4" s="8">
        <f t="shared" si="3"/>
        <v>2676</v>
      </c>
      <c r="I4">
        <v>3642</v>
      </c>
      <c r="J4">
        <v>177275650048</v>
      </c>
    </row>
    <row r="5" spans="1:10" x14ac:dyDescent="0.2">
      <c r="A5" s="1">
        <v>45657</v>
      </c>
      <c r="B5">
        <v>18309</v>
      </c>
      <c r="C5" s="9">
        <f t="shared" si="0"/>
        <v>0.12188779472414009</v>
      </c>
      <c r="D5">
        <v>6297</v>
      </c>
      <c r="E5">
        <f t="shared" si="1"/>
        <v>12012</v>
      </c>
      <c r="F5" s="9">
        <f t="shared" si="2"/>
        <v>0.656070784859905</v>
      </c>
      <c r="G5">
        <v>3418</v>
      </c>
      <c r="H5" s="8">
        <f t="shared" si="3"/>
        <v>2879</v>
      </c>
      <c r="I5">
        <v>5494</v>
      </c>
    </row>
    <row r="6" spans="1:10" x14ac:dyDescent="0.2">
      <c r="A6" s="1">
        <v>45565</v>
      </c>
      <c r="B6">
        <v>16208</v>
      </c>
      <c r="C6" s="9">
        <f t="shared" si="0"/>
        <v>-7.8465794865409486E-2</v>
      </c>
      <c r="D6">
        <v>5842</v>
      </c>
      <c r="E6">
        <f t="shared" si="1"/>
        <v>10366</v>
      </c>
      <c r="F6" s="9">
        <f t="shared" si="2"/>
        <v>0.63956071076011844</v>
      </c>
      <c r="G6">
        <v>3214</v>
      </c>
      <c r="H6" s="8">
        <f t="shared" si="3"/>
        <v>2628</v>
      </c>
      <c r="I6">
        <v>7732</v>
      </c>
      <c r="J6">
        <v>201537912832</v>
      </c>
    </row>
    <row r="7" spans="1:10" x14ac:dyDescent="0.2">
      <c r="A7" s="1">
        <v>45473</v>
      </c>
      <c r="B7">
        <v>17531</v>
      </c>
      <c r="C7" s="9">
        <f t="shared" si="0"/>
        <v>0.16220692591223498</v>
      </c>
      <c r="D7">
        <v>5858</v>
      </c>
      <c r="E7">
        <f t="shared" si="1"/>
        <v>11673</v>
      </c>
      <c r="F7" s="9">
        <f t="shared" si="2"/>
        <v>0.66584906736637961</v>
      </c>
      <c r="G7">
        <v>3348</v>
      </c>
      <c r="H7" s="8">
        <f t="shared" si="3"/>
        <v>2510</v>
      </c>
      <c r="I7">
        <v>9524</v>
      </c>
    </row>
    <row r="8" spans="1:10" x14ac:dyDescent="0.2">
      <c r="A8" s="1">
        <v>45382</v>
      </c>
      <c r="B8">
        <v>14906</v>
      </c>
      <c r="C8" s="9">
        <f t="shared" si="0"/>
        <v>-0.17962325530962844</v>
      </c>
      <c r="D8">
        <v>5210</v>
      </c>
      <c r="E8">
        <f t="shared" si="1"/>
        <v>9696</v>
      </c>
      <c r="F8" s="9">
        <f t="shared" si="2"/>
        <v>0.65047631826110286</v>
      </c>
      <c r="G8">
        <v>2840</v>
      </c>
      <c r="H8" s="8">
        <f t="shared" si="3"/>
        <v>2370</v>
      </c>
      <c r="I8">
        <v>8663</v>
      </c>
    </row>
    <row r="9" spans="1:10" x14ac:dyDescent="0.2">
      <c r="A9" s="1">
        <v>45291</v>
      </c>
      <c r="B9">
        <v>17839</v>
      </c>
      <c r="C9" s="9">
        <f t="shared" si="0"/>
        <v>0.12340450191871151</v>
      </c>
      <c r="D9">
        <v>5642</v>
      </c>
      <c r="E9">
        <f t="shared" si="1"/>
        <v>12197</v>
      </c>
      <c r="F9" s="9">
        <f t="shared" si="2"/>
        <v>0.68372666629295364</v>
      </c>
      <c r="G9">
        <v>3266</v>
      </c>
      <c r="H9" s="8">
        <f t="shared" si="3"/>
        <v>2376</v>
      </c>
      <c r="I9">
        <v>10345</v>
      </c>
    </row>
    <row r="10" spans="1:10" x14ac:dyDescent="0.2">
      <c r="A10" s="1">
        <v>45199</v>
      </c>
      <c r="B10">
        <v>15768</v>
      </c>
      <c r="C10" s="9">
        <f t="shared" si="0"/>
        <v>-7.0778859685706281E-3</v>
      </c>
      <c r="D10">
        <v>5233</v>
      </c>
      <c r="E10">
        <f t="shared" si="1"/>
        <v>10535</v>
      </c>
      <c r="F10" s="9">
        <f t="shared" si="2"/>
        <v>0.66812531709791989</v>
      </c>
      <c r="G10">
        <v>3002</v>
      </c>
      <c r="H10" s="8">
        <f t="shared" si="3"/>
        <v>2231</v>
      </c>
      <c r="I10">
        <v>12108</v>
      </c>
    </row>
    <row r="11" spans="1:10" x14ac:dyDescent="0.2">
      <c r="A11" s="1">
        <v>45107</v>
      </c>
      <c r="B11">
        <v>15880</v>
      </c>
      <c r="C11" s="9">
        <f t="shared" si="0"/>
        <v>0.11810582074336602</v>
      </c>
      <c r="D11">
        <v>5144</v>
      </c>
      <c r="E11">
        <f t="shared" si="1"/>
        <v>10736</v>
      </c>
      <c r="F11" s="9">
        <f t="shared" si="2"/>
        <v>0.67607052896725439</v>
      </c>
      <c r="G11">
        <v>2743</v>
      </c>
      <c r="H11" s="8">
        <f t="shared" si="3"/>
        <v>2401</v>
      </c>
      <c r="I11">
        <v>14484</v>
      </c>
      <c r="J11">
        <v>162437234688</v>
      </c>
    </row>
    <row r="12" spans="1:10" x14ac:dyDescent="0.2">
      <c r="A12" s="1">
        <v>45016</v>
      </c>
      <c r="B12">
        <v>14111</v>
      </c>
      <c r="C12" s="9">
        <f t="shared" si="0"/>
        <v>-0.15543557840094727</v>
      </c>
      <c r="D12">
        <v>4865</v>
      </c>
      <c r="E12">
        <f t="shared" si="1"/>
        <v>9246</v>
      </c>
      <c r="F12" s="9">
        <f t="shared" si="2"/>
        <v>0.65523350577563599</v>
      </c>
      <c r="G12">
        <v>2717</v>
      </c>
      <c r="H12" s="8">
        <f t="shared" si="3"/>
        <v>2148</v>
      </c>
      <c r="I12">
        <v>12078</v>
      </c>
      <c r="J12">
        <v>153010257920</v>
      </c>
    </row>
    <row r="13" spans="1:10" x14ac:dyDescent="0.2">
      <c r="A13" s="1">
        <v>44926</v>
      </c>
      <c r="B13">
        <v>16484</v>
      </c>
      <c r="C13" s="9">
        <f t="shared" si="0"/>
        <v>0.22338624030945511</v>
      </c>
      <c r="D13">
        <v>5177</v>
      </c>
      <c r="E13">
        <f t="shared" si="1"/>
        <v>11307</v>
      </c>
      <c r="F13" s="9">
        <f t="shared" si="2"/>
        <v>0.68593787915554472</v>
      </c>
      <c r="G13">
        <v>2372</v>
      </c>
      <c r="H13" s="8">
        <f t="shared" si="3"/>
        <v>2805</v>
      </c>
      <c r="I13">
        <v>13493</v>
      </c>
    </row>
    <row r="14" spans="1:10" x14ac:dyDescent="0.2">
      <c r="A14" s="1">
        <v>44834</v>
      </c>
      <c r="B14">
        <v>13184</v>
      </c>
      <c r="C14" s="9">
        <f t="shared" si="0"/>
        <v>0.10650734345579702</v>
      </c>
      <c r="D14">
        <v>4274</v>
      </c>
      <c r="E14">
        <f t="shared" si="1"/>
        <v>8910</v>
      </c>
      <c r="F14" s="9">
        <f t="shared" si="2"/>
        <v>0.67581917475728159</v>
      </c>
      <c r="G14">
        <v>2416</v>
      </c>
      <c r="H14" s="8">
        <f t="shared" si="3"/>
        <v>1858</v>
      </c>
      <c r="I14">
        <v>12333</v>
      </c>
      <c r="J14">
        <v>115223306240</v>
      </c>
    </row>
    <row r="15" spans="1:10" x14ac:dyDescent="0.2">
      <c r="A15" s="1">
        <v>44742</v>
      </c>
      <c r="B15">
        <v>11852</v>
      </c>
      <c r="C15" s="9">
        <f t="shared" si="0"/>
        <v>0.11022853455609932</v>
      </c>
      <c r="D15">
        <v>4263</v>
      </c>
      <c r="E15">
        <f t="shared" si="1"/>
        <v>7589</v>
      </c>
      <c r="F15" s="9">
        <f t="shared" si="2"/>
        <v>0.64031387107661153</v>
      </c>
      <c r="G15">
        <v>2244</v>
      </c>
      <c r="H15" s="8">
        <f t="shared" si="3"/>
        <v>2019</v>
      </c>
      <c r="I15">
        <v>8381</v>
      </c>
      <c r="J15">
        <v>102062022656</v>
      </c>
    </row>
    <row r="16" spans="1:10" x14ac:dyDescent="0.2">
      <c r="A16" s="1">
        <v>44651</v>
      </c>
      <c r="B16">
        <v>10615</v>
      </c>
      <c r="C16" s="9">
        <f t="shared" si="0"/>
        <v>-9.6636752093780046E-2</v>
      </c>
      <c r="D16">
        <v>3932</v>
      </c>
      <c r="E16">
        <f t="shared" si="1"/>
        <v>6683</v>
      </c>
      <c r="F16" s="9">
        <f t="shared" si="2"/>
        <v>0.62958078191238809</v>
      </c>
      <c r="G16">
        <v>1831</v>
      </c>
      <c r="H16" s="8">
        <f t="shared" si="3"/>
        <v>2101</v>
      </c>
      <c r="I16">
        <v>5565</v>
      </c>
      <c r="J16">
        <v>136449138688</v>
      </c>
    </row>
    <row r="17" spans="1:10" x14ac:dyDescent="0.2">
      <c r="A17" s="1">
        <v>44561</v>
      </c>
      <c r="B17">
        <v>11692</v>
      </c>
      <c r="C17" s="9">
        <f t="shared" si="0"/>
        <v>0.12919108686670122</v>
      </c>
      <c r="D17">
        <v>4035</v>
      </c>
      <c r="E17">
        <f t="shared" si="1"/>
        <v>7657</v>
      </c>
      <c r="F17" s="9">
        <f t="shared" si="2"/>
        <v>0.65489223400615804</v>
      </c>
      <c r="G17">
        <v>2290</v>
      </c>
      <c r="H17" s="8">
        <f t="shared" si="3"/>
        <v>1745</v>
      </c>
      <c r="I17">
        <v>7155</v>
      </c>
    </row>
    <row r="18" spans="1:10" x14ac:dyDescent="0.2">
      <c r="A18" s="1">
        <v>44469</v>
      </c>
      <c r="B18">
        <v>10275</v>
      </c>
      <c r="C18" s="9">
        <f t="shared" si="0"/>
        <v>2.9631797606371149E-2</v>
      </c>
      <c r="D18">
        <v>3636</v>
      </c>
      <c r="E18">
        <f t="shared" si="1"/>
        <v>6639</v>
      </c>
      <c r="F18" s="9">
        <f t="shared" si="2"/>
        <v>0.64613138686131388</v>
      </c>
      <c r="G18">
        <v>2149</v>
      </c>
      <c r="H18" s="8">
        <f t="shared" si="3"/>
        <v>1487</v>
      </c>
      <c r="I18">
        <v>7330</v>
      </c>
      <c r="J18">
        <v>137833349120</v>
      </c>
    </row>
    <row r="19" spans="1:10" x14ac:dyDescent="0.2">
      <c r="A19" s="1">
        <v>44377</v>
      </c>
      <c r="B19">
        <v>9975</v>
      </c>
      <c r="C19" s="9">
        <f t="shared" si="0"/>
        <v>0.10630777564006103</v>
      </c>
      <c r="D19">
        <v>3616</v>
      </c>
      <c r="E19">
        <f t="shared" si="1"/>
        <v>6359</v>
      </c>
      <c r="F19" s="9">
        <f t="shared" si="2"/>
        <v>0.63749373433583956</v>
      </c>
      <c r="G19">
        <v>1796</v>
      </c>
      <c r="H19" s="8">
        <f t="shared" si="3"/>
        <v>1820</v>
      </c>
      <c r="I19">
        <v>7546</v>
      </c>
      <c r="J19">
        <v>126801641472</v>
      </c>
    </row>
    <row r="20" spans="1:10" x14ac:dyDescent="0.2">
      <c r="A20" s="1">
        <v>44286</v>
      </c>
      <c r="B20">
        <v>8969</v>
      </c>
      <c r="C20" s="9">
        <f t="shared" si="0"/>
        <v>-0.17600215539850286</v>
      </c>
      <c r="D20">
        <v>3223</v>
      </c>
      <c r="E20">
        <f t="shared" si="1"/>
        <v>5746</v>
      </c>
      <c r="F20" s="9">
        <f t="shared" si="2"/>
        <v>0.64065113167577215</v>
      </c>
      <c r="G20">
        <v>1802</v>
      </c>
      <c r="H20" s="8">
        <f t="shared" si="3"/>
        <v>1421</v>
      </c>
      <c r="I20">
        <v>2393</v>
      </c>
      <c r="J20">
        <v>110736465920</v>
      </c>
    </row>
    <row r="21" spans="1:10" x14ac:dyDescent="0.2">
      <c r="A21" s="1">
        <v>44196</v>
      </c>
      <c r="B21">
        <v>10695</v>
      </c>
      <c r="C21" s="9">
        <f t="shared" si="0"/>
        <v>9.4768017310557853E-2</v>
      </c>
      <c r="D21">
        <v>3714</v>
      </c>
      <c r="E21">
        <f t="shared" si="1"/>
        <v>6981</v>
      </c>
      <c r="F21" s="9">
        <f t="shared" si="2"/>
        <v>0.65273492286115009</v>
      </c>
      <c r="G21">
        <v>1577</v>
      </c>
      <c r="H21" s="8">
        <f t="shared" si="3"/>
        <v>2137</v>
      </c>
      <c r="I21">
        <v>3867</v>
      </c>
    </row>
    <row r="22" spans="1:10" x14ac:dyDescent="0.2">
      <c r="A22" s="1">
        <v>44104</v>
      </c>
      <c r="B22">
        <v>9728</v>
      </c>
      <c r="C22" s="9">
        <f t="shared" si="0"/>
        <v>-7.2072007656785744E-2</v>
      </c>
      <c r="D22">
        <v>3298</v>
      </c>
      <c r="E22">
        <f t="shared" si="1"/>
        <v>6430</v>
      </c>
      <c r="F22" s="9">
        <f t="shared" si="2"/>
        <v>0.66097861842105265</v>
      </c>
      <c r="G22">
        <v>1893</v>
      </c>
      <c r="H22" s="8">
        <f t="shared" si="3"/>
        <v>1405</v>
      </c>
      <c r="I22">
        <v>4251</v>
      </c>
      <c r="J22">
        <v>83387916288</v>
      </c>
    </row>
    <row r="23" spans="1:10" x14ac:dyDescent="0.2">
      <c r="A23" s="1">
        <v>44012</v>
      </c>
      <c r="B23">
        <v>10455</v>
      </c>
      <c r="C23" s="9">
        <f t="shared" si="0"/>
        <v>-1.2829826732718139E-2</v>
      </c>
      <c r="D23">
        <v>3483</v>
      </c>
      <c r="E23">
        <f t="shared" si="1"/>
        <v>6972</v>
      </c>
      <c r="F23" s="9">
        <f t="shared" si="2"/>
        <v>0.66685796269727404</v>
      </c>
      <c r="G23">
        <v>2061</v>
      </c>
      <c r="H23" s="8">
        <f t="shared" si="3"/>
        <v>1422</v>
      </c>
      <c r="I23">
        <v>4670</v>
      </c>
      <c r="J23">
        <v>85736873984</v>
      </c>
    </row>
    <row r="24" spans="1:10" x14ac:dyDescent="0.2">
      <c r="A24" s="1">
        <v>43921</v>
      </c>
      <c r="B24">
        <v>10590</v>
      </c>
      <c r="C24" s="9">
        <f t="shared" si="0"/>
        <v>-0.20226612566598584</v>
      </c>
      <c r="D24">
        <v>3763</v>
      </c>
      <c r="E24">
        <f t="shared" si="1"/>
        <v>6827</v>
      </c>
      <c r="F24" s="9">
        <f t="shared" si="2"/>
        <v>0.64466477809254008</v>
      </c>
      <c r="G24">
        <v>2016</v>
      </c>
      <c r="H24" s="8">
        <f t="shared" si="3"/>
        <v>1747</v>
      </c>
      <c r="I24">
        <v>7423</v>
      </c>
      <c r="J24">
        <v>72251351040</v>
      </c>
    </row>
    <row r="25" spans="1:10" x14ac:dyDescent="0.2">
      <c r="A25" s="1">
        <v>43830</v>
      </c>
      <c r="B25">
        <v>12964</v>
      </c>
      <c r="C25" s="9">
        <f t="shared" si="0"/>
        <v>7.2613823955106585E-2</v>
      </c>
      <c r="D25">
        <v>4329</v>
      </c>
      <c r="E25">
        <f t="shared" si="1"/>
        <v>8635</v>
      </c>
      <c r="F25" s="9">
        <f t="shared" si="2"/>
        <v>0.66607528540573901</v>
      </c>
      <c r="G25">
        <v>2628</v>
      </c>
      <c r="H25" s="8">
        <f t="shared" si="3"/>
        <v>1701</v>
      </c>
      <c r="I25">
        <v>8303</v>
      </c>
    </row>
    <row r="26" spans="1:10" x14ac:dyDescent="0.2">
      <c r="A26" s="1">
        <v>43738</v>
      </c>
      <c r="B26">
        <v>12056</v>
      </c>
      <c r="C26" s="9">
        <f t="shared" si="0"/>
        <v>6.1314350334491508E-2</v>
      </c>
      <c r="D26">
        <v>4038</v>
      </c>
      <c r="E26">
        <f t="shared" si="1"/>
        <v>8018</v>
      </c>
      <c r="F26" s="9">
        <f t="shared" si="2"/>
        <v>0.66506303915063036</v>
      </c>
      <c r="G26">
        <v>2363</v>
      </c>
      <c r="H26" s="8">
        <f t="shared" si="3"/>
        <v>1675</v>
      </c>
      <c r="I26">
        <v>7016</v>
      </c>
      <c r="J26">
        <v>81500364800</v>
      </c>
    </row>
    <row r="27" spans="1:10" x14ac:dyDescent="0.2">
      <c r="A27" s="1">
        <v>43646</v>
      </c>
      <c r="B27">
        <v>11339</v>
      </c>
      <c r="C27" s="9">
        <f t="shared" si="0"/>
        <v>0.10998653861064955</v>
      </c>
      <c r="D27">
        <v>3812</v>
      </c>
      <c r="E27">
        <f t="shared" si="1"/>
        <v>7527</v>
      </c>
      <c r="F27" s="9">
        <f t="shared" si="2"/>
        <v>0.66381515124790547</v>
      </c>
      <c r="G27">
        <v>2299</v>
      </c>
      <c r="H27" s="8">
        <f t="shared" si="3"/>
        <v>1513</v>
      </c>
      <c r="I27">
        <v>9524</v>
      </c>
    </row>
    <row r="28" spans="1:10" x14ac:dyDescent="0.2">
      <c r="A28" s="1">
        <v>43555</v>
      </c>
      <c r="B28">
        <v>10158</v>
      </c>
      <c r="C28" s="9">
        <f t="shared" si="0"/>
        <v>-9.8455454659905031E-2</v>
      </c>
      <c r="D28">
        <v>3604</v>
      </c>
      <c r="E28">
        <f t="shared" si="1"/>
        <v>6554</v>
      </c>
      <c r="F28" s="9">
        <f t="shared" si="2"/>
        <v>0.64520574916322115</v>
      </c>
      <c r="G28">
        <v>1941</v>
      </c>
      <c r="H28" s="8">
        <f t="shared" si="3"/>
        <v>1663</v>
      </c>
      <c r="I28">
        <v>8254</v>
      </c>
    </row>
    <row r="29" spans="1:10" x14ac:dyDescent="0.2">
      <c r="A29" s="1">
        <v>43465</v>
      </c>
      <c r="B29">
        <v>11209</v>
      </c>
      <c r="C29" s="9">
        <f t="shared" si="0"/>
        <v>0.10111699696741801</v>
      </c>
      <c r="D29">
        <v>3719</v>
      </c>
      <c r="E29">
        <f t="shared" si="1"/>
        <v>7490</v>
      </c>
      <c r="F29" s="9">
        <f t="shared" si="2"/>
        <v>0.66821304309037377</v>
      </c>
      <c r="G29">
        <v>1962</v>
      </c>
      <c r="H29" s="8">
        <f t="shared" si="3"/>
        <v>1757</v>
      </c>
      <c r="I29">
        <v>7115</v>
      </c>
    </row>
    <row r="30" spans="1:10" x14ac:dyDescent="0.2">
      <c r="A30" s="1">
        <v>43373</v>
      </c>
      <c r="B30">
        <v>10131</v>
      </c>
      <c r="C30" s="9">
        <f t="shared" si="0"/>
        <v>-3.339143573666109E-2</v>
      </c>
      <c r="D30">
        <v>3443</v>
      </c>
      <c r="E30">
        <f t="shared" si="1"/>
        <v>6688</v>
      </c>
      <c r="F30" s="9">
        <f t="shared" si="2"/>
        <v>0.6601520086862106</v>
      </c>
      <c r="G30">
        <v>1924</v>
      </c>
      <c r="H30" s="8">
        <f t="shared" si="3"/>
        <v>1519</v>
      </c>
      <c r="I30">
        <v>7834</v>
      </c>
    </row>
    <row r="31" spans="1:10" x14ac:dyDescent="0.2">
      <c r="A31" s="1">
        <v>43281</v>
      </c>
      <c r="B31">
        <v>10475</v>
      </c>
      <c r="C31" s="9">
        <f t="shared" si="0"/>
        <v>0.16846101882146158</v>
      </c>
      <c r="D31">
        <v>3441</v>
      </c>
      <c r="E31">
        <f t="shared" si="1"/>
        <v>7034</v>
      </c>
      <c r="F31" s="9">
        <f t="shared" si="2"/>
        <v>0.67150357995226728</v>
      </c>
      <c r="G31">
        <v>1879</v>
      </c>
      <c r="H31" s="8">
        <f t="shared" si="3"/>
        <v>1562</v>
      </c>
      <c r="I31">
        <v>8743</v>
      </c>
    </row>
    <row r="32" spans="1:10" x14ac:dyDescent="0.2">
      <c r="A32" s="1">
        <v>43190</v>
      </c>
      <c r="B32">
        <v>8851</v>
      </c>
      <c r="C32" s="9">
        <f t="shared" si="0"/>
        <v>-0.13319239041776171</v>
      </c>
      <c r="D32">
        <v>3133</v>
      </c>
      <c r="E32">
        <f t="shared" si="1"/>
        <v>5718</v>
      </c>
      <c r="F32" s="9">
        <f t="shared" si="2"/>
        <v>0.64602869732233648</v>
      </c>
      <c r="G32">
        <v>1715</v>
      </c>
      <c r="H32" s="8">
        <f t="shared" si="3"/>
        <v>1418</v>
      </c>
      <c r="I32">
        <v>7914</v>
      </c>
    </row>
    <row r="33" spans="1:10" x14ac:dyDescent="0.2">
      <c r="A33" s="1">
        <v>43100</v>
      </c>
      <c r="B33">
        <v>10112</v>
      </c>
      <c r="C33" s="9">
        <f t="shared" si="0"/>
        <v>0.21337633504476933</v>
      </c>
      <c r="D33">
        <v>3439</v>
      </c>
      <c r="E33">
        <f t="shared" si="1"/>
        <v>6673</v>
      </c>
      <c r="F33" s="9">
        <f t="shared" si="2"/>
        <v>0.65990901898734178</v>
      </c>
      <c r="G33">
        <v>1781</v>
      </c>
      <c r="H33" s="8">
        <f t="shared" si="3"/>
        <v>1658</v>
      </c>
      <c r="I33">
        <v>8313</v>
      </c>
    </row>
    <row r="34" spans="1:10" x14ac:dyDescent="0.2">
      <c r="A34" s="1">
        <v>43008</v>
      </c>
      <c r="B34">
        <v>8169</v>
      </c>
      <c r="C34" s="9">
        <f t="shared" ref="C34:C63" si="4">+LN(B34/B35)</f>
        <v>-8.6490982090000196E-2</v>
      </c>
      <c r="D34">
        <v>2764</v>
      </c>
      <c r="E34">
        <f t="shared" ref="E34:E64" si="5">+B34-D34</f>
        <v>5405</v>
      </c>
      <c r="F34" s="9">
        <f t="shared" ref="F34:F64" si="6">+E34/B34</f>
        <v>0.66164769249602151</v>
      </c>
      <c r="G34">
        <v>1451</v>
      </c>
      <c r="H34" s="8">
        <f t="shared" ref="H34:H64" si="7">+B34-E34-G34</f>
        <v>1313</v>
      </c>
      <c r="I34">
        <v>9199</v>
      </c>
    </row>
    <row r="35" spans="1:10" x14ac:dyDescent="0.2">
      <c r="A35" s="1">
        <v>42916</v>
      </c>
      <c r="B35">
        <v>8907</v>
      </c>
      <c r="C35" s="9">
        <f t="shared" si="4"/>
        <v>9.1768686884197523E-2</v>
      </c>
      <c r="D35">
        <v>2977</v>
      </c>
      <c r="E35">
        <f t="shared" si="5"/>
        <v>5930</v>
      </c>
      <c r="F35" s="9">
        <f t="shared" si="6"/>
        <v>0.6657684966879982</v>
      </c>
      <c r="G35">
        <v>1563</v>
      </c>
      <c r="H35" s="8">
        <f t="shared" si="7"/>
        <v>1414</v>
      </c>
      <c r="I35">
        <v>10050</v>
      </c>
      <c r="J35">
        <v>72314273792</v>
      </c>
    </row>
    <row r="36" spans="1:10" x14ac:dyDescent="0.2">
      <c r="A36" s="1">
        <v>42825</v>
      </c>
      <c r="B36">
        <v>8126</v>
      </c>
      <c r="C36" s="9">
        <f t="shared" si="4"/>
        <v>-0.19786991837670534</v>
      </c>
      <c r="D36">
        <v>2755</v>
      </c>
      <c r="E36">
        <f t="shared" si="5"/>
        <v>5371</v>
      </c>
      <c r="F36" s="9">
        <f t="shared" si="6"/>
        <v>0.66096480433177451</v>
      </c>
      <c r="G36">
        <v>1433</v>
      </c>
      <c r="H36" s="8">
        <f t="shared" si="7"/>
        <v>1322</v>
      </c>
      <c r="I36">
        <v>8904</v>
      </c>
      <c r="J36">
        <v>70930063360</v>
      </c>
    </row>
    <row r="37" spans="1:10" x14ac:dyDescent="0.2">
      <c r="A37" s="1">
        <v>42735</v>
      </c>
      <c r="B37">
        <v>9904</v>
      </c>
      <c r="C37" s="9">
        <f t="shared" si="4"/>
        <v>0.14338825911725631</v>
      </c>
      <c r="D37">
        <v>3056</v>
      </c>
      <c r="E37">
        <f t="shared" si="5"/>
        <v>6848</v>
      </c>
      <c r="F37" s="9">
        <f t="shared" si="6"/>
        <v>0.69143780290791601</v>
      </c>
      <c r="G37">
        <v>1330</v>
      </c>
      <c r="H37" s="8">
        <f t="shared" si="7"/>
        <v>1726</v>
      </c>
      <c r="I37">
        <v>9731</v>
      </c>
    </row>
    <row r="38" spans="1:10" x14ac:dyDescent="0.2">
      <c r="A38" s="1">
        <v>42643</v>
      </c>
      <c r="B38">
        <v>8581</v>
      </c>
      <c r="C38" s="9">
        <f t="shared" si="4"/>
        <v>-4.2103075461780173E-2</v>
      </c>
      <c r="D38">
        <v>2245</v>
      </c>
      <c r="E38">
        <f t="shared" si="5"/>
        <v>6336</v>
      </c>
      <c r="F38" s="9">
        <f t="shared" si="6"/>
        <v>0.73837548071320358</v>
      </c>
      <c r="G38">
        <v>365</v>
      </c>
      <c r="H38" s="8">
        <f t="shared" si="7"/>
        <v>1880</v>
      </c>
      <c r="I38">
        <v>11195</v>
      </c>
      <c r="J38">
        <v>56416874496</v>
      </c>
    </row>
    <row r="39" spans="1:10" x14ac:dyDescent="0.2">
      <c r="A39" s="1">
        <v>42551</v>
      </c>
      <c r="B39">
        <v>8950</v>
      </c>
      <c r="C39" s="9">
        <f t="shared" si="4"/>
        <v>8.7641336672723363E-2</v>
      </c>
      <c r="D39">
        <v>2982</v>
      </c>
      <c r="E39">
        <f t="shared" si="5"/>
        <v>5968</v>
      </c>
      <c r="F39" s="9">
        <f t="shared" si="6"/>
        <v>0.66681564245810054</v>
      </c>
      <c r="G39">
        <v>1545</v>
      </c>
      <c r="H39" s="8">
        <f t="shared" si="7"/>
        <v>1437</v>
      </c>
      <c r="I39">
        <v>11768</v>
      </c>
      <c r="J39">
        <v>55368237056</v>
      </c>
    </row>
    <row r="40" spans="1:10" x14ac:dyDescent="0.2">
      <c r="A40" s="1">
        <v>42460</v>
      </c>
      <c r="B40">
        <v>8199</v>
      </c>
      <c r="C40" s="9">
        <f t="shared" si="4"/>
        <v>-0.27599679434480867</v>
      </c>
      <c r="D40">
        <v>2770</v>
      </c>
      <c r="E40">
        <f t="shared" si="5"/>
        <v>5429</v>
      </c>
      <c r="F40" s="9">
        <f t="shared" si="6"/>
        <v>0.66215392120990368</v>
      </c>
      <c r="G40">
        <v>1488</v>
      </c>
      <c r="H40" s="8">
        <f t="shared" si="7"/>
        <v>1282</v>
      </c>
      <c r="I40">
        <v>10833</v>
      </c>
      <c r="J40">
        <v>55745744896</v>
      </c>
    </row>
    <row r="41" spans="1:10" x14ac:dyDescent="0.2">
      <c r="A41" s="1">
        <v>42369</v>
      </c>
      <c r="B41">
        <v>10805</v>
      </c>
      <c r="C41" s="9">
        <f t="shared" si="4"/>
        <v>0.10860501444837845</v>
      </c>
      <c r="D41">
        <v>3428</v>
      </c>
      <c r="E41">
        <f t="shared" si="5"/>
        <v>7377</v>
      </c>
      <c r="F41" s="9">
        <f t="shared" si="6"/>
        <v>0.68273947246645073</v>
      </c>
      <c r="G41">
        <v>1944</v>
      </c>
      <c r="H41" s="8">
        <f t="shared" si="7"/>
        <v>1484</v>
      </c>
      <c r="I41">
        <v>11778</v>
      </c>
    </row>
    <row r="42" spans="1:10" x14ac:dyDescent="0.2">
      <c r="A42" s="1">
        <v>42277</v>
      </c>
      <c r="B42">
        <v>9693</v>
      </c>
      <c r="C42" s="9">
        <f t="shared" si="4"/>
        <v>-4.8726296699323594E-2</v>
      </c>
      <c r="D42">
        <v>3135</v>
      </c>
      <c r="E42">
        <f t="shared" si="5"/>
        <v>6558</v>
      </c>
      <c r="F42" s="9">
        <f t="shared" si="6"/>
        <v>0.67657072113896621</v>
      </c>
      <c r="G42">
        <v>1830</v>
      </c>
      <c r="H42" s="8">
        <f t="shared" si="7"/>
        <v>1305</v>
      </c>
      <c r="I42">
        <v>13639</v>
      </c>
      <c r="J42">
        <v>57423572992</v>
      </c>
    </row>
    <row r="43" spans="1:10" x14ac:dyDescent="0.2">
      <c r="A43" s="1">
        <v>42185</v>
      </c>
      <c r="B43">
        <v>10177</v>
      </c>
      <c r="C43" s="9">
        <f t="shared" si="4"/>
        <v>0.1150477605769875</v>
      </c>
      <c r="D43">
        <v>3420</v>
      </c>
      <c r="E43">
        <f t="shared" si="5"/>
        <v>6757</v>
      </c>
      <c r="F43" s="9">
        <f t="shared" si="6"/>
        <v>0.6639481183059841</v>
      </c>
      <c r="G43">
        <v>1972</v>
      </c>
      <c r="H43" s="8">
        <f t="shared" si="7"/>
        <v>1448</v>
      </c>
      <c r="I43">
        <v>14195</v>
      </c>
      <c r="J43">
        <v>61198680064</v>
      </c>
    </row>
    <row r="44" spans="1:10" x14ac:dyDescent="0.2">
      <c r="A44" s="1">
        <v>42094</v>
      </c>
      <c r="B44">
        <v>9071</v>
      </c>
      <c r="C44" s="9">
        <f t="shared" si="4"/>
        <v>-0.17214612435700435</v>
      </c>
      <c r="D44">
        <v>3056</v>
      </c>
      <c r="E44">
        <f t="shared" si="5"/>
        <v>6015</v>
      </c>
      <c r="F44" s="9">
        <f t="shared" si="6"/>
        <v>0.66310219380443169</v>
      </c>
      <c r="G44">
        <v>1724</v>
      </c>
      <c r="H44" s="8">
        <f t="shared" si="7"/>
        <v>1332</v>
      </c>
      <c r="I44">
        <v>13935</v>
      </c>
      <c r="J44">
        <v>71097851904</v>
      </c>
    </row>
    <row r="45" spans="1:10" x14ac:dyDescent="0.2">
      <c r="A45" s="1">
        <v>42004</v>
      </c>
      <c r="B45">
        <v>10775</v>
      </c>
      <c r="C45" s="9">
        <f t="shared" si="4"/>
        <v>0.15022952995236091</v>
      </c>
      <c r="D45">
        <v>3415</v>
      </c>
      <c r="E45">
        <f t="shared" si="5"/>
        <v>7360</v>
      </c>
      <c r="F45" s="9">
        <f t="shared" si="6"/>
        <v>0.68306264501160097</v>
      </c>
      <c r="G45">
        <v>2109</v>
      </c>
      <c r="H45" s="8">
        <f t="shared" si="7"/>
        <v>1306</v>
      </c>
      <c r="I45">
        <v>15193</v>
      </c>
    </row>
    <row r="46" spans="1:10" x14ac:dyDescent="0.2">
      <c r="A46" s="1">
        <v>41912</v>
      </c>
      <c r="B46">
        <v>9272</v>
      </c>
      <c r="C46" s="9">
        <f t="shared" si="4"/>
        <v>9.6033046704223926E-2</v>
      </c>
      <c r="D46">
        <v>2988</v>
      </c>
      <c r="E46">
        <f t="shared" si="5"/>
        <v>6284</v>
      </c>
      <c r="F46" s="9">
        <f t="shared" si="6"/>
        <v>0.677739430543572</v>
      </c>
      <c r="G46">
        <v>1437</v>
      </c>
      <c r="H46" s="8">
        <f t="shared" si="7"/>
        <v>1551</v>
      </c>
      <c r="I46">
        <v>15400</v>
      </c>
      <c r="J46">
        <v>64764055552</v>
      </c>
    </row>
    <row r="47" spans="1:10" x14ac:dyDescent="0.2">
      <c r="A47" s="1">
        <v>41820</v>
      </c>
      <c r="B47">
        <v>8423</v>
      </c>
      <c r="C47" s="9">
        <f t="shared" si="4"/>
        <v>0.24435105909249283</v>
      </c>
      <c r="D47">
        <v>2862</v>
      </c>
      <c r="E47">
        <f t="shared" si="5"/>
        <v>5561</v>
      </c>
      <c r="F47" s="9">
        <f t="shared" si="6"/>
        <v>0.66021607503264867</v>
      </c>
      <c r="G47">
        <v>1477</v>
      </c>
      <c r="H47" s="8">
        <f t="shared" si="7"/>
        <v>1385</v>
      </c>
      <c r="I47">
        <v>15951</v>
      </c>
      <c r="J47">
        <v>72230379520</v>
      </c>
    </row>
    <row r="48" spans="1:10" x14ac:dyDescent="0.2">
      <c r="A48" s="1">
        <v>41729</v>
      </c>
      <c r="B48">
        <v>6597</v>
      </c>
      <c r="C48" s="9">
        <f t="shared" si="4"/>
        <v>-0.2661931674350837</v>
      </c>
      <c r="D48">
        <v>2455</v>
      </c>
      <c r="E48">
        <f t="shared" si="5"/>
        <v>4142</v>
      </c>
      <c r="F48" s="9">
        <f t="shared" si="6"/>
        <v>0.62786114900712442</v>
      </c>
      <c r="G48">
        <v>1114</v>
      </c>
      <c r="H48" s="8">
        <f t="shared" si="7"/>
        <v>1341</v>
      </c>
      <c r="I48">
        <v>1251</v>
      </c>
      <c r="J48">
        <v>73446801408</v>
      </c>
    </row>
    <row r="49" spans="1:10" x14ac:dyDescent="0.2">
      <c r="A49" s="1">
        <v>41639</v>
      </c>
      <c r="B49">
        <v>8609</v>
      </c>
      <c r="C49" s="9">
        <f t="shared" si="4"/>
        <v>0.1826236119329312</v>
      </c>
      <c r="D49">
        <v>2987</v>
      </c>
      <c r="E49">
        <f t="shared" si="5"/>
        <v>5622</v>
      </c>
      <c r="F49" s="9">
        <f t="shared" si="6"/>
        <v>0.65303751887559536</v>
      </c>
      <c r="G49">
        <v>1522</v>
      </c>
      <c r="H49" s="8">
        <f t="shared" si="7"/>
        <v>1465</v>
      </c>
      <c r="I49">
        <v>2671</v>
      </c>
    </row>
    <row r="50" spans="1:10" x14ac:dyDescent="0.2">
      <c r="A50" s="1">
        <v>41547</v>
      </c>
      <c r="B50">
        <v>7172</v>
      </c>
      <c r="C50" s="9">
        <f t="shared" si="4"/>
        <v>-4.6716467462051353E-2</v>
      </c>
      <c r="D50">
        <v>2486</v>
      </c>
      <c r="E50">
        <f t="shared" si="5"/>
        <v>4686</v>
      </c>
      <c r="F50" s="9">
        <f t="shared" si="6"/>
        <v>0.65337423312883436</v>
      </c>
      <c r="G50">
        <v>1310</v>
      </c>
      <c r="H50" s="8">
        <f t="shared" si="7"/>
        <v>1176</v>
      </c>
      <c r="I50">
        <v>3582</v>
      </c>
      <c r="J50">
        <v>65057677312</v>
      </c>
    </row>
    <row r="51" spans="1:10" x14ac:dyDescent="0.2">
      <c r="A51" s="1">
        <v>41455</v>
      </c>
      <c r="B51">
        <v>7515</v>
      </c>
      <c r="C51" s="9">
        <f t="shared" si="4"/>
        <v>0.14432991124046929</v>
      </c>
      <c r="D51">
        <v>2709</v>
      </c>
      <c r="E51">
        <f t="shared" si="5"/>
        <v>4806</v>
      </c>
      <c r="F51" s="9">
        <f t="shared" si="6"/>
        <v>0.63952095808383236</v>
      </c>
      <c r="G51">
        <v>1348</v>
      </c>
      <c r="H51" s="8">
        <f t="shared" si="7"/>
        <v>1361</v>
      </c>
      <c r="I51">
        <v>3707</v>
      </c>
    </row>
    <row r="52" spans="1:10" x14ac:dyDescent="0.2">
      <c r="A52" s="1">
        <v>41364</v>
      </c>
      <c r="B52">
        <v>6505</v>
      </c>
      <c r="C52" s="9">
        <f t="shared" si="4"/>
        <v>-0.22163588191584074</v>
      </c>
      <c r="D52">
        <v>2352</v>
      </c>
      <c r="E52">
        <f t="shared" si="5"/>
        <v>4153</v>
      </c>
      <c r="F52" s="9">
        <f t="shared" si="6"/>
        <v>0.63843197540353569</v>
      </c>
      <c r="G52">
        <v>1180</v>
      </c>
      <c r="H52" s="8">
        <f t="shared" si="7"/>
        <v>1172</v>
      </c>
      <c r="I52">
        <v>2509</v>
      </c>
    </row>
    <row r="53" spans="1:10" x14ac:dyDescent="0.2">
      <c r="A53" s="1">
        <v>41274</v>
      </c>
      <c r="B53">
        <v>8119</v>
      </c>
      <c r="C53" s="9">
        <f t="shared" si="4"/>
        <v>0.14089572934468556</v>
      </c>
      <c r="D53">
        <v>2883</v>
      </c>
      <c r="E53">
        <f t="shared" si="5"/>
        <v>5236</v>
      </c>
      <c r="F53" s="9">
        <f t="shared" si="6"/>
        <v>0.64490700825224778</v>
      </c>
      <c r="G53">
        <v>1404</v>
      </c>
      <c r="H53" s="8">
        <f t="shared" si="7"/>
        <v>1479</v>
      </c>
      <c r="I53">
        <v>3593</v>
      </c>
    </row>
    <row r="54" spans="1:10" x14ac:dyDescent="0.2">
      <c r="A54" s="1">
        <v>41182</v>
      </c>
      <c r="B54">
        <v>7052</v>
      </c>
      <c r="C54" s="9">
        <f t="shared" si="4"/>
        <v>-0.1022217320925364</v>
      </c>
      <c r="D54">
        <v>2485</v>
      </c>
      <c r="E54">
        <f t="shared" si="5"/>
        <v>4567</v>
      </c>
      <c r="F54" s="9">
        <f t="shared" si="6"/>
        <v>0.64761769710720363</v>
      </c>
      <c r="G54">
        <v>1287</v>
      </c>
      <c r="H54" s="8">
        <f t="shared" si="7"/>
        <v>1198</v>
      </c>
      <c r="I54">
        <v>2997</v>
      </c>
    </row>
    <row r="55" spans="1:10" x14ac:dyDescent="0.2">
      <c r="A55" s="1">
        <v>41090</v>
      </c>
      <c r="B55">
        <v>7811</v>
      </c>
      <c r="C55" s="9">
        <f t="shared" si="4"/>
        <v>0.13406192087844804</v>
      </c>
      <c r="D55">
        <v>2769</v>
      </c>
      <c r="E55">
        <f t="shared" si="5"/>
        <v>5042</v>
      </c>
      <c r="F55" s="9">
        <f t="shared" si="6"/>
        <v>0.64549993598770961</v>
      </c>
      <c r="G55">
        <v>1401</v>
      </c>
      <c r="H55" s="8">
        <f t="shared" si="7"/>
        <v>1368</v>
      </c>
      <c r="I55">
        <v>3609</v>
      </c>
    </row>
    <row r="56" spans="1:10" x14ac:dyDescent="0.2">
      <c r="A56" s="1">
        <v>40999</v>
      </c>
      <c r="B56">
        <v>6831</v>
      </c>
      <c r="C56" s="9">
        <f t="shared" si="4"/>
        <v>-0.17642414458837055</v>
      </c>
      <c r="D56">
        <v>2507</v>
      </c>
      <c r="E56">
        <f t="shared" si="5"/>
        <v>4324</v>
      </c>
      <c r="F56" s="9">
        <f t="shared" si="6"/>
        <v>0.632996632996633</v>
      </c>
      <c r="G56">
        <v>1238</v>
      </c>
      <c r="H56" s="8">
        <f t="shared" si="7"/>
        <v>1269</v>
      </c>
      <c r="I56">
        <v>2080</v>
      </c>
    </row>
    <row r="57" spans="1:10" x14ac:dyDescent="0.2">
      <c r="A57" s="1">
        <v>40908</v>
      </c>
      <c r="B57">
        <v>8149</v>
      </c>
      <c r="C57" s="9">
        <f t="shared" si="4"/>
        <v>7.3570061216913243E-2</v>
      </c>
      <c r="D57">
        <v>2972</v>
      </c>
      <c r="E57">
        <f t="shared" si="5"/>
        <v>5177</v>
      </c>
      <c r="F57" s="9">
        <f t="shared" si="6"/>
        <v>0.6352926739477236</v>
      </c>
      <c r="G57">
        <v>1417</v>
      </c>
      <c r="H57" s="8">
        <f t="shared" si="7"/>
        <v>1555</v>
      </c>
      <c r="I57">
        <v>2629</v>
      </c>
    </row>
    <row r="58" spans="1:10" x14ac:dyDescent="0.2">
      <c r="A58" s="1">
        <v>40816</v>
      </c>
      <c r="B58">
        <v>7571</v>
      </c>
      <c r="C58" s="9">
        <f t="shared" si="4"/>
        <v>7.371180179528837E-2</v>
      </c>
      <c r="D58">
        <v>2772</v>
      </c>
      <c r="E58">
        <f t="shared" si="5"/>
        <v>4799</v>
      </c>
      <c r="F58" s="9">
        <f t="shared" si="6"/>
        <v>0.63386606789063527</v>
      </c>
      <c r="G58">
        <v>1550</v>
      </c>
      <c r="H58" s="8">
        <f t="shared" si="7"/>
        <v>1222</v>
      </c>
      <c r="I58">
        <v>3354</v>
      </c>
      <c r="J58">
        <v>45804625920</v>
      </c>
    </row>
    <row r="59" spans="1:10" x14ac:dyDescent="0.2">
      <c r="A59" s="1">
        <v>40724</v>
      </c>
      <c r="B59">
        <v>7033</v>
      </c>
      <c r="C59" s="9">
        <f t="shared" si="4"/>
        <v>0.17583051230494295</v>
      </c>
      <c r="D59">
        <v>2779</v>
      </c>
      <c r="E59">
        <f t="shared" si="5"/>
        <v>4254</v>
      </c>
      <c r="F59" s="9">
        <f t="shared" si="6"/>
        <v>0.60486278970567331</v>
      </c>
      <c r="G59">
        <v>1361</v>
      </c>
      <c r="H59" s="8">
        <f t="shared" si="7"/>
        <v>1418</v>
      </c>
      <c r="I59">
        <v>4059</v>
      </c>
      <c r="J59">
        <v>57171894272</v>
      </c>
    </row>
    <row r="60" spans="1:10" x14ac:dyDescent="0.2">
      <c r="A60" s="1">
        <v>40633</v>
      </c>
      <c r="B60">
        <v>5899</v>
      </c>
      <c r="C60" s="9">
        <f t="shared" si="4"/>
        <v>-0.19498332984979694</v>
      </c>
      <c r="D60">
        <v>2300</v>
      </c>
      <c r="E60">
        <f t="shared" si="5"/>
        <v>3599</v>
      </c>
      <c r="F60" s="9">
        <f t="shared" si="6"/>
        <v>0.61010340735717916</v>
      </c>
      <c r="G60">
        <v>1238</v>
      </c>
      <c r="H60" s="8">
        <f t="shared" si="7"/>
        <v>1062</v>
      </c>
      <c r="I60">
        <v>-1831</v>
      </c>
      <c r="J60">
        <v>57861615616</v>
      </c>
    </row>
    <row r="61" spans="1:10" x14ac:dyDescent="0.2">
      <c r="A61" s="1">
        <v>40543</v>
      </c>
      <c r="B61">
        <v>7169</v>
      </c>
      <c r="C61" s="9">
        <f t="shared" si="4"/>
        <v>0.21001350177776662</v>
      </c>
      <c r="D61">
        <v>2733</v>
      </c>
      <c r="E61">
        <f t="shared" si="5"/>
        <v>4436</v>
      </c>
      <c r="F61" s="9">
        <f t="shared" si="6"/>
        <v>0.61877528246617386</v>
      </c>
      <c r="G61">
        <v>1466</v>
      </c>
      <c r="H61" s="8">
        <f t="shared" si="7"/>
        <v>1267</v>
      </c>
      <c r="I61">
        <v>-1319</v>
      </c>
    </row>
    <row r="62" spans="1:10" x14ac:dyDescent="0.2">
      <c r="A62" s="1">
        <v>40451</v>
      </c>
      <c r="B62">
        <v>5811</v>
      </c>
      <c r="C62" s="9">
        <f t="shared" si="4"/>
        <v>-9.0118459192302214E-2</v>
      </c>
      <c r="D62">
        <v>2333</v>
      </c>
      <c r="E62">
        <f t="shared" si="5"/>
        <v>3478</v>
      </c>
      <c r="F62" s="9">
        <f t="shared" si="6"/>
        <v>0.59852004818447768</v>
      </c>
      <c r="G62">
        <v>1244</v>
      </c>
      <c r="H62" s="8">
        <f t="shared" si="7"/>
        <v>1089</v>
      </c>
      <c r="I62">
        <v>-1253</v>
      </c>
      <c r="J62">
        <v>49842864128</v>
      </c>
    </row>
    <row r="63" spans="1:10" x14ac:dyDescent="0.2">
      <c r="A63" s="1">
        <v>40359</v>
      </c>
      <c r="B63">
        <v>6359</v>
      </c>
      <c r="C63" s="9">
        <f t="shared" si="4"/>
        <v>0.16699690177798807</v>
      </c>
      <c r="D63">
        <v>2422</v>
      </c>
      <c r="E63" s="5">
        <f t="shared" si="5"/>
        <v>3937</v>
      </c>
      <c r="F63" s="6">
        <f t="shared" si="6"/>
        <v>0.61912250353829223</v>
      </c>
      <c r="G63">
        <v>1373</v>
      </c>
      <c r="H63" s="4">
        <f t="shared" si="7"/>
        <v>1049</v>
      </c>
      <c r="I63">
        <v>-472</v>
      </c>
      <c r="J63">
        <v>43132436480</v>
      </c>
    </row>
    <row r="64" spans="1:10" x14ac:dyDescent="0.2">
      <c r="A64" s="1">
        <v>40268</v>
      </c>
      <c r="B64">
        <v>5381</v>
      </c>
      <c r="D64">
        <v>2203</v>
      </c>
      <c r="E64" s="5">
        <f t="shared" si="5"/>
        <v>3178</v>
      </c>
      <c r="F64" s="6">
        <f t="shared" si="6"/>
        <v>0.59059654339342127</v>
      </c>
      <c r="G64">
        <v>1114</v>
      </c>
      <c r="H64" s="4">
        <f t="shared" si="7"/>
        <v>1089</v>
      </c>
      <c r="I64">
        <v>-1036</v>
      </c>
      <c r="J64">
        <v>44862795776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48F6-6BB8-2F45-9A56-F982DD4CC650}">
  <dimension ref="A1:I18"/>
  <sheetViews>
    <sheetView workbookViewId="0">
      <selection activeCell="C18" sqref="C18"/>
    </sheetView>
  </sheetViews>
  <sheetFormatPr baseColWidth="10" defaultRowHeight="15" x14ac:dyDescent="0.2"/>
  <sheetData>
    <row r="1" spans="1:9" x14ac:dyDescent="0.2">
      <c r="A1" t="s">
        <v>22</v>
      </c>
    </row>
    <row r="2" spans="1:9" ht="16" thickBot="1" x14ac:dyDescent="0.25"/>
    <row r="3" spans="1:9" x14ac:dyDescent="0.2">
      <c r="A3" s="18" t="s">
        <v>23</v>
      </c>
      <c r="B3" s="18"/>
    </row>
    <row r="4" spans="1:9" x14ac:dyDescent="0.2">
      <c r="A4" t="s">
        <v>24</v>
      </c>
      <c r="B4">
        <v>0.87675447914814908</v>
      </c>
    </row>
    <row r="5" spans="1:9" x14ac:dyDescent="0.2">
      <c r="A5" t="s">
        <v>25</v>
      </c>
      <c r="B5">
        <v>0.7686984167063422</v>
      </c>
    </row>
    <row r="6" spans="1:9" x14ac:dyDescent="0.2">
      <c r="A6" t="s">
        <v>26</v>
      </c>
      <c r="B6">
        <v>0.764415054052756</v>
      </c>
    </row>
    <row r="7" spans="1:9" x14ac:dyDescent="0.2">
      <c r="A7" t="s">
        <v>27</v>
      </c>
      <c r="B7">
        <v>177.8394601986235</v>
      </c>
    </row>
    <row r="8" spans="1:9" ht="16" thickBot="1" x14ac:dyDescent="0.25">
      <c r="A8" s="16" t="s">
        <v>28</v>
      </c>
      <c r="B8" s="16">
        <v>56</v>
      </c>
    </row>
    <row r="10" spans="1:9" ht="16" thickBot="1" x14ac:dyDescent="0.25">
      <c r="A10" t="s">
        <v>29</v>
      </c>
    </row>
    <row r="11" spans="1:9" x14ac:dyDescent="0.2">
      <c r="A11" s="17"/>
      <c r="B11" s="17" t="s">
        <v>34</v>
      </c>
      <c r="C11" s="17" t="s">
        <v>35</v>
      </c>
      <c r="D11" s="17" t="s">
        <v>36</v>
      </c>
      <c r="E11" s="17" t="s">
        <v>19</v>
      </c>
      <c r="F11" s="17" t="s">
        <v>37</v>
      </c>
    </row>
    <row r="12" spans="1:9" x14ac:dyDescent="0.2">
      <c r="A12" t="s">
        <v>30</v>
      </c>
      <c r="B12">
        <v>1</v>
      </c>
      <c r="C12">
        <v>5675804.1825410146</v>
      </c>
      <c r="D12">
        <v>5675804.1825410146</v>
      </c>
      <c r="E12">
        <v>179.46143693033969</v>
      </c>
      <c r="F12">
        <v>8.3439714231763795E-19</v>
      </c>
    </row>
    <row r="13" spans="1:9" x14ac:dyDescent="0.2">
      <c r="A13" t="s">
        <v>31</v>
      </c>
      <c r="B13">
        <v>54</v>
      </c>
      <c r="C13">
        <v>1707851.1746018406</v>
      </c>
      <c r="D13">
        <v>31626.873603737789</v>
      </c>
    </row>
    <row r="14" spans="1:9" ht="16" thickBot="1" x14ac:dyDescent="0.25">
      <c r="A14" s="16" t="s">
        <v>32</v>
      </c>
      <c r="B14" s="16">
        <v>55</v>
      </c>
      <c r="C14" s="16">
        <v>7383655.3571428554</v>
      </c>
      <c r="D14" s="16"/>
      <c r="E14" s="16"/>
      <c r="F14" s="16"/>
    </row>
    <row r="15" spans="1:9" ht="16" thickBot="1" x14ac:dyDescent="0.25"/>
    <row r="16" spans="1:9" x14ac:dyDescent="0.2">
      <c r="A16" s="17"/>
      <c r="B16" s="17" t="s">
        <v>38</v>
      </c>
      <c r="C16" s="17" t="s">
        <v>27</v>
      </c>
      <c r="D16" s="17" t="s">
        <v>39</v>
      </c>
      <c r="E16" s="17" t="s">
        <v>40</v>
      </c>
      <c r="F16" s="17" t="s">
        <v>41</v>
      </c>
      <c r="G16" s="17" t="s">
        <v>42</v>
      </c>
      <c r="H16" s="17" t="s">
        <v>43</v>
      </c>
      <c r="I16" s="17" t="s">
        <v>44</v>
      </c>
    </row>
    <row r="17" spans="1:9" x14ac:dyDescent="0.2">
      <c r="A17" t="s">
        <v>33</v>
      </c>
      <c r="B17">
        <v>406.04967919543424</v>
      </c>
      <c r="C17">
        <v>89.349727217382352</v>
      </c>
      <c r="D17">
        <v>4.5444982524405537</v>
      </c>
      <c r="E17">
        <v>3.1392245058352571E-5</v>
      </c>
      <c r="F17">
        <v>226.91426169205158</v>
      </c>
      <c r="G17">
        <v>585.18509669881689</v>
      </c>
      <c r="H17">
        <v>226.91426169205158</v>
      </c>
      <c r="I17">
        <v>585.18509669881689</v>
      </c>
    </row>
    <row r="18" spans="1:9" ht="16" thickBot="1" x14ac:dyDescent="0.25">
      <c r="A18" s="16" t="s">
        <v>45</v>
      </c>
      <c r="B18" s="16">
        <v>0.11876880455011871</v>
      </c>
      <c r="C18" s="16">
        <v>8.8657772335452231E-3</v>
      </c>
      <c r="D18" s="16">
        <v>13.396321768692326</v>
      </c>
      <c r="E18" s="16">
        <v>8.3439714231761984E-19</v>
      </c>
      <c r="F18" s="16">
        <v>0.10099399140089467</v>
      </c>
      <c r="G18" s="16">
        <v>0.13654361769934273</v>
      </c>
      <c r="H18" s="16">
        <v>0.10099399140089467</v>
      </c>
      <c r="I18" s="16">
        <v>0.13654361769934273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9156-3DD8-7C4D-A614-9EC5176F920A}">
  <dimension ref="A2:E18"/>
  <sheetViews>
    <sheetView workbookViewId="0">
      <selection activeCell="B14" sqref="B14"/>
    </sheetView>
  </sheetViews>
  <sheetFormatPr baseColWidth="10" defaultRowHeight="15" x14ac:dyDescent="0.2"/>
  <sheetData>
    <row r="2" spans="1:5" x14ac:dyDescent="0.2">
      <c r="A2" s="14" t="s">
        <v>13</v>
      </c>
    </row>
    <row r="3" spans="1:5" x14ac:dyDescent="0.2">
      <c r="A3" t="s">
        <v>14</v>
      </c>
      <c r="B3" s="19">
        <f>+'ALFA - FA'!B60*4</f>
        <v>23596</v>
      </c>
    </row>
    <row r="4" spans="1:5" x14ac:dyDescent="0.2">
      <c r="A4" t="s">
        <v>15</v>
      </c>
      <c r="B4" s="15">
        <f>+AVERAGE('ALFA - FA'!C60:C63)*4</f>
        <v>9.1908614513655534E-2</v>
      </c>
    </row>
    <row r="5" spans="1:5" x14ac:dyDescent="0.2">
      <c r="A5" t="s">
        <v>16</v>
      </c>
      <c r="B5" s="15">
        <f>+_xlfn.STDEV.S('ALFA - FA'!C9:C63)/0.5</f>
        <v>0.28340998365071612</v>
      </c>
    </row>
    <row r="6" spans="1:5" x14ac:dyDescent="0.2">
      <c r="A6" t="s">
        <v>17</v>
      </c>
      <c r="B6" s="15">
        <f>+AVERAGE('ALFA - FA'!F9:F64)</f>
        <v>0.65382333909692103</v>
      </c>
    </row>
    <row r="7" spans="1:5" x14ac:dyDescent="0.2">
      <c r="A7" t="s">
        <v>18</v>
      </c>
      <c r="B7" s="15">
        <f>+'ALFA - Cost'!B18</f>
        <v>0.11876880455011871</v>
      </c>
      <c r="C7" s="20">
        <f>+'ALFA - Cost'!E18</f>
        <v>8.3439714231761984E-19</v>
      </c>
      <c r="D7" t="s">
        <v>48</v>
      </c>
      <c r="E7">
        <f>+'ALFA - Cost'!B5</f>
        <v>0.7686984167063422</v>
      </c>
    </row>
    <row r="8" spans="1:5" x14ac:dyDescent="0.2">
      <c r="A8" t="s">
        <v>19</v>
      </c>
      <c r="B8" s="19">
        <f>+'ALFA - Cost'!B17</f>
        <v>406.04967919543424</v>
      </c>
      <c r="C8" s="20">
        <f>+'ALFA - Cost'!E17</f>
        <v>3.1392245058352571E-5</v>
      </c>
      <c r="D8" t="s">
        <v>49</v>
      </c>
      <c r="E8">
        <f>+'ALFA - Cost'!B8</f>
        <v>56</v>
      </c>
    </row>
    <row r="9" spans="1:5" x14ac:dyDescent="0.2">
      <c r="A9" t="s">
        <v>20</v>
      </c>
      <c r="B9" s="15">
        <f>+SQRT(252*_xlfn.VAR.S(ALFA!C:C))</f>
        <v>0.28324384034687911</v>
      </c>
    </row>
    <row r="11" spans="1:5" x14ac:dyDescent="0.2">
      <c r="A11" s="14" t="s">
        <v>21</v>
      </c>
    </row>
    <row r="12" spans="1:5" x14ac:dyDescent="0.2">
      <c r="A12" t="s">
        <v>14</v>
      </c>
      <c r="B12" s="19">
        <f>+'ALFA - FA'!B9*4</f>
        <v>71356</v>
      </c>
    </row>
    <row r="13" spans="1:5" x14ac:dyDescent="0.2">
      <c r="A13" t="s">
        <v>15</v>
      </c>
      <c r="B13" s="15">
        <f>+AVERAGE('ALFA - FA'!C9:C13)*4</f>
        <v>0.24190647888161179</v>
      </c>
    </row>
    <row r="14" spans="1:5" x14ac:dyDescent="0.2">
      <c r="A14" t="s">
        <v>16</v>
      </c>
      <c r="B14" s="15">
        <f>+B5</f>
        <v>0.28340998365071612</v>
      </c>
    </row>
    <row r="15" spans="1:5" x14ac:dyDescent="0.2">
      <c r="A15" t="s">
        <v>17</v>
      </c>
      <c r="B15" s="15">
        <f>+B6</f>
        <v>0.65382333909692103</v>
      </c>
    </row>
    <row r="16" spans="1:5" x14ac:dyDescent="0.2">
      <c r="A16" t="s">
        <v>18</v>
      </c>
      <c r="B16" s="15">
        <f t="shared" ref="B16:B17" si="0">+B7</f>
        <v>0.11876880455011871</v>
      </c>
    </row>
    <row r="17" spans="1:2" x14ac:dyDescent="0.2">
      <c r="A17" t="s">
        <v>19</v>
      </c>
      <c r="B17" s="19">
        <f t="shared" si="0"/>
        <v>406.04967919543424</v>
      </c>
    </row>
    <row r="18" spans="1:2" x14ac:dyDescent="0.2">
      <c r="A18" t="s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0DF3-0772-45F1-A44E-2EBEFC734D62}">
  <dimension ref="A1:C4373"/>
  <sheetViews>
    <sheetView workbookViewId="0">
      <selection activeCell="C1" sqref="C1"/>
    </sheetView>
  </sheetViews>
  <sheetFormatPr baseColWidth="10" defaultColWidth="8.83203125" defaultRowHeight="16" x14ac:dyDescent="0.2"/>
  <cols>
    <col min="3" max="3" width="8.83203125" style="2"/>
  </cols>
  <sheetData>
    <row r="1" spans="1:3" x14ac:dyDescent="0.2">
      <c r="A1" t="s">
        <v>0</v>
      </c>
      <c r="B1" t="s">
        <v>1</v>
      </c>
      <c r="C1" s="2" t="s">
        <v>46</v>
      </c>
    </row>
    <row r="2" spans="1:3" x14ac:dyDescent="0.2">
      <c r="A2" s="1">
        <v>46072</v>
      </c>
      <c r="B2">
        <v>47.94</v>
      </c>
      <c r="C2" s="2">
        <f>+LN(B2/B3)</f>
        <v>-1.1613568937199217E-2</v>
      </c>
    </row>
    <row r="3" spans="1:3" x14ac:dyDescent="0.2">
      <c r="A3" s="1">
        <v>46071</v>
      </c>
      <c r="B3">
        <v>48.5</v>
      </c>
      <c r="C3" s="2">
        <f t="shared" ref="C3:C66" si="0">+LN(B3/B4)</f>
        <v>2.4208193857599602E-2</v>
      </c>
    </row>
    <row r="4" spans="1:3" x14ac:dyDescent="0.2">
      <c r="A4" s="1">
        <v>46070</v>
      </c>
      <c r="B4">
        <v>47.34</v>
      </c>
      <c r="C4" s="2">
        <f t="shared" si="0"/>
        <v>-8.445946448014549E-4</v>
      </c>
    </row>
    <row r="5" spans="1:3" x14ac:dyDescent="0.2">
      <c r="A5" s="1">
        <v>46069</v>
      </c>
      <c r="B5">
        <v>47.38</v>
      </c>
      <c r="C5" s="2">
        <f t="shared" si="0"/>
        <v>-1.0915305686230061E-2</v>
      </c>
    </row>
    <row r="6" spans="1:3" x14ac:dyDescent="0.2">
      <c r="A6" s="1">
        <v>46066</v>
      </c>
      <c r="B6">
        <v>47.9</v>
      </c>
      <c r="C6" s="2">
        <f t="shared" si="0"/>
        <v>1.0493275715838723E-2</v>
      </c>
    </row>
    <row r="7" spans="1:3" x14ac:dyDescent="0.2">
      <c r="A7" s="1">
        <v>46065</v>
      </c>
      <c r="B7">
        <v>47.4</v>
      </c>
      <c r="C7" s="2">
        <f t="shared" si="0"/>
        <v>-1.6863410404364776E-3</v>
      </c>
    </row>
    <row r="8" spans="1:3" x14ac:dyDescent="0.2">
      <c r="A8" s="1">
        <v>46064</v>
      </c>
      <c r="B8">
        <v>47.48</v>
      </c>
      <c r="C8" s="2">
        <f t="shared" si="0"/>
        <v>-7.1353922887114601E-3</v>
      </c>
    </row>
    <row r="9" spans="1:3" x14ac:dyDescent="0.2">
      <c r="A9" s="1">
        <v>46063</v>
      </c>
      <c r="B9">
        <v>47.82</v>
      </c>
      <c r="C9" s="2">
        <f t="shared" si="0"/>
        <v>1.4322064522193508E-2</v>
      </c>
    </row>
    <row r="10" spans="1:3" x14ac:dyDescent="0.2">
      <c r="A10" s="1">
        <v>46062</v>
      </c>
      <c r="B10">
        <v>47.14</v>
      </c>
      <c r="C10" s="2">
        <f t="shared" si="0"/>
        <v>-1.2719950835247027E-3</v>
      </c>
    </row>
    <row r="11" spans="1:3" x14ac:dyDescent="0.2">
      <c r="A11" s="1">
        <v>46059</v>
      </c>
      <c r="B11">
        <v>47.2</v>
      </c>
      <c r="C11" s="2">
        <f t="shared" si="0"/>
        <v>-1.6807118316381174E-2</v>
      </c>
    </row>
    <row r="12" spans="1:3" x14ac:dyDescent="0.2">
      <c r="A12" s="1">
        <v>46058</v>
      </c>
      <c r="B12">
        <v>48</v>
      </c>
      <c r="C12" s="2">
        <f t="shared" si="0"/>
        <v>-4.1580101486637881E-3</v>
      </c>
    </row>
    <row r="13" spans="1:3" x14ac:dyDescent="0.2">
      <c r="A13" s="1">
        <v>46057</v>
      </c>
      <c r="B13">
        <v>48.2</v>
      </c>
      <c r="C13" s="2">
        <f t="shared" si="0"/>
        <v>5.8260672493606882E-3</v>
      </c>
    </row>
    <row r="14" spans="1:3" x14ac:dyDescent="0.2">
      <c r="A14" s="1">
        <v>46056</v>
      </c>
      <c r="B14">
        <v>47.92</v>
      </c>
      <c r="C14" s="2">
        <f t="shared" si="0"/>
        <v>2.4077192651160918E-2</v>
      </c>
    </row>
    <row r="15" spans="1:3" x14ac:dyDescent="0.2">
      <c r="A15" s="1">
        <v>46055</v>
      </c>
      <c r="B15">
        <v>46.78</v>
      </c>
      <c r="C15" s="2">
        <f t="shared" si="0"/>
        <v>9.450242151802804E-3</v>
      </c>
    </row>
    <row r="16" spans="1:3" x14ac:dyDescent="0.2">
      <c r="A16" s="1">
        <v>46052</v>
      </c>
      <c r="B16">
        <v>46.34</v>
      </c>
      <c r="C16" s="2">
        <f t="shared" si="0"/>
        <v>-3.0165935394254563E-3</v>
      </c>
    </row>
    <row r="17" spans="1:3" x14ac:dyDescent="0.2">
      <c r="A17" s="1">
        <v>46051</v>
      </c>
      <c r="B17">
        <v>46.48</v>
      </c>
      <c r="C17" s="2">
        <f t="shared" si="0"/>
        <v>1.0380716054560818E-2</v>
      </c>
    </row>
    <row r="18" spans="1:3" x14ac:dyDescent="0.2">
      <c r="A18" s="1">
        <v>46050</v>
      </c>
      <c r="B18">
        <v>46</v>
      </c>
      <c r="C18" s="2">
        <f t="shared" si="0"/>
        <v>-1.467441092926023E-2</v>
      </c>
    </row>
    <row r="19" spans="1:3" x14ac:dyDescent="0.2">
      <c r="A19" s="1">
        <v>46049</v>
      </c>
      <c r="B19">
        <v>46.68</v>
      </c>
      <c r="C19" s="2">
        <f t="shared" si="0"/>
        <v>-1.2771565679487505E-2</v>
      </c>
    </row>
    <row r="20" spans="1:3" x14ac:dyDescent="0.2">
      <c r="A20" s="1">
        <v>46048</v>
      </c>
      <c r="B20">
        <v>47.28</v>
      </c>
      <c r="C20" s="2">
        <f t="shared" si="0"/>
        <v>8.0696976456090825E-3</v>
      </c>
    </row>
    <row r="21" spans="1:3" x14ac:dyDescent="0.2">
      <c r="A21" s="1">
        <v>46045</v>
      </c>
      <c r="B21">
        <v>46.9</v>
      </c>
      <c r="C21" s="2">
        <f t="shared" si="0"/>
        <v>4.2735107773818641E-3</v>
      </c>
    </row>
    <row r="22" spans="1:3" x14ac:dyDescent="0.2">
      <c r="A22" s="1">
        <v>46044</v>
      </c>
      <c r="B22">
        <v>46.7</v>
      </c>
      <c r="C22" s="2">
        <f t="shared" si="0"/>
        <v>6.0137638285605675E-3</v>
      </c>
    </row>
    <row r="23" spans="1:3" x14ac:dyDescent="0.2">
      <c r="A23" s="1">
        <v>46043</v>
      </c>
      <c r="B23">
        <v>46.42</v>
      </c>
      <c r="C23" s="2">
        <f t="shared" si="0"/>
        <v>-2.2578168895176259E-2</v>
      </c>
    </row>
    <row r="24" spans="1:3" x14ac:dyDescent="0.2">
      <c r="A24" s="1">
        <v>46042</v>
      </c>
      <c r="B24">
        <v>47.48</v>
      </c>
      <c r="C24" s="2">
        <f t="shared" si="0"/>
        <v>-4.622828152828393E-3</v>
      </c>
    </row>
    <row r="25" spans="1:3" x14ac:dyDescent="0.2">
      <c r="A25" s="1">
        <v>46041</v>
      </c>
      <c r="B25">
        <v>47.7</v>
      </c>
      <c r="C25" s="2">
        <f t="shared" si="0"/>
        <v>-5.8528595172528701E-3</v>
      </c>
    </row>
    <row r="26" spans="1:3" x14ac:dyDescent="0.2">
      <c r="A26" s="1">
        <v>46038</v>
      </c>
      <c r="B26">
        <v>47.98</v>
      </c>
      <c r="C26" s="2">
        <f t="shared" si="0"/>
        <v>-5.8188027853371786E-3</v>
      </c>
    </row>
    <row r="27" spans="1:3" x14ac:dyDescent="0.2">
      <c r="A27" s="1">
        <v>46037</v>
      </c>
      <c r="B27">
        <v>48.26</v>
      </c>
      <c r="C27" s="2">
        <f t="shared" si="0"/>
        <v>-2.4834449849956181E-3</v>
      </c>
    </row>
    <row r="28" spans="1:3" x14ac:dyDescent="0.2">
      <c r="A28" s="1">
        <v>46036</v>
      </c>
      <c r="B28">
        <v>48.38</v>
      </c>
      <c r="C28" s="2">
        <f t="shared" si="0"/>
        <v>7.4689143887740651E-3</v>
      </c>
    </row>
    <row r="29" spans="1:3" x14ac:dyDescent="0.2">
      <c r="A29" s="1">
        <v>46035</v>
      </c>
      <c r="B29">
        <v>48.02</v>
      </c>
      <c r="C29" s="2">
        <f t="shared" si="0"/>
        <v>-3.5995706146338714E-2</v>
      </c>
    </row>
    <row r="30" spans="1:3" x14ac:dyDescent="0.2">
      <c r="A30" s="1">
        <v>46034</v>
      </c>
      <c r="B30">
        <v>49.78</v>
      </c>
      <c r="C30" s="2">
        <f t="shared" si="0"/>
        <v>4.0257703324015418E-3</v>
      </c>
    </row>
    <row r="31" spans="1:3" x14ac:dyDescent="0.2">
      <c r="A31" s="1">
        <v>46031</v>
      </c>
      <c r="B31">
        <v>49.58</v>
      </c>
      <c r="C31" s="2">
        <f t="shared" si="0"/>
        <v>5.6634455583999942E-3</v>
      </c>
    </row>
    <row r="32" spans="1:3" x14ac:dyDescent="0.2">
      <c r="A32" s="1">
        <v>46030</v>
      </c>
      <c r="B32">
        <v>49.3</v>
      </c>
      <c r="C32" s="2">
        <f t="shared" si="0"/>
        <v>2.1321020851758632E-2</v>
      </c>
    </row>
    <row r="33" spans="1:3" x14ac:dyDescent="0.2">
      <c r="A33" s="1">
        <v>46029</v>
      </c>
      <c r="B33">
        <v>48.26</v>
      </c>
      <c r="C33" s="2">
        <f t="shared" si="0"/>
        <v>7.9051795071132473E-3</v>
      </c>
    </row>
    <row r="34" spans="1:3" x14ac:dyDescent="0.2">
      <c r="A34" s="1">
        <v>46028</v>
      </c>
      <c r="B34">
        <v>47.88</v>
      </c>
      <c r="C34" s="2">
        <f t="shared" si="0"/>
        <v>1.0919890114022252E-2</v>
      </c>
    </row>
    <row r="35" spans="1:3" x14ac:dyDescent="0.2">
      <c r="A35" s="1">
        <v>46027</v>
      </c>
      <c r="B35">
        <v>47.36</v>
      </c>
      <c r="C35" s="2">
        <f t="shared" si="0"/>
        <v>-1.9239405653580559E-2</v>
      </c>
    </row>
    <row r="36" spans="1:3" x14ac:dyDescent="0.2">
      <c r="A36" s="1">
        <v>46024</v>
      </c>
      <c r="B36">
        <v>48.28</v>
      </c>
      <c r="C36" s="2">
        <f t="shared" si="0"/>
        <v>-5.3708040691244812E-3</v>
      </c>
    </row>
    <row r="37" spans="1:3" x14ac:dyDescent="0.2">
      <c r="A37" s="1">
        <v>46021</v>
      </c>
      <c r="B37">
        <v>48.54</v>
      </c>
      <c r="C37" s="2">
        <f t="shared" si="0"/>
        <v>8.2440235501776216E-4</v>
      </c>
    </row>
    <row r="38" spans="1:3" x14ac:dyDescent="0.2">
      <c r="A38" s="1">
        <v>46020</v>
      </c>
      <c r="B38">
        <v>48.5</v>
      </c>
      <c r="C38" s="2">
        <f t="shared" si="0"/>
        <v>-3.7044701758888834E-3</v>
      </c>
    </row>
    <row r="39" spans="1:3" x14ac:dyDescent="0.2">
      <c r="A39" s="1">
        <v>46014</v>
      </c>
      <c r="B39">
        <v>48.68</v>
      </c>
      <c r="C39" s="2">
        <f t="shared" si="0"/>
        <v>5.3553166094140224E-3</v>
      </c>
    </row>
    <row r="40" spans="1:3" x14ac:dyDescent="0.2">
      <c r="A40" s="1">
        <v>46013</v>
      </c>
      <c r="B40">
        <v>48.42</v>
      </c>
      <c r="C40" s="2">
        <f t="shared" si="0"/>
        <v>5.799519154986648E-3</v>
      </c>
    </row>
    <row r="41" spans="1:3" x14ac:dyDescent="0.2">
      <c r="A41" s="1">
        <v>46010</v>
      </c>
      <c r="B41">
        <v>48.14</v>
      </c>
      <c r="C41" s="2">
        <f t="shared" si="0"/>
        <v>-8.6867143963169496E-3</v>
      </c>
    </row>
    <row r="42" spans="1:3" x14ac:dyDescent="0.2">
      <c r="A42" s="1">
        <v>46009</v>
      </c>
      <c r="B42">
        <v>48.56</v>
      </c>
      <c r="C42" s="2">
        <f t="shared" si="0"/>
        <v>2.0614313628632354E-3</v>
      </c>
    </row>
    <row r="43" spans="1:3" x14ac:dyDescent="0.2">
      <c r="A43" s="1">
        <v>46008</v>
      </c>
      <c r="B43">
        <v>48.46</v>
      </c>
      <c r="C43" s="2">
        <f t="shared" si="0"/>
        <v>1.0788486382141416E-2</v>
      </c>
    </row>
    <row r="44" spans="1:3" x14ac:dyDescent="0.2">
      <c r="A44" s="1">
        <v>46007</v>
      </c>
      <c r="B44">
        <v>47.94</v>
      </c>
      <c r="C44" s="2">
        <f t="shared" si="0"/>
        <v>-7.0671672230925549E-3</v>
      </c>
    </row>
    <row r="45" spans="1:3" x14ac:dyDescent="0.2">
      <c r="A45" s="1">
        <v>46006</v>
      </c>
      <c r="B45">
        <v>48.28</v>
      </c>
      <c r="C45" s="2">
        <f t="shared" si="0"/>
        <v>1.6583751727761256E-3</v>
      </c>
    </row>
    <row r="46" spans="1:3" x14ac:dyDescent="0.2">
      <c r="A46" s="1">
        <v>46003</v>
      </c>
      <c r="B46">
        <v>48.2</v>
      </c>
      <c r="C46" s="2">
        <f t="shared" si="0"/>
        <v>2.492730829602479E-3</v>
      </c>
    </row>
    <row r="47" spans="1:3" x14ac:dyDescent="0.2">
      <c r="A47" s="1">
        <v>46002</v>
      </c>
      <c r="B47">
        <v>48.08</v>
      </c>
      <c r="C47" s="2">
        <f t="shared" si="0"/>
        <v>1.7202018468190396E-2</v>
      </c>
    </row>
    <row r="48" spans="1:3" x14ac:dyDescent="0.2">
      <c r="A48" s="1">
        <v>46001</v>
      </c>
      <c r="B48">
        <v>47.26</v>
      </c>
      <c r="C48" s="2">
        <f t="shared" si="0"/>
        <v>-1.7617905352953833E-2</v>
      </c>
    </row>
    <row r="49" spans="1:3" x14ac:dyDescent="0.2">
      <c r="A49" s="1">
        <v>46000</v>
      </c>
      <c r="B49">
        <v>48.1</v>
      </c>
      <c r="C49" s="2">
        <f t="shared" si="0"/>
        <v>-2.0576857688759387E-2</v>
      </c>
    </row>
    <row r="50" spans="1:3" x14ac:dyDescent="0.2">
      <c r="A50" s="1">
        <v>45999</v>
      </c>
      <c r="B50">
        <v>49.1</v>
      </c>
      <c r="C50" s="2">
        <f t="shared" si="0"/>
        <v>6.5386420127005818E-3</v>
      </c>
    </row>
    <row r="51" spans="1:3" x14ac:dyDescent="0.2">
      <c r="A51" s="1">
        <v>45996</v>
      </c>
      <c r="B51">
        <v>48.78</v>
      </c>
      <c r="C51" s="2">
        <f t="shared" si="0"/>
        <v>-2.0479220755656468E-3</v>
      </c>
    </row>
    <row r="52" spans="1:3" x14ac:dyDescent="0.2">
      <c r="A52" s="1">
        <v>45995</v>
      </c>
      <c r="B52">
        <v>48.88</v>
      </c>
      <c r="C52" s="2">
        <f t="shared" si="0"/>
        <v>-1.1795947229930234E-2</v>
      </c>
    </row>
    <row r="53" spans="1:3" x14ac:dyDescent="0.2">
      <c r="A53" s="1">
        <v>45994</v>
      </c>
      <c r="B53">
        <v>49.46</v>
      </c>
      <c r="C53" s="2">
        <f t="shared" si="0"/>
        <v>-1.212366283070564E-3</v>
      </c>
    </row>
    <row r="54" spans="1:3" x14ac:dyDescent="0.2">
      <c r="A54" s="1">
        <v>45993</v>
      </c>
      <c r="B54">
        <v>49.52</v>
      </c>
      <c r="C54" s="2">
        <f t="shared" si="0"/>
        <v>-1.662199078823063E-2</v>
      </c>
    </row>
    <row r="55" spans="1:3" x14ac:dyDescent="0.2">
      <c r="A55" s="1">
        <v>45992</v>
      </c>
      <c r="B55">
        <v>50.35</v>
      </c>
      <c r="C55" s="2">
        <f t="shared" si="0"/>
        <v>-1.0864304391905737E-2</v>
      </c>
    </row>
    <row r="56" spans="1:3" x14ac:dyDescent="0.2">
      <c r="A56" s="1">
        <v>45989</v>
      </c>
      <c r="B56">
        <v>50.9</v>
      </c>
      <c r="C56" s="2">
        <f t="shared" si="0"/>
        <v>7.8895872751629237E-3</v>
      </c>
    </row>
    <row r="57" spans="1:3" x14ac:dyDescent="0.2">
      <c r="A57" s="1">
        <v>45988</v>
      </c>
      <c r="B57">
        <v>50.5</v>
      </c>
      <c r="C57" s="2">
        <f t="shared" si="0"/>
        <v>-9.8960918516627816E-4</v>
      </c>
    </row>
    <row r="58" spans="1:3" x14ac:dyDescent="0.2">
      <c r="A58" s="1">
        <v>45987</v>
      </c>
      <c r="B58">
        <v>50.55</v>
      </c>
      <c r="C58" s="2">
        <f t="shared" si="0"/>
        <v>-2.9629651306571836E-3</v>
      </c>
    </row>
    <row r="59" spans="1:3" x14ac:dyDescent="0.2">
      <c r="A59" s="1">
        <v>45986</v>
      </c>
      <c r="B59">
        <v>50.7</v>
      </c>
      <c r="C59" s="2">
        <f t="shared" si="0"/>
        <v>1.1904902506318458E-2</v>
      </c>
    </row>
    <row r="60" spans="1:3" x14ac:dyDescent="0.2">
      <c r="A60" s="1">
        <v>45985</v>
      </c>
      <c r="B60">
        <v>50.1</v>
      </c>
      <c r="C60" s="2">
        <f t="shared" si="0"/>
        <v>-1.289060983107756E-2</v>
      </c>
    </row>
    <row r="61" spans="1:3" x14ac:dyDescent="0.2">
      <c r="A61" s="1">
        <v>45982</v>
      </c>
      <c r="B61">
        <v>50.75</v>
      </c>
      <c r="C61" s="2">
        <f t="shared" si="0"/>
        <v>5.9288711222786538E-3</v>
      </c>
    </row>
    <row r="62" spans="1:3" x14ac:dyDescent="0.2">
      <c r="A62" s="1">
        <v>45981</v>
      </c>
      <c r="B62">
        <v>50.45</v>
      </c>
      <c r="C62" s="2">
        <f t="shared" si="0"/>
        <v>4.9677201019344471E-3</v>
      </c>
    </row>
    <row r="63" spans="1:3" x14ac:dyDescent="0.2">
      <c r="A63" s="1">
        <v>45980</v>
      </c>
      <c r="B63">
        <v>50.2</v>
      </c>
      <c r="C63" s="2">
        <f t="shared" si="0"/>
        <v>-3.2339907977852821E-2</v>
      </c>
    </row>
    <row r="64" spans="1:3" x14ac:dyDescent="0.2">
      <c r="A64" s="1">
        <v>45979</v>
      </c>
      <c r="B64">
        <v>51.85</v>
      </c>
      <c r="C64" s="2">
        <f t="shared" si="0"/>
        <v>-7.684956169384023E-3</v>
      </c>
    </row>
    <row r="65" spans="1:3" x14ac:dyDescent="0.2">
      <c r="A65" s="1">
        <v>45978</v>
      </c>
      <c r="B65">
        <v>52.25</v>
      </c>
      <c r="C65" s="2">
        <f t="shared" si="0"/>
        <v>-1.0471299867295366E-2</v>
      </c>
    </row>
    <row r="66" spans="1:3" x14ac:dyDescent="0.2">
      <c r="A66" s="1">
        <v>45975</v>
      </c>
      <c r="B66">
        <v>52.8</v>
      </c>
      <c r="C66" s="2">
        <f t="shared" si="0"/>
        <v>1.3346241952894486E-2</v>
      </c>
    </row>
    <row r="67" spans="1:3" x14ac:dyDescent="0.2">
      <c r="A67" s="1">
        <v>45974</v>
      </c>
      <c r="B67">
        <v>52.1</v>
      </c>
      <c r="C67" s="2">
        <f t="shared" ref="C67:C130" si="1">+LN(B67/B68)</f>
        <v>-2.558168871173306E-2</v>
      </c>
    </row>
    <row r="68" spans="1:3" x14ac:dyDescent="0.2">
      <c r="A68" s="1">
        <v>45973</v>
      </c>
      <c r="B68">
        <v>53.45</v>
      </c>
      <c r="C68" s="2">
        <f t="shared" si="1"/>
        <v>2.3664142582461287E-2</v>
      </c>
    </row>
    <row r="69" spans="1:3" x14ac:dyDescent="0.2">
      <c r="A69" s="1">
        <v>45972</v>
      </c>
      <c r="B69">
        <v>52.2</v>
      </c>
      <c r="C69" s="2">
        <f t="shared" si="1"/>
        <v>3.6083875724021719E-2</v>
      </c>
    </row>
    <row r="70" spans="1:3" x14ac:dyDescent="0.2">
      <c r="A70" s="1">
        <v>45971</v>
      </c>
      <c r="B70">
        <v>50.35</v>
      </c>
      <c r="C70" s="2">
        <f t="shared" si="1"/>
        <v>1.2591352522061011E-2</v>
      </c>
    </row>
    <row r="71" spans="1:3" x14ac:dyDescent="0.2">
      <c r="A71" s="1">
        <v>45968</v>
      </c>
      <c r="B71">
        <v>49.72</v>
      </c>
      <c r="C71" s="2">
        <f t="shared" si="1"/>
        <v>-7.6137414483088417E-3</v>
      </c>
    </row>
    <row r="72" spans="1:3" x14ac:dyDescent="0.2">
      <c r="A72" s="1">
        <v>45967</v>
      </c>
      <c r="B72">
        <v>50.1</v>
      </c>
      <c r="C72" s="2">
        <f t="shared" si="1"/>
        <v>-1.4859114403749828E-2</v>
      </c>
    </row>
    <row r="73" spans="1:3" x14ac:dyDescent="0.2">
      <c r="A73" s="1">
        <v>45966</v>
      </c>
      <c r="B73">
        <v>50.85</v>
      </c>
      <c r="C73" s="2">
        <f t="shared" si="1"/>
        <v>-6.8594095508931431E-3</v>
      </c>
    </row>
    <row r="74" spans="1:3" x14ac:dyDescent="0.2">
      <c r="A74" s="1">
        <v>45965</v>
      </c>
      <c r="B74">
        <v>51.2</v>
      </c>
      <c r="C74" s="2">
        <f t="shared" si="1"/>
        <v>3.9138993211363148E-3</v>
      </c>
    </row>
    <row r="75" spans="1:3" x14ac:dyDescent="0.2">
      <c r="A75" s="1">
        <v>45964</v>
      </c>
      <c r="B75">
        <v>51</v>
      </c>
      <c r="C75" s="2">
        <f t="shared" si="1"/>
        <v>-9.7561749453646852E-3</v>
      </c>
    </row>
    <row r="76" spans="1:3" x14ac:dyDescent="0.2">
      <c r="A76" s="1">
        <v>45961</v>
      </c>
      <c r="B76">
        <v>51.5</v>
      </c>
      <c r="C76" s="2">
        <f t="shared" si="1"/>
        <v>-9.704027932784053E-4</v>
      </c>
    </row>
    <row r="77" spans="1:3" x14ac:dyDescent="0.2">
      <c r="A77" s="1">
        <v>45960</v>
      </c>
      <c r="B77">
        <v>51.55</v>
      </c>
      <c r="C77" s="2">
        <f t="shared" si="1"/>
        <v>1.4655855878532699E-2</v>
      </c>
    </row>
    <row r="78" spans="1:3" x14ac:dyDescent="0.2">
      <c r="A78" s="1">
        <v>45959</v>
      </c>
      <c r="B78">
        <v>50.8</v>
      </c>
      <c r="C78" s="2">
        <f t="shared" si="1"/>
        <v>2.9571238897438627E-3</v>
      </c>
    </row>
    <row r="79" spans="1:3" x14ac:dyDescent="0.2">
      <c r="A79" s="1">
        <v>45958</v>
      </c>
      <c r="B79">
        <v>50.65</v>
      </c>
      <c r="C79" s="2">
        <f t="shared" si="1"/>
        <v>-1.3725705679874906E-2</v>
      </c>
    </row>
    <row r="80" spans="1:3" x14ac:dyDescent="0.2">
      <c r="A80" s="1">
        <v>45957</v>
      </c>
      <c r="B80">
        <v>51.35</v>
      </c>
      <c r="C80" s="2">
        <f t="shared" si="1"/>
        <v>-7.7594957709111855E-3</v>
      </c>
    </row>
    <row r="81" spans="1:3" x14ac:dyDescent="0.2">
      <c r="A81" s="1">
        <v>45954</v>
      </c>
      <c r="B81">
        <v>51.75</v>
      </c>
      <c r="C81" s="2">
        <f t="shared" si="1"/>
        <v>8.7336799687546315E-3</v>
      </c>
    </row>
    <row r="82" spans="1:3" x14ac:dyDescent="0.2">
      <c r="A82" s="1">
        <v>45953</v>
      </c>
      <c r="B82">
        <v>51.3</v>
      </c>
      <c r="C82" s="2">
        <f t="shared" si="1"/>
        <v>-3.8910554929666762E-3</v>
      </c>
    </row>
    <row r="83" spans="1:3" x14ac:dyDescent="0.2">
      <c r="A83" s="1">
        <v>45952</v>
      </c>
      <c r="B83">
        <v>51.5</v>
      </c>
      <c r="C83" s="2">
        <f t="shared" si="1"/>
        <v>7.7973104600317106E-3</v>
      </c>
    </row>
    <row r="84" spans="1:3" x14ac:dyDescent="0.2">
      <c r="A84" s="1">
        <v>45951</v>
      </c>
      <c r="B84">
        <v>51.1</v>
      </c>
      <c r="C84" s="2">
        <f t="shared" si="1"/>
        <v>-1.0705698355988726E-2</v>
      </c>
    </row>
    <row r="85" spans="1:3" x14ac:dyDescent="0.2">
      <c r="A85" s="1">
        <v>45950</v>
      </c>
      <c r="B85">
        <v>51.65</v>
      </c>
      <c r="C85" s="2">
        <f t="shared" si="1"/>
        <v>-8.6747531936736989E-3</v>
      </c>
    </row>
    <row r="86" spans="1:3" x14ac:dyDescent="0.2">
      <c r="A86" s="1">
        <v>45947</v>
      </c>
      <c r="B86">
        <v>52.1</v>
      </c>
      <c r="C86" s="2">
        <f t="shared" si="1"/>
        <v>-4.7869885572245805E-3</v>
      </c>
    </row>
    <row r="87" spans="1:3" x14ac:dyDescent="0.2">
      <c r="A87" s="1">
        <v>45946</v>
      </c>
      <c r="B87">
        <v>52.35</v>
      </c>
      <c r="C87" s="2">
        <f t="shared" si="1"/>
        <v>1.9287000941978608E-2</v>
      </c>
    </row>
    <row r="88" spans="1:3" x14ac:dyDescent="0.2">
      <c r="A88" s="1">
        <v>45945</v>
      </c>
      <c r="B88">
        <v>51.35</v>
      </c>
      <c r="C88" s="2">
        <f t="shared" si="1"/>
        <v>-7.7594957709111855E-3</v>
      </c>
    </row>
    <row r="89" spans="1:3" x14ac:dyDescent="0.2">
      <c r="A89" s="1">
        <v>45944</v>
      </c>
      <c r="B89">
        <v>51.75</v>
      </c>
      <c r="C89" s="2">
        <f t="shared" si="1"/>
        <v>-9.6154586994419804E-3</v>
      </c>
    </row>
    <row r="90" spans="1:3" x14ac:dyDescent="0.2">
      <c r="A90" s="1">
        <v>45943</v>
      </c>
      <c r="B90">
        <v>52.25</v>
      </c>
      <c r="C90" s="2">
        <f t="shared" si="1"/>
        <v>1.4458083175229917E-2</v>
      </c>
    </row>
    <row r="91" spans="1:3" x14ac:dyDescent="0.2">
      <c r="A91" s="1">
        <v>45940</v>
      </c>
      <c r="B91">
        <v>51.5</v>
      </c>
      <c r="C91" s="2">
        <f t="shared" si="1"/>
        <v>-2.1134312073973729E-2</v>
      </c>
    </row>
    <row r="92" spans="1:3" x14ac:dyDescent="0.2">
      <c r="A92" s="1">
        <v>45939</v>
      </c>
      <c r="B92">
        <v>52.6</v>
      </c>
      <c r="C92" s="2">
        <f t="shared" si="1"/>
        <v>-2.719342434155304E-2</v>
      </c>
    </row>
    <row r="93" spans="1:3" x14ac:dyDescent="0.2">
      <c r="A93" s="1">
        <v>45938</v>
      </c>
      <c r="B93">
        <v>54.05</v>
      </c>
      <c r="C93" s="2">
        <f t="shared" si="1"/>
        <v>1.1162906614163005E-2</v>
      </c>
    </row>
    <row r="94" spans="1:3" x14ac:dyDescent="0.2">
      <c r="A94" s="1">
        <v>45937</v>
      </c>
      <c r="B94">
        <v>53.45</v>
      </c>
      <c r="C94" s="2">
        <f t="shared" si="1"/>
        <v>0</v>
      </c>
    </row>
    <row r="95" spans="1:3" x14ac:dyDescent="0.2">
      <c r="A95" s="1">
        <v>45936</v>
      </c>
      <c r="B95">
        <v>53.45</v>
      </c>
      <c r="C95" s="2">
        <f t="shared" si="1"/>
        <v>-3.7348316056531965E-3</v>
      </c>
    </row>
    <row r="96" spans="1:3" x14ac:dyDescent="0.2">
      <c r="A96" s="1">
        <v>45933</v>
      </c>
      <c r="B96">
        <v>53.65</v>
      </c>
      <c r="C96" s="2">
        <f t="shared" si="1"/>
        <v>1.4078130212453804E-2</v>
      </c>
    </row>
    <row r="97" spans="1:3" x14ac:dyDescent="0.2">
      <c r="A97" s="1">
        <v>45932</v>
      </c>
      <c r="B97">
        <v>52.9</v>
      </c>
      <c r="C97" s="2">
        <f t="shared" si="1"/>
        <v>-1.8885746878681362E-3</v>
      </c>
    </row>
    <row r="98" spans="1:3" x14ac:dyDescent="0.2">
      <c r="A98" s="1">
        <v>45931</v>
      </c>
      <c r="B98">
        <v>53</v>
      </c>
      <c r="C98" s="2">
        <f t="shared" si="1"/>
        <v>2.4834132037738394E-2</v>
      </c>
    </row>
    <row r="99" spans="1:3" x14ac:dyDescent="0.2">
      <c r="A99" s="1">
        <v>45930</v>
      </c>
      <c r="B99">
        <v>51.7</v>
      </c>
      <c r="C99" s="2">
        <f t="shared" si="1"/>
        <v>1.069528911674795E-2</v>
      </c>
    </row>
    <row r="100" spans="1:3" x14ac:dyDescent="0.2">
      <c r="A100" s="1">
        <v>45929</v>
      </c>
      <c r="B100">
        <v>51.15</v>
      </c>
      <c r="C100" s="2">
        <f t="shared" si="1"/>
        <v>1.0810916104215676E-2</v>
      </c>
    </row>
    <row r="101" spans="1:3" x14ac:dyDescent="0.2">
      <c r="A101" s="1">
        <v>45926</v>
      </c>
      <c r="B101">
        <v>50.6</v>
      </c>
      <c r="C101" s="2">
        <f t="shared" si="1"/>
        <v>-1.9743343037176295E-3</v>
      </c>
    </row>
    <row r="102" spans="1:3" x14ac:dyDescent="0.2">
      <c r="A102" s="1">
        <v>45925</v>
      </c>
      <c r="B102">
        <v>50.7</v>
      </c>
      <c r="C102" s="2">
        <f t="shared" si="1"/>
        <v>-3.1070460473739573E-2</v>
      </c>
    </row>
    <row r="103" spans="1:3" x14ac:dyDescent="0.2">
      <c r="A103" s="1">
        <v>45924</v>
      </c>
      <c r="B103">
        <v>52.3</v>
      </c>
      <c r="C103" s="2">
        <f t="shared" si="1"/>
        <v>-3.8167985267008537E-3</v>
      </c>
    </row>
    <row r="104" spans="1:3" x14ac:dyDescent="0.2">
      <c r="A104" s="1">
        <v>45923</v>
      </c>
      <c r="B104">
        <v>52.5</v>
      </c>
      <c r="C104" s="2">
        <f t="shared" si="1"/>
        <v>-6.6445427186686131E-3</v>
      </c>
    </row>
    <row r="105" spans="1:3" x14ac:dyDescent="0.2">
      <c r="A105" s="1">
        <v>45922</v>
      </c>
      <c r="B105">
        <v>52.85</v>
      </c>
      <c r="C105" s="2">
        <f t="shared" si="1"/>
        <v>9.4652160403087824E-4</v>
      </c>
    </row>
    <row r="106" spans="1:3" x14ac:dyDescent="0.2">
      <c r="A106" s="1">
        <v>45919</v>
      </c>
      <c r="B106">
        <v>52.8</v>
      </c>
      <c r="C106" s="2">
        <f t="shared" si="1"/>
        <v>-5.6657375356774196E-3</v>
      </c>
    </row>
    <row r="107" spans="1:3" x14ac:dyDescent="0.2">
      <c r="A107" s="1">
        <v>45918</v>
      </c>
      <c r="B107">
        <v>53.1</v>
      </c>
      <c r="C107" s="2">
        <f t="shared" si="1"/>
        <v>6.6131558917172303E-3</v>
      </c>
    </row>
    <row r="108" spans="1:3" x14ac:dyDescent="0.2">
      <c r="A108" s="1">
        <v>45917</v>
      </c>
      <c r="B108">
        <v>52.75</v>
      </c>
      <c r="C108" s="2">
        <f t="shared" si="1"/>
        <v>-4.728141195946012E-3</v>
      </c>
    </row>
    <row r="109" spans="1:3" x14ac:dyDescent="0.2">
      <c r="A109" s="1">
        <v>45916</v>
      </c>
      <c r="B109">
        <v>53</v>
      </c>
      <c r="C109" s="2">
        <f t="shared" si="1"/>
        <v>-1.0323883341635904E-2</v>
      </c>
    </row>
    <row r="110" spans="1:3" x14ac:dyDescent="0.2">
      <c r="A110" s="1">
        <v>45915</v>
      </c>
      <c r="B110">
        <v>53.55</v>
      </c>
      <c r="C110" s="2">
        <f t="shared" si="1"/>
        <v>-6.5146810211937538E-3</v>
      </c>
    </row>
    <row r="111" spans="1:3" x14ac:dyDescent="0.2">
      <c r="A111" s="1">
        <v>45912</v>
      </c>
      <c r="B111">
        <v>53.9</v>
      </c>
      <c r="C111" s="2">
        <f t="shared" si="1"/>
        <v>-1.2903404835907954E-2</v>
      </c>
    </row>
    <row r="112" spans="1:3" x14ac:dyDescent="0.2">
      <c r="A112" s="1">
        <v>45911</v>
      </c>
      <c r="B112">
        <v>54.6</v>
      </c>
      <c r="C112" s="2">
        <f t="shared" si="1"/>
        <v>8.2759093038598814E-3</v>
      </c>
    </row>
    <row r="113" spans="1:3" x14ac:dyDescent="0.2">
      <c r="A113" s="1">
        <v>45910</v>
      </c>
      <c r="B113">
        <v>54.15</v>
      </c>
      <c r="C113" s="2">
        <f t="shared" si="1"/>
        <v>-1.8450189735693507E-3</v>
      </c>
    </row>
    <row r="114" spans="1:3" x14ac:dyDescent="0.2">
      <c r="A114" s="1">
        <v>45909</v>
      </c>
      <c r="B114">
        <v>54.25</v>
      </c>
      <c r="C114" s="2">
        <f t="shared" si="1"/>
        <v>1.8450189735692967E-3</v>
      </c>
    </row>
    <row r="115" spans="1:3" x14ac:dyDescent="0.2">
      <c r="A115" s="1">
        <v>45908</v>
      </c>
      <c r="B115">
        <v>54.15</v>
      </c>
      <c r="C115" s="2">
        <f t="shared" si="1"/>
        <v>1.8484293617823751E-3</v>
      </c>
    </row>
    <row r="116" spans="1:3" x14ac:dyDescent="0.2">
      <c r="A116" s="1">
        <v>45905</v>
      </c>
      <c r="B116">
        <v>54.05</v>
      </c>
      <c r="C116" s="2">
        <f t="shared" si="1"/>
        <v>-4.6146828546725143E-3</v>
      </c>
    </row>
    <row r="117" spans="1:3" x14ac:dyDescent="0.2">
      <c r="A117" s="1">
        <v>45904</v>
      </c>
      <c r="B117">
        <v>54.3</v>
      </c>
      <c r="C117" s="2">
        <f t="shared" si="1"/>
        <v>-2.7586224390798624E-3</v>
      </c>
    </row>
    <row r="118" spans="1:3" x14ac:dyDescent="0.2">
      <c r="A118" s="1">
        <v>45903</v>
      </c>
      <c r="B118">
        <v>54.45</v>
      </c>
      <c r="C118" s="2">
        <f t="shared" si="1"/>
        <v>2.4164744591012522E-2</v>
      </c>
    </row>
    <row r="119" spans="1:3" x14ac:dyDescent="0.2">
      <c r="A119" s="1">
        <v>45902</v>
      </c>
      <c r="B119">
        <v>53.15</v>
      </c>
      <c r="C119" s="2">
        <f t="shared" si="1"/>
        <v>-2.8182263838418893E-3</v>
      </c>
    </row>
    <row r="120" spans="1:3" x14ac:dyDescent="0.2">
      <c r="A120" s="1">
        <v>45901</v>
      </c>
      <c r="B120">
        <v>53.3</v>
      </c>
      <c r="C120" s="2">
        <f t="shared" si="1"/>
        <v>1.0372558815622976E-2</v>
      </c>
    </row>
    <row r="121" spans="1:3" x14ac:dyDescent="0.2">
      <c r="A121" s="1">
        <v>45898</v>
      </c>
      <c r="B121">
        <v>52.75</v>
      </c>
      <c r="C121" s="2">
        <f t="shared" si="1"/>
        <v>-7.5543324317810436E-3</v>
      </c>
    </row>
    <row r="122" spans="1:3" x14ac:dyDescent="0.2">
      <c r="A122" s="1">
        <v>45897</v>
      </c>
      <c r="B122">
        <v>53.15</v>
      </c>
      <c r="C122" s="2">
        <f t="shared" si="1"/>
        <v>2.8261912358350447E-3</v>
      </c>
    </row>
    <row r="123" spans="1:3" x14ac:dyDescent="0.2">
      <c r="A123" s="1">
        <v>45896</v>
      </c>
      <c r="B123">
        <v>53</v>
      </c>
      <c r="C123" s="2">
        <f t="shared" si="1"/>
        <v>5.6764580048051221E-3</v>
      </c>
    </row>
    <row r="124" spans="1:3" x14ac:dyDescent="0.2">
      <c r="A124" s="1">
        <v>45895</v>
      </c>
      <c r="B124">
        <v>52.7</v>
      </c>
      <c r="C124" s="2">
        <f t="shared" si="1"/>
        <v>7.6190844764395787E-3</v>
      </c>
    </row>
    <row r="125" spans="1:3" x14ac:dyDescent="0.2">
      <c r="A125" s="1">
        <v>45894</v>
      </c>
      <c r="B125">
        <v>52.3</v>
      </c>
      <c r="C125" s="2">
        <f t="shared" si="1"/>
        <v>-2.8639637714290844E-3</v>
      </c>
    </row>
    <row r="126" spans="1:3" x14ac:dyDescent="0.2">
      <c r="A126" s="1">
        <v>45891</v>
      </c>
      <c r="B126">
        <v>52.45</v>
      </c>
      <c r="C126" s="2">
        <f t="shared" si="1"/>
        <v>6.6953860829850227E-3</v>
      </c>
    </row>
    <row r="127" spans="1:3" x14ac:dyDescent="0.2">
      <c r="A127" s="1">
        <v>45890</v>
      </c>
      <c r="B127">
        <v>52.1</v>
      </c>
      <c r="C127" s="2">
        <f t="shared" si="1"/>
        <v>-6.695386082984929E-3</v>
      </c>
    </row>
    <row r="128" spans="1:3" x14ac:dyDescent="0.2">
      <c r="A128" s="1">
        <v>45889</v>
      </c>
      <c r="B128">
        <v>52.45</v>
      </c>
      <c r="C128" s="2">
        <f t="shared" si="1"/>
        <v>2.8639637714291608E-3</v>
      </c>
    </row>
    <row r="129" spans="1:3" x14ac:dyDescent="0.2">
      <c r="A129" s="1">
        <v>45888</v>
      </c>
      <c r="B129">
        <v>52.3</v>
      </c>
      <c r="C129" s="2">
        <f t="shared" si="1"/>
        <v>1.0571938925398677E-2</v>
      </c>
    </row>
    <row r="130" spans="1:3" x14ac:dyDescent="0.2">
      <c r="A130" s="1">
        <v>45887</v>
      </c>
      <c r="B130">
        <v>51.75</v>
      </c>
      <c r="C130" s="2">
        <f t="shared" si="1"/>
        <v>1.0684900100016353E-2</v>
      </c>
    </row>
    <row r="131" spans="1:3" x14ac:dyDescent="0.2">
      <c r="A131" s="1">
        <v>45883</v>
      </c>
      <c r="B131">
        <v>51.2</v>
      </c>
      <c r="C131" s="2">
        <f t="shared" ref="C131:C194" si="2">+LN(B131/B132)</f>
        <v>7.843177461026099E-3</v>
      </c>
    </row>
    <row r="132" spans="1:3" x14ac:dyDescent="0.2">
      <c r="A132" s="1">
        <v>45882</v>
      </c>
      <c r="B132">
        <v>50.8</v>
      </c>
      <c r="C132" s="2">
        <f t="shared" si="2"/>
        <v>1.0885807645251004E-2</v>
      </c>
    </row>
    <row r="133" spans="1:3" x14ac:dyDescent="0.2">
      <c r="A133" s="1">
        <v>45881</v>
      </c>
      <c r="B133">
        <v>50.25</v>
      </c>
      <c r="C133" s="2">
        <f t="shared" si="2"/>
        <v>-6.9410293542347999E-3</v>
      </c>
    </row>
    <row r="134" spans="1:3" x14ac:dyDescent="0.2">
      <c r="A134" s="1">
        <v>45880</v>
      </c>
      <c r="B134">
        <v>50.6</v>
      </c>
      <c r="C134" s="2">
        <f t="shared" si="2"/>
        <v>1.7544309650909525E-2</v>
      </c>
    </row>
    <row r="135" spans="1:3" x14ac:dyDescent="0.2">
      <c r="A135" s="1">
        <v>45877</v>
      </c>
      <c r="B135">
        <v>49.72</v>
      </c>
      <c r="C135" s="2">
        <f t="shared" si="2"/>
        <v>-1.060328029667482E-2</v>
      </c>
    </row>
    <row r="136" spans="1:3" x14ac:dyDescent="0.2">
      <c r="A136" s="1">
        <v>45876</v>
      </c>
      <c r="B136">
        <v>50.25</v>
      </c>
      <c r="C136" s="2">
        <f t="shared" si="2"/>
        <v>0</v>
      </c>
    </row>
    <row r="137" spans="1:3" x14ac:dyDescent="0.2">
      <c r="A137" s="1">
        <v>45875</v>
      </c>
      <c r="B137">
        <v>50.25</v>
      </c>
      <c r="C137" s="2">
        <f t="shared" si="2"/>
        <v>-2.9806281381377893E-3</v>
      </c>
    </row>
    <row r="138" spans="1:3" x14ac:dyDescent="0.2">
      <c r="A138" s="1">
        <v>45874</v>
      </c>
      <c r="B138">
        <v>50.4</v>
      </c>
      <c r="C138" s="2">
        <f t="shared" si="2"/>
        <v>-2.9717703891574817E-3</v>
      </c>
    </row>
    <row r="139" spans="1:3" x14ac:dyDescent="0.2">
      <c r="A139" s="1">
        <v>45873</v>
      </c>
      <c r="B139">
        <v>50.55</v>
      </c>
      <c r="C139" s="2">
        <f t="shared" si="2"/>
        <v>-2.9629651306571836E-3</v>
      </c>
    </row>
    <row r="140" spans="1:3" x14ac:dyDescent="0.2">
      <c r="A140" s="1">
        <v>45870</v>
      </c>
      <c r="B140">
        <v>50.7</v>
      </c>
      <c r="C140" s="2">
        <f t="shared" si="2"/>
        <v>5.9347355198145265E-3</v>
      </c>
    </row>
    <row r="141" spans="1:3" x14ac:dyDescent="0.2">
      <c r="A141" s="1">
        <v>45869</v>
      </c>
      <c r="B141">
        <v>50.4</v>
      </c>
      <c r="C141" s="2">
        <f t="shared" si="2"/>
        <v>-3.0290542467913583E-2</v>
      </c>
    </row>
    <row r="142" spans="1:3" x14ac:dyDescent="0.2">
      <c r="A142" s="1">
        <v>45868</v>
      </c>
      <c r="B142">
        <v>51.95</v>
      </c>
      <c r="C142" s="2">
        <f t="shared" si="2"/>
        <v>-4.4242509394653295E-2</v>
      </c>
    </row>
    <row r="143" spans="1:3" x14ac:dyDescent="0.2">
      <c r="A143" s="1">
        <v>45867</v>
      </c>
      <c r="B143">
        <v>54.3</v>
      </c>
      <c r="C143" s="2">
        <f t="shared" si="2"/>
        <v>1.2042757863182199E-2</v>
      </c>
    </row>
    <row r="144" spans="1:3" x14ac:dyDescent="0.2">
      <c r="A144" s="1">
        <v>45866</v>
      </c>
      <c r="B144">
        <v>53.65</v>
      </c>
      <c r="C144" s="2">
        <f t="shared" si="2"/>
        <v>0</v>
      </c>
    </row>
    <row r="145" spans="1:3" x14ac:dyDescent="0.2">
      <c r="A145" s="1">
        <v>45863</v>
      </c>
      <c r="B145">
        <v>53.65</v>
      </c>
      <c r="C145" s="2">
        <f t="shared" si="2"/>
        <v>-7.4280750085097486E-3</v>
      </c>
    </row>
    <row r="146" spans="1:3" x14ac:dyDescent="0.2">
      <c r="A146" s="1">
        <v>45862</v>
      </c>
      <c r="B146">
        <v>54.05</v>
      </c>
      <c r="C146" s="2">
        <f t="shared" si="2"/>
        <v>1.6791439297260236E-2</v>
      </c>
    </row>
    <row r="147" spans="1:3" x14ac:dyDescent="0.2">
      <c r="A147" s="1">
        <v>45861</v>
      </c>
      <c r="B147">
        <v>53.15</v>
      </c>
      <c r="C147" s="2">
        <f t="shared" si="2"/>
        <v>1.3257769945650718E-2</v>
      </c>
    </row>
    <row r="148" spans="1:3" x14ac:dyDescent="0.2">
      <c r="A148" s="1">
        <v>45860</v>
      </c>
      <c r="B148">
        <v>52.45</v>
      </c>
      <c r="C148" s="2">
        <f t="shared" si="2"/>
        <v>8.6166162608787965E-3</v>
      </c>
    </row>
    <row r="149" spans="1:3" x14ac:dyDescent="0.2">
      <c r="A149" s="1">
        <v>45859</v>
      </c>
      <c r="B149">
        <v>52</v>
      </c>
      <c r="C149" s="2">
        <f t="shared" si="2"/>
        <v>-7.6628727455691371E-3</v>
      </c>
    </row>
    <row r="150" spans="1:3" x14ac:dyDescent="0.2">
      <c r="A150" s="1">
        <v>45856</v>
      </c>
      <c r="B150">
        <v>52.4</v>
      </c>
      <c r="C150" s="2">
        <f t="shared" si="2"/>
        <v>-9.537435153097795E-4</v>
      </c>
    </row>
    <row r="151" spans="1:3" x14ac:dyDescent="0.2">
      <c r="A151" s="1">
        <v>45855</v>
      </c>
      <c r="B151">
        <v>52.45</v>
      </c>
      <c r="C151" s="2">
        <f t="shared" si="2"/>
        <v>8.6166162608787965E-3</v>
      </c>
    </row>
    <row r="152" spans="1:3" x14ac:dyDescent="0.2">
      <c r="A152" s="1">
        <v>45854</v>
      </c>
      <c r="B152">
        <v>52</v>
      </c>
      <c r="C152" s="2">
        <f t="shared" si="2"/>
        <v>-1.9212301778939326E-3</v>
      </c>
    </row>
    <row r="153" spans="1:3" x14ac:dyDescent="0.2">
      <c r="A153" s="1">
        <v>45853</v>
      </c>
      <c r="B153">
        <v>52.1</v>
      </c>
      <c r="C153" s="2">
        <f t="shared" si="2"/>
        <v>-3.5819097804953175E-2</v>
      </c>
    </row>
    <row r="154" spans="1:3" x14ac:dyDescent="0.2">
      <c r="A154" s="1">
        <v>45852</v>
      </c>
      <c r="B154">
        <v>54</v>
      </c>
      <c r="C154" s="2">
        <f t="shared" si="2"/>
        <v>-8.2988028146951786E-3</v>
      </c>
    </row>
    <row r="155" spans="1:3" x14ac:dyDescent="0.2">
      <c r="A155" s="1">
        <v>45849</v>
      </c>
      <c r="B155">
        <v>54.45</v>
      </c>
      <c r="C155" s="2">
        <f t="shared" si="2"/>
        <v>-1.8348629001102238E-3</v>
      </c>
    </row>
    <row r="156" spans="1:3" x14ac:dyDescent="0.2">
      <c r="A156" s="1">
        <v>45848</v>
      </c>
      <c r="B156">
        <v>54.55</v>
      </c>
      <c r="C156" s="2">
        <f t="shared" si="2"/>
        <v>1.1987234364128399E-2</v>
      </c>
    </row>
    <row r="157" spans="1:3" x14ac:dyDescent="0.2">
      <c r="A157" s="1">
        <v>45847</v>
      </c>
      <c r="B157">
        <v>53.9</v>
      </c>
      <c r="C157" s="2">
        <f t="shared" si="2"/>
        <v>6.5146810211936723E-3</v>
      </c>
    </row>
    <row r="158" spans="1:3" x14ac:dyDescent="0.2">
      <c r="A158" s="1">
        <v>45846</v>
      </c>
      <c r="B158">
        <v>53.55</v>
      </c>
      <c r="C158" s="2">
        <f t="shared" si="2"/>
        <v>-3.7278701140144154E-3</v>
      </c>
    </row>
    <row r="159" spans="1:3" x14ac:dyDescent="0.2">
      <c r="A159" s="1">
        <v>45845</v>
      </c>
      <c r="B159">
        <v>53.75</v>
      </c>
      <c r="C159" s="2">
        <f t="shared" si="2"/>
        <v>-5.5658770774450065E-3</v>
      </c>
    </row>
    <row r="160" spans="1:3" x14ac:dyDescent="0.2">
      <c r="A160" s="1">
        <v>45842</v>
      </c>
      <c r="B160">
        <v>54.05</v>
      </c>
      <c r="C160" s="2">
        <f t="shared" si="2"/>
        <v>1.0227890183256323E-2</v>
      </c>
    </row>
    <row r="161" spans="1:3" x14ac:dyDescent="0.2">
      <c r="A161" s="1">
        <v>45841</v>
      </c>
      <c r="B161">
        <v>53.5</v>
      </c>
      <c r="C161" s="2">
        <f t="shared" si="2"/>
        <v>1.8709079358118241E-3</v>
      </c>
    </row>
    <row r="162" spans="1:3" x14ac:dyDescent="0.2">
      <c r="A162" s="1">
        <v>45840</v>
      </c>
      <c r="B162">
        <v>53.4</v>
      </c>
      <c r="C162" s="2">
        <f t="shared" si="2"/>
        <v>-1.2098798119068064E-2</v>
      </c>
    </row>
    <row r="163" spans="1:3" x14ac:dyDescent="0.2">
      <c r="A163" s="1">
        <v>45839</v>
      </c>
      <c r="B163">
        <v>54.05</v>
      </c>
      <c r="C163" s="2">
        <f t="shared" si="2"/>
        <v>1.2098798119068103E-2</v>
      </c>
    </row>
    <row r="164" spans="1:3" x14ac:dyDescent="0.2">
      <c r="A164" s="1">
        <v>45838</v>
      </c>
      <c r="B164">
        <v>53.4</v>
      </c>
      <c r="C164" s="2">
        <f t="shared" si="2"/>
        <v>-7.4627212015896003E-3</v>
      </c>
    </row>
    <row r="165" spans="1:3" x14ac:dyDescent="0.2">
      <c r="A165" s="1">
        <v>45835</v>
      </c>
      <c r="B165">
        <v>53.8</v>
      </c>
      <c r="C165" s="2">
        <f t="shared" si="2"/>
        <v>6.5268296966843799E-3</v>
      </c>
    </row>
    <row r="166" spans="1:3" x14ac:dyDescent="0.2">
      <c r="A166" s="1">
        <v>45834</v>
      </c>
      <c r="B166">
        <v>53.45</v>
      </c>
      <c r="C166" s="2">
        <f t="shared" si="2"/>
        <v>1.8726597232918325E-3</v>
      </c>
    </row>
    <row r="167" spans="1:3" x14ac:dyDescent="0.2">
      <c r="A167" s="1">
        <v>45833</v>
      </c>
      <c r="B167">
        <v>53.35</v>
      </c>
      <c r="C167" s="2">
        <f t="shared" si="2"/>
        <v>-1.7650249192127279E-2</v>
      </c>
    </row>
    <row r="168" spans="1:3" x14ac:dyDescent="0.2">
      <c r="A168" s="1">
        <v>45832</v>
      </c>
      <c r="B168">
        <v>54.3</v>
      </c>
      <c r="C168" s="2">
        <f t="shared" si="2"/>
        <v>7.3937490249381919E-3</v>
      </c>
    </row>
    <row r="169" spans="1:3" x14ac:dyDescent="0.2">
      <c r="A169" s="1">
        <v>45831</v>
      </c>
      <c r="B169">
        <v>53.9</v>
      </c>
      <c r="C169" s="2">
        <f t="shared" si="2"/>
        <v>-9.2721378919225015E-4</v>
      </c>
    </row>
    <row r="170" spans="1:3" x14ac:dyDescent="0.2">
      <c r="A170" s="1">
        <v>45828</v>
      </c>
      <c r="B170">
        <v>53.95</v>
      </c>
      <c r="C170" s="2">
        <f t="shared" si="2"/>
        <v>1.212136053234482E-2</v>
      </c>
    </row>
    <row r="171" spans="1:3" x14ac:dyDescent="0.2">
      <c r="A171" s="1">
        <v>45827</v>
      </c>
      <c r="B171">
        <v>53.3</v>
      </c>
      <c r="C171" s="2">
        <f t="shared" si="2"/>
        <v>-3.7453227301620529E-3</v>
      </c>
    </row>
    <row r="172" spans="1:3" x14ac:dyDescent="0.2">
      <c r="A172" s="1">
        <v>45826</v>
      </c>
      <c r="B172">
        <v>53.5</v>
      </c>
      <c r="C172" s="2">
        <f t="shared" si="2"/>
        <v>-1.392133851860812E-2</v>
      </c>
    </row>
    <row r="173" spans="1:3" x14ac:dyDescent="0.2">
      <c r="A173" s="1">
        <v>45825</v>
      </c>
      <c r="B173">
        <v>54.25</v>
      </c>
      <c r="C173" s="2">
        <f t="shared" si="2"/>
        <v>-8.2607170073665977E-3</v>
      </c>
    </row>
    <row r="174" spans="1:3" x14ac:dyDescent="0.2">
      <c r="A174" s="1">
        <v>45824</v>
      </c>
      <c r="B174">
        <v>54.7</v>
      </c>
      <c r="C174" s="2">
        <f t="shared" si="2"/>
        <v>6.4190958607170242E-3</v>
      </c>
    </row>
    <row r="175" spans="1:3" x14ac:dyDescent="0.2">
      <c r="A175" s="1">
        <v>45821</v>
      </c>
      <c r="B175">
        <v>54.35</v>
      </c>
      <c r="C175" s="2">
        <f t="shared" si="2"/>
        <v>-1.7328294961070613E-2</v>
      </c>
    </row>
    <row r="176" spans="1:3" x14ac:dyDescent="0.2">
      <c r="A176" s="1">
        <v>45820</v>
      </c>
      <c r="B176">
        <v>55.3</v>
      </c>
      <c r="C176" s="2">
        <f t="shared" si="2"/>
        <v>9.0456813042691462E-4</v>
      </c>
    </row>
    <row r="177" spans="1:3" x14ac:dyDescent="0.2">
      <c r="A177" s="1">
        <v>45819</v>
      </c>
      <c r="B177">
        <v>55.25</v>
      </c>
      <c r="C177" s="2">
        <f t="shared" si="2"/>
        <v>2.7186242389934637E-3</v>
      </c>
    </row>
    <row r="178" spans="1:3" x14ac:dyDescent="0.2">
      <c r="A178" s="1">
        <v>45818</v>
      </c>
      <c r="B178">
        <v>55.1</v>
      </c>
      <c r="C178" s="2">
        <f t="shared" si="2"/>
        <v>1.1866866779899262E-2</v>
      </c>
    </row>
    <row r="179" spans="1:3" x14ac:dyDescent="0.2">
      <c r="A179" s="1">
        <v>45817</v>
      </c>
      <c r="B179">
        <v>54.45</v>
      </c>
      <c r="C179" s="2">
        <f t="shared" si="2"/>
        <v>-9.1408314706608578E-3</v>
      </c>
    </row>
    <row r="180" spans="1:3" x14ac:dyDescent="0.2">
      <c r="A180" s="1">
        <v>45814</v>
      </c>
      <c r="B180">
        <v>54.95</v>
      </c>
      <c r="C180" s="2">
        <f t="shared" si="2"/>
        <v>3.7075608802214978E-2</v>
      </c>
    </row>
    <row r="181" spans="1:3" x14ac:dyDescent="0.2">
      <c r="A181" s="1">
        <v>45813</v>
      </c>
      <c r="B181">
        <v>52.95</v>
      </c>
      <c r="C181" s="2">
        <f t="shared" si="2"/>
        <v>6.6319523037512073E-3</v>
      </c>
    </row>
    <row r="182" spans="1:3" x14ac:dyDescent="0.2">
      <c r="A182" s="1">
        <v>45812</v>
      </c>
      <c r="B182">
        <v>52.6</v>
      </c>
      <c r="C182" s="2">
        <f t="shared" si="2"/>
        <v>-1.0401985044292725E-2</v>
      </c>
    </row>
    <row r="183" spans="1:3" x14ac:dyDescent="0.2">
      <c r="A183" s="1">
        <v>45811</v>
      </c>
      <c r="B183">
        <v>53.15</v>
      </c>
      <c r="C183" s="2">
        <f t="shared" si="2"/>
        <v>6.6069140757411124E-3</v>
      </c>
    </row>
    <row r="184" spans="1:3" x14ac:dyDescent="0.2">
      <c r="A184" s="1">
        <v>45810</v>
      </c>
      <c r="B184">
        <v>52.8</v>
      </c>
      <c r="C184" s="2">
        <f t="shared" si="2"/>
        <v>0</v>
      </c>
    </row>
    <row r="185" spans="1:3" x14ac:dyDescent="0.2">
      <c r="A185" s="1">
        <v>45807</v>
      </c>
      <c r="B185">
        <v>52.8</v>
      </c>
      <c r="C185" s="2">
        <f t="shared" si="2"/>
        <v>2.2020995146568228E-2</v>
      </c>
    </row>
    <row r="186" spans="1:3" x14ac:dyDescent="0.2">
      <c r="A186" s="1">
        <v>45806</v>
      </c>
      <c r="B186">
        <v>51.65</v>
      </c>
      <c r="C186" s="2">
        <f t="shared" si="2"/>
        <v>-2.8999536997897602E-3</v>
      </c>
    </row>
    <row r="187" spans="1:3" x14ac:dyDescent="0.2">
      <c r="A187" s="1">
        <v>45805</v>
      </c>
      <c r="B187">
        <v>51.8</v>
      </c>
      <c r="C187" s="2">
        <f t="shared" si="2"/>
        <v>0</v>
      </c>
    </row>
    <row r="188" spans="1:3" x14ac:dyDescent="0.2">
      <c r="A188" s="1">
        <v>45804</v>
      </c>
      <c r="B188">
        <v>51.8</v>
      </c>
      <c r="C188" s="2">
        <f t="shared" si="2"/>
        <v>2.899953699789811E-3</v>
      </c>
    </row>
    <row r="189" spans="1:3" x14ac:dyDescent="0.2">
      <c r="A189" s="1">
        <v>45803</v>
      </c>
      <c r="B189">
        <v>51.65</v>
      </c>
      <c r="C189" s="2">
        <f t="shared" si="2"/>
        <v>5.8252591910802455E-3</v>
      </c>
    </row>
    <row r="190" spans="1:3" x14ac:dyDescent="0.2">
      <c r="A190" s="1">
        <v>45800</v>
      </c>
      <c r="B190">
        <v>51.35</v>
      </c>
      <c r="C190" s="2">
        <f t="shared" si="2"/>
        <v>-4.8567361129498218E-3</v>
      </c>
    </row>
    <row r="191" spans="1:3" x14ac:dyDescent="0.2">
      <c r="A191" s="1">
        <v>45799</v>
      </c>
      <c r="B191">
        <v>51.6</v>
      </c>
      <c r="C191" s="2">
        <f t="shared" si="2"/>
        <v>-1.6338662354789105E-2</v>
      </c>
    </row>
    <row r="192" spans="1:3" x14ac:dyDescent="0.2">
      <c r="A192" s="1">
        <v>45798</v>
      </c>
      <c r="B192">
        <v>52.45</v>
      </c>
      <c r="C192" s="2">
        <f t="shared" si="2"/>
        <v>1.8278527172615668E-2</v>
      </c>
    </row>
    <row r="193" spans="1:3" x14ac:dyDescent="0.2">
      <c r="A193" s="1">
        <v>45797</v>
      </c>
      <c r="B193">
        <v>51.5</v>
      </c>
      <c r="C193" s="2">
        <f t="shared" si="2"/>
        <v>9.7134538963188088E-4</v>
      </c>
    </row>
    <row r="194" spans="1:3" x14ac:dyDescent="0.2">
      <c r="A194" s="1">
        <v>45796</v>
      </c>
      <c r="B194">
        <v>51.45</v>
      </c>
      <c r="C194" s="2">
        <f t="shared" si="2"/>
        <v>-9.7134538963178092E-4</v>
      </c>
    </row>
    <row r="195" spans="1:3" x14ac:dyDescent="0.2">
      <c r="A195" s="1">
        <v>45793</v>
      </c>
      <c r="B195">
        <v>51.5</v>
      </c>
      <c r="C195" s="2">
        <f t="shared" ref="C195:C258" si="3">+LN(B195/B196)</f>
        <v>7.7973104600317106E-3</v>
      </c>
    </row>
    <row r="196" spans="1:3" x14ac:dyDescent="0.2">
      <c r="A196" s="1">
        <v>45792</v>
      </c>
      <c r="B196">
        <v>51.1</v>
      </c>
      <c r="C196" s="2">
        <f t="shared" si="3"/>
        <v>1.47858780450874E-2</v>
      </c>
    </row>
    <row r="197" spans="1:3" x14ac:dyDescent="0.2">
      <c r="A197" s="1">
        <v>45791</v>
      </c>
      <c r="B197">
        <v>50.35</v>
      </c>
      <c r="C197" s="2">
        <f t="shared" si="3"/>
        <v>-2.7425812980907096E-2</v>
      </c>
    </row>
    <row r="198" spans="1:3" x14ac:dyDescent="0.2">
      <c r="A198" s="1">
        <v>45790</v>
      </c>
      <c r="B198">
        <v>51.75</v>
      </c>
      <c r="C198" s="2">
        <f t="shared" si="3"/>
        <v>1.9342365798309684E-3</v>
      </c>
    </row>
    <row r="199" spans="1:3" x14ac:dyDescent="0.2">
      <c r="A199" s="1">
        <v>45789</v>
      </c>
      <c r="B199">
        <v>51.65</v>
      </c>
      <c r="C199" s="2">
        <f t="shared" si="3"/>
        <v>-9.6339858811339343E-3</v>
      </c>
    </row>
    <row r="200" spans="1:3" x14ac:dyDescent="0.2">
      <c r="A200" s="1">
        <v>45786</v>
      </c>
      <c r="B200">
        <v>52.15</v>
      </c>
      <c r="C200" s="2">
        <f t="shared" si="3"/>
        <v>-6.688988150796652E-3</v>
      </c>
    </row>
    <row r="201" spans="1:3" x14ac:dyDescent="0.2">
      <c r="A201" s="1">
        <v>45785</v>
      </c>
      <c r="B201">
        <v>52.5</v>
      </c>
      <c r="C201" s="2">
        <f t="shared" si="3"/>
        <v>-9.47874395454377E-3</v>
      </c>
    </row>
    <row r="202" spans="1:3" x14ac:dyDescent="0.2">
      <c r="A202" s="1">
        <v>45784</v>
      </c>
      <c r="B202">
        <v>53</v>
      </c>
      <c r="C202" s="2">
        <f t="shared" si="3"/>
        <v>-3.7664827954768934E-3</v>
      </c>
    </row>
    <row r="203" spans="1:3" x14ac:dyDescent="0.2">
      <c r="A203" s="1">
        <v>45783</v>
      </c>
      <c r="B203">
        <v>53.2</v>
      </c>
      <c r="C203" s="2">
        <f t="shared" si="3"/>
        <v>9.4029155964194336E-4</v>
      </c>
    </row>
    <row r="204" spans="1:3" x14ac:dyDescent="0.2">
      <c r="A204" s="1">
        <v>45782</v>
      </c>
      <c r="B204">
        <v>53.15</v>
      </c>
      <c r="C204" s="2">
        <f t="shared" si="3"/>
        <v>8.5026492406402986E-3</v>
      </c>
    </row>
    <row r="205" spans="1:3" x14ac:dyDescent="0.2">
      <c r="A205" s="1">
        <v>45779</v>
      </c>
      <c r="B205">
        <v>52.7</v>
      </c>
      <c r="C205" s="2">
        <f t="shared" si="3"/>
        <v>1.6260520871780326E-2</v>
      </c>
    </row>
    <row r="206" spans="1:3" x14ac:dyDescent="0.2">
      <c r="A206" s="1">
        <v>45777</v>
      </c>
      <c r="B206">
        <v>51.85</v>
      </c>
      <c r="C206" s="2">
        <f t="shared" si="3"/>
        <v>3.3336420267591926E-2</v>
      </c>
    </row>
    <row r="207" spans="1:3" x14ac:dyDescent="0.2">
      <c r="A207" s="1">
        <v>45776</v>
      </c>
      <c r="B207">
        <v>50.15</v>
      </c>
      <c r="C207" s="2">
        <f t="shared" si="3"/>
        <v>2.2382222779988636E-2</v>
      </c>
    </row>
    <row r="208" spans="1:3" x14ac:dyDescent="0.2">
      <c r="A208" s="1">
        <v>45775</v>
      </c>
      <c r="B208">
        <v>49.04</v>
      </c>
      <c r="C208" s="2">
        <f t="shared" si="3"/>
        <v>-8.5279704653141962E-3</v>
      </c>
    </row>
    <row r="209" spans="1:3" x14ac:dyDescent="0.2">
      <c r="A209" s="1">
        <v>45772</v>
      </c>
      <c r="B209">
        <v>49.46</v>
      </c>
      <c r="C209" s="2">
        <f t="shared" si="3"/>
        <v>4.8642171303604469E-3</v>
      </c>
    </row>
    <row r="210" spans="1:3" x14ac:dyDescent="0.2">
      <c r="A210" s="1">
        <v>45771</v>
      </c>
      <c r="B210">
        <v>49.22</v>
      </c>
      <c r="C210" s="2">
        <f t="shared" si="3"/>
        <v>4.8879934388880997E-3</v>
      </c>
    </row>
    <row r="211" spans="1:3" x14ac:dyDescent="0.2">
      <c r="A211" s="1">
        <v>45770</v>
      </c>
      <c r="B211">
        <v>48.98</v>
      </c>
      <c r="C211" s="2">
        <f t="shared" si="3"/>
        <v>1.3980490865494733E-2</v>
      </c>
    </row>
    <row r="212" spans="1:3" x14ac:dyDescent="0.2">
      <c r="A212" s="1">
        <v>45769</v>
      </c>
      <c r="B212">
        <v>48.3</v>
      </c>
      <c r="C212" s="2">
        <f t="shared" si="3"/>
        <v>-1.2414650880649882E-3</v>
      </c>
    </row>
    <row r="213" spans="1:3" x14ac:dyDescent="0.2">
      <c r="A213" s="1">
        <v>45764</v>
      </c>
      <c r="B213">
        <v>48.36</v>
      </c>
      <c r="C213" s="2">
        <f t="shared" si="3"/>
        <v>-2.890772196845645E-3</v>
      </c>
    </row>
    <row r="214" spans="1:3" x14ac:dyDescent="0.2">
      <c r="A214" s="1">
        <v>45763</v>
      </c>
      <c r="B214">
        <v>48.5</v>
      </c>
      <c r="C214" s="2">
        <f t="shared" si="3"/>
        <v>2.8907721968456711E-3</v>
      </c>
    </row>
    <row r="215" spans="1:3" x14ac:dyDescent="0.2">
      <c r="A215" s="1">
        <v>45762</v>
      </c>
      <c r="B215">
        <v>48.36</v>
      </c>
      <c r="C215" s="2">
        <f t="shared" si="3"/>
        <v>1.5000281259492598E-2</v>
      </c>
    </row>
    <row r="216" spans="1:3" x14ac:dyDescent="0.2">
      <c r="A216" s="1">
        <v>45761</v>
      </c>
      <c r="B216">
        <v>47.64</v>
      </c>
      <c r="C216" s="2">
        <f t="shared" si="3"/>
        <v>2.1214202444862402E-2</v>
      </c>
    </row>
    <row r="217" spans="1:3" x14ac:dyDescent="0.2">
      <c r="A217" s="1">
        <v>45758</v>
      </c>
      <c r="B217">
        <v>46.64</v>
      </c>
      <c r="C217" s="2">
        <f t="shared" si="3"/>
        <v>1.6865264612478593E-2</v>
      </c>
    </row>
    <row r="218" spans="1:3" x14ac:dyDescent="0.2">
      <c r="A218" s="1">
        <v>45757</v>
      </c>
      <c r="B218">
        <v>45.86</v>
      </c>
      <c r="C218" s="2">
        <f t="shared" si="3"/>
        <v>2.3831666259149668E-2</v>
      </c>
    </row>
    <row r="219" spans="1:3" x14ac:dyDescent="0.2">
      <c r="A219" s="1">
        <v>45756</v>
      </c>
      <c r="B219">
        <v>44.78</v>
      </c>
      <c r="C219" s="2">
        <f t="shared" si="3"/>
        <v>-5.6860617530421965E-2</v>
      </c>
    </row>
    <row r="220" spans="1:3" x14ac:dyDescent="0.2">
      <c r="A220" s="1">
        <v>45755</v>
      </c>
      <c r="B220">
        <v>47.4</v>
      </c>
      <c r="C220" s="2">
        <f t="shared" si="3"/>
        <v>2.2185210229479783E-2</v>
      </c>
    </row>
    <row r="221" spans="1:3" x14ac:dyDescent="0.2">
      <c r="A221" s="1">
        <v>45754</v>
      </c>
      <c r="B221">
        <v>46.36</v>
      </c>
      <c r="C221" s="2">
        <f t="shared" si="3"/>
        <v>-8.8502212223141405E-2</v>
      </c>
    </row>
    <row r="222" spans="1:3" x14ac:dyDescent="0.2">
      <c r="A222" s="1">
        <v>45751</v>
      </c>
      <c r="B222">
        <v>50.65</v>
      </c>
      <c r="C222" s="2">
        <f t="shared" si="3"/>
        <v>-1.3725705679874906E-2</v>
      </c>
    </row>
    <row r="223" spans="1:3" x14ac:dyDescent="0.2">
      <c r="A223" s="1">
        <v>45750</v>
      </c>
      <c r="B223">
        <v>51.35</v>
      </c>
      <c r="C223" s="2">
        <f t="shared" si="3"/>
        <v>-6.7928451398161947E-3</v>
      </c>
    </row>
    <row r="224" spans="1:3" x14ac:dyDescent="0.2">
      <c r="A224" s="1">
        <v>45749</v>
      </c>
      <c r="B224">
        <v>51.7</v>
      </c>
      <c r="C224" s="2">
        <f t="shared" si="3"/>
        <v>-2.1999930801863129E-2</v>
      </c>
    </row>
    <row r="225" spans="1:3" x14ac:dyDescent="0.2">
      <c r="A225" s="1">
        <v>45748</v>
      </c>
      <c r="B225">
        <v>52.85</v>
      </c>
      <c r="C225" s="2">
        <f t="shared" si="3"/>
        <v>1.0461341245369552E-2</v>
      </c>
    </row>
    <row r="226" spans="1:3" x14ac:dyDescent="0.2">
      <c r="A226" s="1">
        <v>45747</v>
      </c>
      <c r="B226">
        <v>52.3</v>
      </c>
      <c r="C226" s="2">
        <f t="shared" si="3"/>
        <v>-1.8001433518657291E-2</v>
      </c>
    </row>
    <row r="227" spans="1:3" x14ac:dyDescent="0.2">
      <c r="A227" s="1">
        <v>45744</v>
      </c>
      <c r="B227">
        <v>53.25</v>
      </c>
      <c r="C227" s="2">
        <f t="shared" si="3"/>
        <v>1.8796998015776938E-3</v>
      </c>
    </row>
    <row r="228" spans="1:3" x14ac:dyDescent="0.2">
      <c r="A228" s="1">
        <v>45743</v>
      </c>
      <c r="B228">
        <v>53.15</v>
      </c>
      <c r="C228" s="2">
        <f t="shared" si="3"/>
        <v>2.8261912358350447E-3</v>
      </c>
    </row>
    <row r="229" spans="1:3" x14ac:dyDescent="0.2">
      <c r="A229" s="1">
        <v>45742</v>
      </c>
      <c r="B229">
        <v>53</v>
      </c>
      <c r="C229" s="2">
        <f t="shared" si="3"/>
        <v>-1.6838564362829593E-2</v>
      </c>
    </row>
    <row r="230" spans="1:3" x14ac:dyDescent="0.2">
      <c r="A230" s="1">
        <v>45741</v>
      </c>
      <c r="B230">
        <v>53.9</v>
      </c>
      <c r="C230" s="2">
        <f t="shared" si="3"/>
        <v>1.1194146743152708E-2</v>
      </c>
    </row>
    <row r="231" spans="1:3" x14ac:dyDescent="0.2">
      <c r="A231" s="1">
        <v>45740</v>
      </c>
      <c r="B231">
        <v>53.3</v>
      </c>
      <c r="C231" s="2">
        <f t="shared" si="3"/>
        <v>-2.8103062992555312E-3</v>
      </c>
    </row>
    <row r="232" spans="1:3" x14ac:dyDescent="0.2">
      <c r="A232" s="1">
        <v>45737</v>
      </c>
      <c r="B232">
        <v>53.45</v>
      </c>
      <c r="C232" s="2">
        <f t="shared" si="3"/>
        <v>-1.0237409093220153E-2</v>
      </c>
    </row>
    <row r="233" spans="1:3" x14ac:dyDescent="0.2">
      <c r="A233" s="1">
        <v>45736</v>
      </c>
      <c r="B233">
        <v>54</v>
      </c>
      <c r="C233" s="2">
        <f t="shared" si="3"/>
        <v>1.3047715392475675E-2</v>
      </c>
    </row>
    <row r="234" spans="1:3" x14ac:dyDescent="0.2">
      <c r="A234" s="1">
        <v>45735</v>
      </c>
      <c r="B234">
        <v>53.3</v>
      </c>
      <c r="C234" s="2">
        <f t="shared" si="3"/>
        <v>-2.8103062992555312E-3</v>
      </c>
    </row>
    <row r="235" spans="1:3" x14ac:dyDescent="0.2">
      <c r="A235" s="1">
        <v>45734</v>
      </c>
      <c r="B235">
        <v>53.45</v>
      </c>
      <c r="C235" s="2">
        <f t="shared" si="3"/>
        <v>1.8726597232918325E-3</v>
      </c>
    </row>
    <row r="236" spans="1:3" x14ac:dyDescent="0.2">
      <c r="A236" s="1">
        <v>45733</v>
      </c>
      <c r="B236">
        <v>53.35</v>
      </c>
      <c r="C236" s="2">
        <f t="shared" si="3"/>
        <v>1.2258522200445616E-2</v>
      </c>
    </row>
    <row r="237" spans="1:3" x14ac:dyDescent="0.2">
      <c r="A237" s="1">
        <v>45730</v>
      </c>
      <c r="B237">
        <v>52.7</v>
      </c>
      <c r="C237" s="2">
        <f t="shared" si="3"/>
        <v>-4.7326165000988324E-3</v>
      </c>
    </row>
    <row r="238" spans="1:3" x14ac:dyDescent="0.2">
      <c r="A238" s="1">
        <v>45729</v>
      </c>
      <c r="B238">
        <v>52.95</v>
      </c>
      <c r="C238" s="2">
        <f t="shared" si="3"/>
        <v>-9.4384150470631304E-4</v>
      </c>
    </row>
    <row r="239" spans="1:3" x14ac:dyDescent="0.2">
      <c r="A239" s="1">
        <v>45728</v>
      </c>
      <c r="B239">
        <v>53</v>
      </c>
      <c r="C239" s="2">
        <f t="shared" si="3"/>
        <v>1.329554248124472E-2</v>
      </c>
    </row>
    <row r="240" spans="1:3" x14ac:dyDescent="0.2">
      <c r="A240" s="1">
        <v>45727</v>
      </c>
      <c r="B240">
        <v>52.3</v>
      </c>
      <c r="C240" s="2">
        <f t="shared" si="3"/>
        <v>-3.3837814781558714E-2</v>
      </c>
    </row>
    <row r="241" spans="1:3" x14ac:dyDescent="0.2">
      <c r="A241" s="1">
        <v>45726</v>
      </c>
      <c r="B241">
        <v>54.1</v>
      </c>
      <c r="C241" s="2">
        <f t="shared" si="3"/>
        <v>1.0218388958678246E-2</v>
      </c>
    </row>
    <row r="242" spans="1:3" x14ac:dyDescent="0.2">
      <c r="A242" s="1">
        <v>45723</v>
      </c>
      <c r="B242">
        <v>53.55</v>
      </c>
      <c r="C242" s="2">
        <f t="shared" si="3"/>
        <v>0</v>
      </c>
    </row>
    <row r="243" spans="1:3" x14ac:dyDescent="0.2">
      <c r="A243" s="1">
        <v>45722</v>
      </c>
      <c r="B243">
        <v>53.55</v>
      </c>
      <c r="C243" s="2">
        <f t="shared" si="3"/>
        <v>-5.5866067086398231E-3</v>
      </c>
    </row>
    <row r="244" spans="1:3" x14ac:dyDescent="0.2">
      <c r="A244" s="1">
        <v>45721</v>
      </c>
      <c r="B244">
        <v>53.85</v>
      </c>
      <c r="C244" s="2">
        <f t="shared" si="3"/>
        <v>-7.4005888181712847E-3</v>
      </c>
    </row>
    <row r="245" spans="1:3" x14ac:dyDescent="0.2">
      <c r="A245" s="1">
        <v>45720</v>
      </c>
      <c r="B245">
        <v>54.25</v>
      </c>
      <c r="C245" s="2">
        <f t="shared" si="3"/>
        <v>-1.2820688429061434E-2</v>
      </c>
    </row>
    <row r="246" spans="1:3" x14ac:dyDescent="0.2">
      <c r="A246" s="1">
        <v>45719</v>
      </c>
      <c r="B246">
        <v>54.95</v>
      </c>
      <c r="C246" s="2">
        <f t="shared" si="3"/>
        <v>1.189945390974064E-2</v>
      </c>
    </row>
    <row r="247" spans="1:3" x14ac:dyDescent="0.2">
      <c r="A247" s="1">
        <v>45716</v>
      </c>
      <c r="B247">
        <v>54.3</v>
      </c>
      <c r="C247" s="2">
        <f t="shared" si="3"/>
        <v>-3.6764747293086368E-3</v>
      </c>
    </row>
    <row r="248" spans="1:3" x14ac:dyDescent="0.2">
      <c r="A248" s="1">
        <v>45715</v>
      </c>
      <c r="B248">
        <v>54.5</v>
      </c>
      <c r="C248" s="2">
        <f t="shared" si="3"/>
        <v>6.4427282221987117E-3</v>
      </c>
    </row>
    <row r="249" spans="1:3" x14ac:dyDescent="0.2">
      <c r="A249" s="1">
        <v>45714</v>
      </c>
      <c r="B249">
        <v>54.15</v>
      </c>
      <c r="C249" s="2">
        <f t="shared" si="3"/>
        <v>8.3449719321804679E-3</v>
      </c>
    </row>
    <row r="250" spans="1:3" x14ac:dyDescent="0.2">
      <c r="A250" s="1">
        <v>45713</v>
      </c>
      <c r="B250">
        <v>53.7</v>
      </c>
      <c r="C250" s="2">
        <f t="shared" si="3"/>
        <v>-9.2679069307815085E-3</v>
      </c>
    </row>
    <row r="251" spans="1:3" x14ac:dyDescent="0.2">
      <c r="A251" s="1">
        <v>45712</v>
      </c>
      <c r="B251">
        <v>54.2</v>
      </c>
      <c r="C251" s="2">
        <f t="shared" si="3"/>
        <v>1.8467225931647112E-3</v>
      </c>
    </row>
    <row r="252" spans="1:3" x14ac:dyDescent="0.2">
      <c r="A252" s="1">
        <v>45709</v>
      </c>
      <c r="B252">
        <v>54.1</v>
      </c>
      <c r="C252" s="2">
        <f t="shared" si="3"/>
        <v>-1.3768000868803421E-2</v>
      </c>
    </row>
    <row r="253" spans="1:3" x14ac:dyDescent="0.2">
      <c r="A253" s="1">
        <v>45708</v>
      </c>
      <c r="B253">
        <v>54.85</v>
      </c>
      <c r="C253" s="2">
        <f t="shared" si="3"/>
        <v>-1.8067338793970475E-2</v>
      </c>
    </row>
    <row r="254" spans="1:3" x14ac:dyDescent="0.2">
      <c r="A254" s="1">
        <v>45707</v>
      </c>
      <c r="B254">
        <v>55.85</v>
      </c>
      <c r="C254" s="2">
        <f t="shared" si="3"/>
        <v>-7.0006979606193898E-2</v>
      </c>
    </row>
    <row r="255" spans="1:3" x14ac:dyDescent="0.2">
      <c r="A255" s="1">
        <v>45706</v>
      </c>
      <c r="B255">
        <v>59.9</v>
      </c>
      <c r="C255" s="2">
        <f t="shared" si="3"/>
        <v>2.5073143097835457E-3</v>
      </c>
    </row>
    <row r="256" spans="1:3" x14ac:dyDescent="0.2">
      <c r="A256" s="1">
        <v>45705</v>
      </c>
      <c r="B256">
        <v>59.75</v>
      </c>
      <c r="C256" s="2">
        <f t="shared" si="3"/>
        <v>2.5136167403158995E-3</v>
      </c>
    </row>
    <row r="257" spans="1:3" x14ac:dyDescent="0.2">
      <c r="A257" s="1">
        <v>45702</v>
      </c>
      <c r="B257">
        <v>59.6</v>
      </c>
      <c r="C257" s="2">
        <f t="shared" si="3"/>
        <v>-2.2398281855976455E-2</v>
      </c>
    </row>
    <row r="258" spans="1:3" x14ac:dyDescent="0.2">
      <c r="A258" s="1">
        <v>45701</v>
      </c>
      <c r="B258">
        <v>60.95</v>
      </c>
      <c r="C258" s="2">
        <f t="shared" si="3"/>
        <v>3.1669313283909303E-2</v>
      </c>
    </row>
    <row r="259" spans="1:3" x14ac:dyDescent="0.2">
      <c r="A259" s="1">
        <v>45700</v>
      </c>
      <c r="B259">
        <v>59.05</v>
      </c>
      <c r="C259" s="2">
        <f t="shared" ref="C259:C322" si="4">+LN(B259/B260)</f>
        <v>8.5034525996448892E-3</v>
      </c>
    </row>
    <row r="260" spans="1:3" x14ac:dyDescent="0.2">
      <c r="A260" s="1">
        <v>45699</v>
      </c>
      <c r="B260">
        <v>58.55</v>
      </c>
      <c r="C260" s="2">
        <f t="shared" si="4"/>
        <v>8.5433580591553592E-4</v>
      </c>
    </row>
    <row r="261" spans="1:3" x14ac:dyDescent="0.2">
      <c r="A261" s="1">
        <v>45698</v>
      </c>
      <c r="B261">
        <v>58.5</v>
      </c>
      <c r="C261" s="2">
        <f t="shared" si="4"/>
        <v>-1.7079423451561474E-3</v>
      </c>
    </row>
    <row r="262" spans="1:3" x14ac:dyDescent="0.2">
      <c r="A262" s="1">
        <v>45695</v>
      </c>
      <c r="B262">
        <v>58.6</v>
      </c>
      <c r="C262" s="2">
        <f t="shared" si="4"/>
        <v>-1.7759451960958177E-2</v>
      </c>
    </row>
    <row r="263" spans="1:3" x14ac:dyDescent="0.2">
      <c r="A263" s="1">
        <v>45694</v>
      </c>
      <c r="B263">
        <v>59.65</v>
      </c>
      <c r="C263" s="2">
        <f t="shared" si="4"/>
        <v>3.3585254071342241E-3</v>
      </c>
    </row>
    <row r="264" spans="1:3" x14ac:dyDescent="0.2">
      <c r="A264" s="1">
        <v>45693</v>
      </c>
      <c r="B264">
        <v>59.45</v>
      </c>
      <c r="C264" s="2">
        <f t="shared" si="4"/>
        <v>5.9046987247383231E-3</v>
      </c>
    </row>
    <row r="265" spans="1:3" x14ac:dyDescent="0.2">
      <c r="A265" s="1">
        <v>45692</v>
      </c>
      <c r="B265">
        <v>59.1</v>
      </c>
      <c r="C265" s="2">
        <f t="shared" si="4"/>
        <v>-2.5348556031880663E-3</v>
      </c>
    </row>
    <row r="266" spans="1:3" x14ac:dyDescent="0.2">
      <c r="A266" s="1">
        <v>45691</v>
      </c>
      <c r="B266">
        <v>59.25</v>
      </c>
      <c r="C266" s="2">
        <f t="shared" si="4"/>
        <v>8.4746269909722356E-3</v>
      </c>
    </row>
    <row r="267" spans="1:3" x14ac:dyDescent="0.2">
      <c r="A267" s="1">
        <v>45688</v>
      </c>
      <c r="B267">
        <v>58.75</v>
      </c>
      <c r="C267" s="2">
        <f t="shared" si="4"/>
        <v>-4.2462908814510968E-3</v>
      </c>
    </row>
    <row r="268" spans="1:3" x14ac:dyDescent="0.2">
      <c r="A268" s="1">
        <v>45687</v>
      </c>
      <c r="B268">
        <v>59</v>
      </c>
      <c r="C268" s="2">
        <f t="shared" si="4"/>
        <v>1.4511564941046141E-2</v>
      </c>
    </row>
    <row r="269" spans="1:3" x14ac:dyDescent="0.2">
      <c r="A269" s="1">
        <v>45686</v>
      </c>
      <c r="B269">
        <v>58.15</v>
      </c>
      <c r="C269" s="2">
        <f t="shared" si="4"/>
        <v>1.1240931161368742E-2</v>
      </c>
    </row>
    <row r="270" spans="1:3" x14ac:dyDescent="0.2">
      <c r="A270" s="1">
        <v>45685</v>
      </c>
      <c r="B270">
        <v>57.5</v>
      </c>
      <c r="C270" s="2">
        <f t="shared" si="4"/>
        <v>1.2248622076199239E-2</v>
      </c>
    </row>
    <row r="271" spans="1:3" x14ac:dyDescent="0.2">
      <c r="A271" s="1">
        <v>45684</v>
      </c>
      <c r="B271">
        <v>56.8</v>
      </c>
      <c r="C271" s="2">
        <f t="shared" si="4"/>
        <v>1.4184634991956381E-2</v>
      </c>
    </row>
    <row r="272" spans="1:3" x14ac:dyDescent="0.2">
      <c r="A272" s="1">
        <v>45681</v>
      </c>
      <c r="B272">
        <v>56</v>
      </c>
      <c r="C272" s="2">
        <f t="shared" si="4"/>
        <v>3.5778213478841235E-3</v>
      </c>
    </row>
    <row r="273" spans="1:3" x14ac:dyDescent="0.2">
      <c r="A273" s="1">
        <v>45680</v>
      </c>
      <c r="B273">
        <v>55.8</v>
      </c>
      <c r="C273" s="2">
        <f t="shared" si="4"/>
        <v>8.9645904703698385E-4</v>
      </c>
    </row>
    <row r="274" spans="1:3" x14ac:dyDescent="0.2">
      <c r="A274" s="1">
        <v>45679</v>
      </c>
      <c r="B274">
        <v>55.75</v>
      </c>
      <c r="C274" s="2">
        <f t="shared" si="4"/>
        <v>1.0820664640716621E-2</v>
      </c>
    </row>
    <row r="275" spans="1:3" x14ac:dyDescent="0.2">
      <c r="A275" s="1">
        <v>45678</v>
      </c>
      <c r="B275">
        <v>55.15</v>
      </c>
      <c r="C275" s="2">
        <f t="shared" si="4"/>
        <v>1.0022862948652084E-2</v>
      </c>
    </row>
    <row r="276" spans="1:3" x14ac:dyDescent="0.2">
      <c r="A276" s="1">
        <v>45677</v>
      </c>
      <c r="B276">
        <v>54.6</v>
      </c>
      <c r="C276" s="2">
        <f t="shared" si="4"/>
        <v>-5.4794657646254838E-3</v>
      </c>
    </row>
    <row r="277" spans="1:3" x14ac:dyDescent="0.2">
      <c r="A277" s="1">
        <v>45674</v>
      </c>
      <c r="B277">
        <v>54.9</v>
      </c>
      <c r="C277" s="2">
        <f t="shared" si="4"/>
        <v>6.395636236405244E-3</v>
      </c>
    </row>
    <row r="278" spans="1:3" x14ac:dyDescent="0.2">
      <c r="A278" s="1">
        <v>45673</v>
      </c>
      <c r="B278">
        <v>54.55</v>
      </c>
      <c r="C278" s="2">
        <f t="shared" si="4"/>
        <v>6.4368038334792679E-3</v>
      </c>
    </row>
    <row r="279" spans="1:3" x14ac:dyDescent="0.2">
      <c r="A279" s="1">
        <v>45672</v>
      </c>
      <c r="B279">
        <v>54.2</v>
      </c>
      <c r="C279" s="2">
        <f t="shared" si="4"/>
        <v>2.9014669865616013E-2</v>
      </c>
    </row>
    <row r="280" spans="1:3" x14ac:dyDescent="0.2">
      <c r="A280" s="1">
        <v>45671</v>
      </c>
      <c r="B280">
        <v>52.65</v>
      </c>
      <c r="C280" s="2">
        <f t="shared" si="4"/>
        <v>9.5011883632025666E-4</v>
      </c>
    </row>
    <row r="281" spans="1:3" x14ac:dyDescent="0.2">
      <c r="A281" s="1">
        <v>45670</v>
      </c>
      <c r="B281">
        <v>52.6</v>
      </c>
      <c r="C281" s="2">
        <f t="shared" si="4"/>
        <v>-1.4157858004098217E-2</v>
      </c>
    </row>
    <row r="282" spans="1:3" x14ac:dyDescent="0.2">
      <c r="A282" s="1">
        <v>45667</v>
      </c>
      <c r="B282">
        <v>53.35</v>
      </c>
      <c r="C282" s="2">
        <f t="shared" si="4"/>
        <v>-1.2110068816511931E-2</v>
      </c>
    </row>
    <row r="283" spans="1:3" x14ac:dyDescent="0.2">
      <c r="A283" s="1">
        <v>45666</v>
      </c>
      <c r="B283">
        <v>54</v>
      </c>
      <c r="C283" s="2">
        <f t="shared" si="4"/>
        <v>1.2110068816511948E-2</v>
      </c>
    </row>
    <row r="284" spans="1:3" x14ac:dyDescent="0.2">
      <c r="A284" s="1">
        <v>45665</v>
      </c>
      <c r="B284">
        <v>53.35</v>
      </c>
      <c r="C284" s="2">
        <f t="shared" si="4"/>
        <v>1.4157858004098179E-2</v>
      </c>
    </row>
    <row r="285" spans="1:3" x14ac:dyDescent="0.2">
      <c r="A285" s="1">
        <v>45664</v>
      </c>
      <c r="B285">
        <v>52.6</v>
      </c>
      <c r="C285" s="2">
        <f t="shared" si="4"/>
        <v>1.5325970478226991E-2</v>
      </c>
    </row>
    <row r="286" spans="1:3" x14ac:dyDescent="0.2">
      <c r="A286" s="1">
        <v>45663</v>
      </c>
      <c r="B286">
        <v>51.8</v>
      </c>
      <c r="C286" s="2">
        <f t="shared" si="4"/>
        <v>8.7252128908700318E-3</v>
      </c>
    </row>
    <row r="287" spans="1:3" x14ac:dyDescent="0.2">
      <c r="A287" s="1">
        <v>45660</v>
      </c>
      <c r="B287">
        <v>51.35</v>
      </c>
      <c r="C287" s="2">
        <f t="shared" si="4"/>
        <v>-7.7594957709111855E-3</v>
      </c>
    </row>
    <row r="288" spans="1:3" x14ac:dyDescent="0.2">
      <c r="A288" s="1">
        <v>45659</v>
      </c>
      <c r="B288">
        <v>51.75</v>
      </c>
      <c r="C288" s="2">
        <f t="shared" si="4"/>
        <v>2.2472855852058576E-2</v>
      </c>
    </row>
    <row r="289" spans="1:3" x14ac:dyDescent="0.2">
      <c r="A289" s="1">
        <v>45656</v>
      </c>
      <c r="B289">
        <v>50.6</v>
      </c>
      <c r="C289" s="2">
        <f t="shared" si="4"/>
        <v>-5.9113472630571264E-3</v>
      </c>
    </row>
    <row r="290" spans="1:3" x14ac:dyDescent="0.2">
      <c r="A290" s="1">
        <v>45653</v>
      </c>
      <c r="B290">
        <v>50.9</v>
      </c>
      <c r="C290" s="2">
        <f t="shared" si="4"/>
        <v>7.8895872751629237E-3</v>
      </c>
    </row>
    <row r="291" spans="1:3" x14ac:dyDescent="0.2">
      <c r="A291" s="1">
        <v>45649</v>
      </c>
      <c r="B291">
        <v>50.5</v>
      </c>
      <c r="C291" s="2">
        <f t="shared" si="4"/>
        <v>1.9821612039912025E-3</v>
      </c>
    </row>
    <row r="292" spans="1:3" x14ac:dyDescent="0.2">
      <c r="A292" s="1">
        <v>45646</v>
      </c>
      <c r="B292">
        <v>50.4</v>
      </c>
      <c r="C292" s="2">
        <f t="shared" si="4"/>
        <v>9.9255591275164293E-4</v>
      </c>
    </row>
    <row r="293" spans="1:3" x14ac:dyDescent="0.2">
      <c r="A293" s="1">
        <v>45645</v>
      </c>
      <c r="B293">
        <v>50.35</v>
      </c>
      <c r="C293" s="2">
        <f t="shared" si="4"/>
        <v>-7.9129987573253804E-3</v>
      </c>
    </row>
    <row r="294" spans="1:3" x14ac:dyDescent="0.2">
      <c r="A294" s="1">
        <v>45644</v>
      </c>
      <c r="B294">
        <v>50.75</v>
      </c>
      <c r="C294" s="2">
        <f t="shared" si="4"/>
        <v>2.9600416284767256E-3</v>
      </c>
    </row>
    <row r="295" spans="1:3" x14ac:dyDescent="0.2">
      <c r="A295" s="1">
        <v>45643</v>
      </c>
      <c r="B295">
        <v>50.6</v>
      </c>
      <c r="C295" s="2">
        <f t="shared" si="4"/>
        <v>-4.9285462011490928E-3</v>
      </c>
    </row>
    <row r="296" spans="1:3" x14ac:dyDescent="0.2">
      <c r="A296" s="1">
        <v>45642</v>
      </c>
      <c r="B296">
        <v>50.85</v>
      </c>
      <c r="C296" s="2">
        <f t="shared" si="4"/>
        <v>3.9408917998766269E-3</v>
      </c>
    </row>
    <row r="297" spans="1:3" x14ac:dyDescent="0.2">
      <c r="A297" s="1">
        <v>45639</v>
      </c>
      <c r="B297">
        <v>50.65</v>
      </c>
      <c r="C297" s="2">
        <f t="shared" si="4"/>
        <v>-1.0800301350769826E-2</v>
      </c>
    </row>
    <row r="298" spans="1:3" x14ac:dyDescent="0.2">
      <c r="A298" s="1">
        <v>45638</v>
      </c>
      <c r="B298">
        <v>51.2</v>
      </c>
      <c r="C298" s="2">
        <f t="shared" si="4"/>
        <v>1.9550348358032951E-3</v>
      </c>
    </row>
    <row r="299" spans="1:3" x14ac:dyDescent="0.2">
      <c r="A299" s="1">
        <v>45637</v>
      </c>
      <c r="B299">
        <v>51.1</v>
      </c>
      <c r="C299" s="2">
        <f t="shared" si="4"/>
        <v>9.7895259898419856E-4</v>
      </c>
    </row>
    <row r="300" spans="1:3" x14ac:dyDescent="0.2">
      <c r="A300" s="1">
        <v>45636</v>
      </c>
      <c r="B300">
        <v>51.05</v>
      </c>
      <c r="C300" s="2">
        <f t="shared" si="4"/>
        <v>-1.9569477869609241E-3</v>
      </c>
    </row>
    <row r="301" spans="1:3" x14ac:dyDescent="0.2">
      <c r="A301" s="1">
        <v>45635</v>
      </c>
      <c r="B301">
        <v>51.15</v>
      </c>
      <c r="C301" s="2">
        <f t="shared" si="4"/>
        <v>-1.5519225147600967E-2</v>
      </c>
    </row>
    <row r="302" spans="1:3" x14ac:dyDescent="0.2">
      <c r="A302" s="1">
        <v>45632</v>
      </c>
      <c r="B302">
        <v>51.95</v>
      </c>
      <c r="C302" s="2">
        <f t="shared" si="4"/>
        <v>1.0643545084117158E-2</v>
      </c>
    </row>
    <row r="303" spans="1:3" x14ac:dyDescent="0.2">
      <c r="A303" s="1">
        <v>45631</v>
      </c>
      <c r="B303">
        <v>51.4</v>
      </c>
      <c r="C303" s="2">
        <f t="shared" si="4"/>
        <v>-6.7862596843590167E-3</v>
      </c>
    </row>
    <row r="304" spans="1:3" x14ac:dyDescent="0.2">
      <c r="A304" s="1">
        <v>45630</v>
      </c>
      <c r="B304">
        <v>51.75</v>
      </c>
      <c r="C304" s="2">
        <f t="shared" si="4"/>
        <v>0</v>
      </c>
    </row>
    <row r="305" spans="1:3" x14ac:dyDescent="0.2">
      <c r="A305" s="1">
        <v>45629</v>
      </c>
      <c r="B305">
        <v>51.75</v>
      </c>
      <c r="C305" s="2">
        <f t="shared" si="4"/>
        <v>1.1661939747842957E-2</v>
      </c>
    </row>
    <row r="306" spans="1:3" x14ac:dyDescent="0.2">
      <c r="A306" s="1">
        <v>45628</v>
      </c>
      <c r="B306">
        <v>51.15</v>
      </c>
      <c r="C306" s="2">
        <f t="shared" si="4"/>
        <v>-7.7897180653333665E-3</v>
      </c>
    </row>
    <row r="307" spans="1:3" x14ac:dyDescent="0.2">
      <c r="A307" s="1">
        <v>45625</v>
      </c>
      <c r="B307">
        <v>51.55</v>
      </c>
      <c r="C307" s="2">
        <f t="shared" si="4"/>
        <v>3.8872740884016476E-3</v>
      </c>
    </row>
    <row r="308" spans="1:3" x14ac:dyDescent="0.2">
      <c r="A308" s="1">
        <v>45624</v>
      </c>
      <c r="B308">
        <v>51.35</v>
      </c>
      <c r="C308" s="2">
        <f t="shared" si="4"/>
        <v>-6.7928451398161947E-3</v>
      </c>
    </row>
    <row r="309" spans="1:3" x14ac:dyDescent="0.2">
      <c r="A309" s="1">
        <v>45623</v>
      </c>
      <c r="B309">
        <v>51.7</v>
      </c>
      <c r="C309" s="2">
        <f t="shared" si="4"/>
        <v>-9.6665063109498996E-4</v>
      </c>
    </row>
    <row r="310" spans="1:3" x14ac:dyDescent="0.2">
      <c r="A310" s="1">
        <v>45622</v>
      </c>
      <c r="B310">
        <v>51.75</v>
      </c>
      <c r="C310" s="2">
        <f t="shared" si="4"/>
        <v>-9.6154586994419804E-3</v>
      </c>
    </row>
    <row r="311" spans="1:3" x14ac:dyDescent="0.2">
      <c r="A311" s="1">
        <v>45621</v>
      </c>
      <c r="B311">
        <v>52.25</v>
      </c>
      <c r="C311" s="2">
        <f t="shared" si="4"/>
        <v>2.8749420855991199E-3</v>
      </c>
    </row>
    <row r="312" spans="1:3" x14ac:dyDescent="0.2">
      <c r="A312" s="1">
        <v>45618</v>
      </c>
      <c r="B312">
        <v>52.1</v>
      </c>
      <c r="C312" s="2">
        <f t="shared" si="4"/>
        <v>2.822571806462881E-2</v>
      </c>
    </row>
    <row r="313" spans="1:3" x14ac:dyDescent="0.2">
      <c r="A313" s="1">
        <v>45617</v>
      </c>
      <c r="B313">
        <v>50.65</v>
      </c>
      <c r="C313" s="2">
        <f t="shared" si="4"/>
        <v>3.9564838950742857E-3</v>
      </c>
    </row>
    <row r="314" spans="1:3" x14ac:dyDescent="0.2">
      <c r="A314" s="1">
        <v>45616</v>
      </c>
      <c r="B314">
        <v>50.45</v>
      </c>
      <c r="C314" s="2">
        <f t="shared" si="4"/>
        <v>1.0961744042145158E-2</v>
      </c>
    </row>
    <row r="315" spans="1:3" x14ac:dyDescent="0.2">
      <c r="A315" s="1">
        <v>45615</v>
      </c>
      <c r="B315">
        <v>49.9</v>
      </c>
      <c r="C315" s="2">
        <f t="shared" si="4"/>
        <v>-2.0020026706730793E-3</v>
      </c>
    </row>
    <row r="316" spans="1:3" x14ac:dyDescent="0.2">
      <c r="A316" s="1">
        <v>45614</v>
      </c>
      <c r="B316">
        <v>50</v>
      </c>
      <c r="C316" s="2">
        <f t="shared" si="4"/>
        <v>-2.3716526617316044E-2</v>
      </c>
    </row>
    <row r="317" spans="1:3" x14ac:dyDescent="0.2">
      <c r="A317" s="1">
        <v>45611</v>
      </c>
      <c r="B317">
        <v>51.2</v>
      </c>
      <c r="C317" s="2">
        <f t="shared" si="4"/>
        <v>-1.6465263015515704E-2</v>
      </c>
    </row>
    <row r="318" spans="1:3" x14ac:dyDescent="0.2">
      <c r="A318" s="1">
        <v>45610</v>
      </c>
      <c r="B318">
        <v>52.05</v>
      </c>
      <c r="C318" s="2">
        <f t="shared" si="4"/>
        <v>2.8860048891348514E-3</v>
      </c>
    </row>
    <row r="319" spans="1:3" x14ac:dyDescent="0.2">
      <c r="A319" s="1">
        <v>45609</v>
      </c>
      <c r="B319">
        <v>51.9</v>
      </c>
      <c r="C319" s="2">
        <f t="shared" si="4"/>
        <v>1.6513245561168351E-2</v>
      </c>
    </row>
    <row r="320" spans="1:3" x14ac:dyDescent="0.2">
      <c r="A320" s="1">
        <v>45608</v>
      </c>
      <c r="B320">
        <v>51.05</v>
      </c>
      <c r="C320" s="2">
        <f t="shared" si="4"/>
        <v>-2.5146392705871438E-2</v>
      </c>
    </row>
    <row r="321" spans="1:3" x14ac:dyDescent="0.2">
      <c r="A321" s="1">
        <v>45607</v>
      </c>
      <c r="B321">
        <v>52.35</v>
      </c>
      <c r="C321" s="2">
        <f t="shared" si="4"/>
        <v>1.637012964685548E-2</v>
      </c>
    </row>
    <row r="322" spans="1:3" x14ac:dyDescent="0.2">
      <c r="A322" s="1">
        <v>45604</v>
      </c>
      <c r="B322">
        <v>51.5</v>
      </c>
      <c r="C322" s="2">
        <f t="shared" si="4"/>
        <v>-1.0622987391287354E-2</v>
      </c>
    </row>
    <row r="323" spans="1:3" x14ac:dyDescent="0.2">
      <c r="A323" s="1">
        <v>45603</v>
      </c>
      <c r="B323">
        <v>52.05</v>
      </c>
      <c r="C323" s="2">
        <f t="shared" ref="C323:C386" si="5">+LN(B323/B324)</f>
        <v>5.780362915499329E-3</v>
      </c>
    </row>
    <row r="324" spans="1:3" x14ac:dyDescent="0.2">
      <c r="A324" s="1">
        <v>45602</v>
      </c>
      <c r="B324">
        <v>51.75</v>
      </c>
      <c r="C324" s="2">
        <f t="shared" si="5"/>
        <v>0</v>
      </c>
    </row>
    <row r="325" spans="1:3" x14ac:dyDescent="0.2">
      <c r="A325" s="1">
        <v>45601</v>
      </c>
      <c r="B325">
        <v>51.75</v>
      </c>
      <c r="C325" s="2">
        <f t="shared" si="5"/>
        <v>-2.8943580263645261E-3</v>
      </c>
    </row>
    <row r="326" spans="1:3" x14ac:dyDescent="0.2">
      <c r="A326" s="1">
        <v>45600</v>
      </c>
      <c r="B326">
        <v>51.9</v>
      </c>
      <c r="C326" s="2">
        <f t="shared" si="5"/>
        <v>-1.434744840814154E-2</v>
      </c>
    </row>
    <row r="327" spans="1:3" x14ac:dyDescent="0.2">
      <c r="A327" s="1">
        <v>45597</v>
      </c>
      <c r="B327">
        <v>52.65</v>
      </c>
      <c r="C327" s="2">
        <f t="shared" si="5"/>
        <v>1.0501289820663234E-2</v>
      </c>
    </row>
    <row r="328" spans="1:3" x14ac:dyDescent="0.2">
      <c r="A328" s="1">
        <v>45596</v>
      </c>
      <c r="B328">
        <v>52.1</v>
      </c>
      <c r="C328" s="2">
        <f t="shared" si="5"/>
        <v>-1.901197948857189E-2</v>
      </c>
    </row>
    <row r="329" spans="1:3" x14ac:dyDescent="0.2">
      <c r="A329" s="1">
        <v>45595</v>
      </c>
      <c r="B329">
        <v>53.1</v>
      </c>
      <c r="C329" s="2">
        <f t="shared" si="5"/>
        <v>-1.4025475354504434E-2</v>
      </c>
    </row>
    <row r="330" spans="1:3" x14ac:dyDescent="0.2">
      <c r="A330" s="1">
        <v>45594</v>
      </c>
      <c r="B330">
        <v>53.85</v>
      </c>
      <c r="C330" s="2">
        <f t="shared" si="5"/>
        <v>-4.6317822500382142E-3</v>
      </c>
    </row>
    <row r="331" spans="1:3" x14ac:dyDescent="0.2">
      <c r="A331" s="1">
        <v>45593</v>
      </c>
      <c r="B331">
        <v>54.1</v>
      </c>
      <c r="C331" s="2">
        <f t="shared" si="5"/>
        <v>6.4905188446637051E-3</v>
      </c>
    </row>
    <row r="332" spans="1:3" x14ac:dyDescent="0.2">
      <c r="A332" s="1">
        <v>45590</v>
      </c>
      <c r="B332">
        <v>53.75</v>
      </c>
      <c r="C332" s="2">
        <f t="shared" si="5"/>
        <v>-9.298001599665276E-4</v>
      </c>
    </row>
    <row r="333" spans="1:3" x14ac:dyDescent="0.2">
      <c r="A333" s="1">
        <v>45589</v>
      </c>
      <c r="B333">
        <v>53.8</v>
      </c>
      <c r="C333" s="2">
        <f t="shared" si="5"/>
        <v>1.8604656529196708E-3</v>
      </c>
    </row>
    <row r="334" spans="1:3" x14ac:dyDescent="0.2">
      <c r="A334" s="1">
        <v>45588</v>
      </c>
      <c r="B334">
        <v>53.7</v>
      </c>
      <c r="C334" s="2">
        <f t="shared" si="5"/>
        <v>6.5390237670566479E-3</v>
      </c>
    </row>
    <row r="335" spans="1:3" x14ac:dyDescent="0.2">
      <c r="A335" s="1">
        <v>45587</v>
      </c>
      <c r="B335">
        <v>53.35</v>
      </c>
      <c r="C335" s="2">
        <f t="shared" si="5"/>
        <v>-7.4696892600098286E-3</v>
      </c>
    </row>
    <row r="336" spans="1:3" x14ac:dyDescent="0.2">
      <c r="A336" s="1">
        <v>45586</v>
      </c>
      <c r="B336">
        <v>53.75</v>
      </c>
      <c r="C336" s="2">
        <f t="shared" si="5"/>
        <v>-8.3372414378284007E-3</v>
      </c>
    </row>
    <row r="337" spans="1:3" x14ac:dyDescent="0.2">
      <c r="A337" s="1">
        <v>45583</v>
      </c>
      <c r="B337">
        <v>54.2</v>
      </c>
      <c r="C337" s="2">
        <f t="shared" si="5"/>
        <v>-5.5197932235978098E-3</v>
      </c>
    </row>
    <row r="338" spans="1:3" x14ac:dyDescent="0.2">
      <c r="A338" s="1">
        <v>45582</v>
      </c>
      <c r="B338">
        <v>54.5</v>
      </c>
      <c r="C338" s="2">
        <f t="shared" si="5"/>
        <v>1.7584904775440773E-2</v>
      </c>
    </row>
    <row r="339" spans="1:3" x14ac:dyDescent="0.2">
      <c r="A339" s="1">
        <v>45581</v>
      </c>
      <c r="B339">
        <v>53.55</v>
      </c>
      <c r="C339" s="2">
        <f t="shared" si="5"/>
        <v>2.8050509276086816E-3</v>
      </c>
    </row>
    <row r="340" spans="1:3" x14ac:dyDescent="0.2">
      <c r="A340" s="1">
        <v>45580</v>
      </c>
      <c r="B340">
        <v>53.4</v>
      </c>
      <c r="C340" s="2">
        <f t="shared" si="5"/>
        <v>-1.3023439886286736E-2</v>
      </c>
    </row>
    <row r="341" spans="1:3" x14ac:dyDescent="0.2">
      <c r="A341" s="1">
        <v>45579</v>
      </c>
      <c r="B341">
        <v>54.1</v>
      </c>
      <c r="C341" s="2">
        <f t="shared" si="5"/>
        <v>2.9069088529475765E-2</v>
      </c>
    </row>
    <row r="342" spans="1:3" x14ac:dyDescent="0.2">
      <c r="A342" s="1">
        <v>45576</v>
      </c>
      <c r="B342">
        <v>52.55</v>
      </c>
      <c r="C342" s="2">
        <f t="shared" si="5"/>
        <v>8.6001485636388059E-3</v>
      </c>
    </row>
    <row r="343" spans="1:3" x14ac:dyDescent="0.2">
      <c r="A343" s="1">
        <v>45575</v>
      </c>
      <c r="B343">
        <v>52.1</v>
      </c>
      <c r="C343" s="2">
        <f t="shared" si="5"/>
        <v>-1.2398823596854659E-2</v>
      </c>
    </row>
    <row r="344" spans="1:3" x14ac:dyDescent="0.2">
      <c r="A344" s="1">
        <v>45574</v>
      </c>
      <c r="B344">
        <v>52.75</v>
      </c>
      <c r="C344" s="2">
        <f t="shared" si="5"/>
        <v>1.2398823596854656E-2</v>
      </c>
    </row>
    <row r="345" spans="1:3" x14ac:dyDescent="0.2">
      <c r="A345" s="1">
        <v>45573</v>
      </c>
      <c r="B345">
        <v>52.1</v>
      </c>
      <c r="C345" s="2">
        <f t="shared" si="5"/>
        <v>-1.7126964792800597E-2</v>
      </c>
    </row>
    <row r="346" spans="1:3" x14ac:dyDescent="0.2">
      <c r="A346" s="1">
        <v>45572</v>
      </c>
      <c r="B346">
        <v>53</v>
      </c>
      <c r="C346" s="2">
        <f t="shared" si="5"/>
        <v>2.1936978876585536E-2</v>
      </c>
    </row>
    <row r="347" spans="1:3" x14ac:dyDescent="0.2">
      <c r="A347" s="1">
        <v>45569</v>
      </c>
      <c r="B347">
        <v>51.85</v>
      </c>
      <c r="C347" s="2">
        <f t="shared" si="5"/>
        <v>4.638226510089169E-2</v>
      </c>
    </row>
    <row r="348" spans="1:3" x14ac:dyDescent="0.2">
      <c r="A348" s="1">
        <v>45568</v>
      </c>
      <c r="B348">
        <v>49.5</v>
      </c>
      <c r="C348" s="2">
        <f t="shared" si="5"/>
        <v>-8.8496152769824993E-3</v>
      </c>
    </row>
    <row r="349" spans="1:3" x14ac:dyDescent="0.2">
      <c r="A349" s="1">
        <v>45567</v>
      </c>
      <c r="B349">
        <v>49.94</v>
      </c>
      <c r="C349" s="2">
        <f t="shared" si="5"/>
        <v>-2.2962212358031656E-2</v>
      </c>
    </row>
    <row r="350" spans="1:3" x14ac:dyDescent="0.2">
      <c r="A350" s="1">
        <v>45566</v>
      </c>
      <c r="B350">
        <v>51.1</v>
      </c>
      <c r="C350" s="2">
        <f t="shared" si="5"/>
        <v>5.8881426252225316E-3</v>
      </c>
    </row>
    <row r="351" spans="1:3" x14ac:dyDescent="0.2">
      <c r="A351" s="1">
        <v>45565</v>
      </c>
      <c r="B351">
        <v>50.8</v>
      </c>
      <c r="C351" s="2">
        <f t="shared" si="5"/>
        <v>9.8473666253933801E-4</v>
      </c>
    </row>
    <row r="352" spans="1:3" x14ac:dyDescent="0.2">
      <c r="A352" s="1">
        <v>45562</v>
      </c>
      <c r="B352">
        <v>50.75</v>
      </c>
      <c r="C352" s="2">
        <f t="shared" si="5"/>
        <v>9.8570732475912817E-4</v>
      </c>
    </row>
    <row r="353" spans="1:3" x14ac:dyDescent="0.2">
      <c r="A353" s="1">
        <v>45561</v>
      </c>
      <c r="B353">
        <v>50.7</v>
      </c>
      <c r="C353" s="2">
        <f t="shared" si="5"/>
        <v>1.0907396189192953E-2</v>
      </c>
    </row>
    <row r="354" spans="1:3" x14ac:dyDescent="0.2">
      <c r="A354" s="1">
        <v>45560</v>
      </c>
      <c r="B354">
        <v>50.15</v>
      </c>
      <c r="C354" s="2">
        <f t="shared" si="5"/>
        <v>7.0035303773373836E-3</v>
      </c>
    </row>
    <row r="355" spans="1:3" x14ac:dyDescent="0.2">
      <c r="A355" s="1">
        <v>45559</v>
      </c>
      <c r="B355">
        <v>49.8</v>
      </c>
      <c r="C355" s="2">
        <f t="shared" si="5"/>
        <v>-4.0152580342718341E-4</v>
      </c>
    </row>
    <row r="356" spans="1:3" x14ac:dyDescent="0.2">
      <c r="A356" s="1">
        <v>45558</v>
      </c>
      <c r="B356">
        <v>49.82</v>
      </c>
      <c r="C356" s="2">
        <f t="shared" si="5"/>
        <v>-2.4057750175927764E-3</v>
      </c>
    </row>
    <row r="357" spans="1:3" x14ac:dyDescent="0.2">
      <c r="A357" s="1">
        <v>45555</v>
      </c>
      <c r="B357">
        <v>49.94</v>
      </c>
      <c r="C357" s="2">
        <f t="shared" si="5"/>
        <v>-8.1763343129441675E-3</v>
      </c>
    </row>
    <row r="358" spans="1:3" x14ac:dyDescent="0.2">
      <c r="A358" s="1">
        <v>45554</v>
      </c>
      <c r="B358">
        <v>50.35</v>
      </c>
      <c r="C358" s="2">
        <f t="shared" si="5"/>
        <v>1.9880722253861152E-3</v>
      </c>
    </row>
    <row r="359" spans="1:3" x14ac:dyDescent="0.2">
      <c r="A359" s="1">
        <v>45553</v>
      </c>
      <c r="B359">
        <v>50.25</v>
      </c>
      <c r="C359" s="2">
        <f t="shared" si="5"/>
        <v>-1.3834212729548746E-2</v>
      </c>
    </row>
    <row r="360" spans="1:3" x14ac:dyDescent="0.2">
      <c r="A360" s="1">
        <v>45552</v>
      </c>
      <c r="B360">
        <v>50.95</v>
      </c>
      <c r="C360" s="2">
        <f t="shared" si="5"/>
        <v>7.881814202253595E-3</v>
      </c>
    </row>
    <row r="361" spans="1:3" x14ac:dyDescent="0.2">
      <c r="A361" s="1">
        <v>45551</v>
      </c>
      <c r="B361">
        <v>50.55</v>
      </c>
      <c r="C361" s="2">
        <f t="shared" si="5"/>
        <v>-5.9171770280886191E-3</v>
      </c>
    </row>
    <row r="362" spans="1:3" x14ac:dyDescent="0.2">
      <c r="A362" s="1">
        <v>45548</v>
      </c>
      <c r="B362">
        <v>50.85</v>
      </c>
      <c r="C362" s="2">
        <f t="shared" si="5"/>
        <v>-9.8280106190808884E-4</v>
      </c>
    </row>
    <row r="363" spans="1:3" x14ac:dyDescent="0.2">
      <c r="A363" s="1">
        <v>45547</v>
      </c>
      <c r="B363">
        <v>50.9</v>
      </c>
      <c r="C363" s="2">
        <f t="shared" si="5"/>
        <v>-9.8183611225681304E-4</v>
      </c>
    </row>
    <row r="364" spans="1:3" x14ac:dyDescent="0.2">
      <c r="A364" s="1">
        <v>45546</v>
      </c>
      <c r="B364">
        <v>50.95</v>
      </c>
      <c r="C364" s="2">
        <f t="shared" si="5"/>
        <v>-9.7657026113247888E-3</v>
      </c>
    </row>
    <row r="365" spans="1:3" x14ac:dyDescent="0.2">
      <c r="A365" s="1">
        <v>45545</v>
      </c>
      <c r="B365">
        <v>51.45</v>
      </c>
      <c r="C365" s="2">
        <f t="shared" si="5"/>
        <v>-7.744472395477711E-3</v>
      </c>
    </row>
    <row r="366" spans="1:3" x14ac:dyDescent="0.2">
      <c r="A366" s="1">
        <v>45544</v>
      </c>
      <c r="B366">
        <v>51.85</v>
      </c>
      <c r="C366" s="2">
        <f t="shared" si="5"/>
        <v>8.7167622144168812E-3</v>
      </c>
    </row>
    <row r="367" spans="1:3" x14ac:dyDescent="0.2">
      <c r="A367" s="1">
        <v>45541</v>
      </c>
      <c r="B367">
        <v>51.4</v>
      </c>
      <c r="C367" s="2">
        <f t="shared" si="5"/>
        <v>1.9474202843956288E-3</v>
      </c>
    </row>
    <row r="368" spans="1:3" x14ac:dyDescent="0.2">
      <c r="A368" s="1">
        <v>45540</v>
      </c>
      <c r="B368">
        <v>51.3</v>
      </c>
      <c r="C368" s="2">
        <f t="shared" si="5"/>
        <v>-1.4514042884254071E-2</v>
      </c>
    </row>
    <row r="369" spans="1:3" x14ac:dyDescent="0.2">
      <c r="A369" s="1">
        <v>45539</v>
      </c>
      <c r="B369">
        <v>52.05</v>
      </c>
      <c r="C369" s="2">
        <f t="shared" si="5"/>
        <v>-1.4306395651237858E-2</v>
      </c>
    </row>
    <row r="370" spans="1:3" x14ac:dyDescent="0.2">
      <c r="A370" s="1">
        <v>45538</v>
      </c>
      <c r="B370">
        <v>52.8</v>
      </c>
      <c r="C370" s="2">
        <f t="shared" si="5"/>
        <v>2.8449521322313448E-3</v>
      </c>
    </row>
    <row r="371" spans="1:3" x14ac:dyDescent="0.2">
      <c r="A371" s="1">
        <v>45537</v>
      </c>
      <c r="B371">
        <v>52.65</v>
      </c>
      <c r="C371" s="2">
        <f t="shared" si="5"/>
        <v>-6.6256749721373799E-3</v>
      </c>
    </row>
    <row r="372" spans="1:3" x14ac:dyDescent="0.2">
      <c r="A372" s="1">
        <v>45534</v>
      </c>
      <c r="B372">
        <v>53</v>
      </c>
      <c r="C372" s="2">
        <f t="shared" si="5"/>
        <v>8.5268162291617985E-3</v>
      </c>
    </row>
    <row r="373" spans="1:3" x14ac:dyDescent="0.2">
      <c r="A373" s="1">
        <v>45533</v>
      </c>
      <c r="B373">
        <v>52.55</v>
      </c>
      <c r="C373" s="2">
        <f t="shared" si="5"/>
        <v>-3.7986750332157839E-3</v>
      </c>
    </row>
    <row r="374" spans="1:3" x14ac:dyDescent="0.2">
      <c r="A374" s="1">
        <v>45532</v>
      </c>
      <c r="B374">
        <v>52.75</v>
      </c>
      <c r="C374" s="2">
        <f t="shared" si="5"/>
        <v>2.5925599895056578E-2</v>
      </c>
    </row>
    <row r="375" spans="1:3" x14ac:dyDescent="0.2">
      <c r="A375" s="1">
        <v>45531</v>
      </c>
      <c r="B375">
        <v>51.4</v>
      </c>
      <c r="C375" s="2">
        <f t="shared" si="5"/>
        <v>6.8326278504449358E-3</v>
      </c>
    </row>
    <row r="376" spans="1:3" x14ac:dyDescent="0.2">
      <c r="A376" s="1">
        <v>45530</v>
      </c>
      <c r="B376">
        <v>51.05</v>
      </c>
      <c r="C376" s="2">
        <f t="shared" si="5"/>
        <v>-1.0716127876842618E-2</v>
      </c>
    </row>
    <row r="377" spans="1:3" x14ac:dyDescent="0.2">
      <c r="A377" s="1">
        <v>45527</v>
      </c>
      <c r="B377">
        <v>51.6</v>
      </c>
      <c r="C377" s="2">
        <f t="shared" si="5"/>
        <v>3.8835000263976122E-3</v>
      </c>
    </row>
    <row r="378" spans="1:3" x14ac:dyDescent="0.2">
      <c r="A378" s="1">
        <v>45526</v>
      </c>
      <c r="B378">
        <v>51.4</v>
      </c>
      <c r="C378" s="2">
        <f t="shared" si="5"/>
        <v>-8.716762214416942E-3</v>
      </c>
    </row>
    <row r="379" spans="1:3" x14ac:dyDescent="0.2">
      <c r="A379" s="1">
        <v>45525</v>
      </c>
      <c r="B379">
        <v>51.85</v>
      </c>
      <c r="C379" s="2">
        <f t="shared" si="5"/>
        <v>2.3415703980844062E-2</v>
      </c>
    </row>
    <row r="380" spans="1:3" x14ac:dyDescent="0.2">
      <c r="A380" s="1">
        <v>45524</v>
      </c>
      <c r="B380">
        <v>50.65</v>
      </c>
      <c r="C380" s="2">
        <f t="shared" si="5"/>
        <v>4.9480556173694375E-3</v>
      </c>
    </row>
    <row r="381" spans="1:3" x14ac:dyDescent="0.2">
      <c r="A381" s="1">
        <v>45523</v>
      </c>
      <c r="B381">
        <v>50.4</v>
      </c>
      <c r="C381" s="2">
        <f t="shared" si="5"/>
        <v>-3.9604012160970167E-3</v>
      </c>
    </row>
    <row r="382" spans="1:3" x14ac:dyDescent="0.2">
      <c r="A382" s="1">
        <v>45520</v>
      </c>
      <c r="B382">
        <v>50.6</v>
      </c>
      <c r="C382" s="2">
        <f t="shared" si="5"/>
        <v>1.2728891036042892E-2</v>
      </c>
    </row>
    <row r="383" spans="1:3" x14ac:dyDescent="0.2">
      <c r="A383" s="1">
        <v>45518</v>
      </c>
      <c r="B383">
        <v>49.96</v>
      </c>
      <c r="C383" s="2">
        <f t="shared" si="5"/>
        <v>2.8061754233425491E-3</v>
      </c>
    </row>
    <row r="384" spans="1:3" x14ac:dyDescent="0.2">
      <c r="A384" s="1">
        <v>45517</v>
      </c>
      <c r="B384">
        <v>49.82</v>
      </c>
      <c r="C384" s="2">
        <f t="shared" si="5"/>
        <v>7.2522477407641296E-3</v>
      </c>
    </row>
    <row r="385" spans="1:3" x14ac:dyDescent="0.2">
      <c r="A385" s="1">
        <v>45516</v>
      </c>
      <c r="B385">
        <v>49.46</v>
      </c>
      <c r="C385" s="2">
        <f t="shared" si="5"/>
        <v>2.4291509920594373E-3</v>
      </c>
    </row>
    <row r="386" spans="1:3" x14ac:dyDescent="0.2">
      <c r="A386" s="1">
        <v>45513</v>
      </c>
      <c r="B386">
        <v>49.34</v>
      </c>
      <c r="C386" s="2">
        <f t="shared" si="5"/>
        <v>7.3230595771890325E-3</v>
      </c>
    </row>
    <row r="387" spans="1:3" x14ac:dyDescent="0.2">
      <c r="A387" s="1">
        <v>45512</v>
      </c>
      <c r="B387">
        <v>48.98</v>
      </c>
      <c r="C387" s="2">
        <f t="shared" ref="C387:C450" si="6">+LN(B387/B388)</f>
        <v>-9.3477616254136649E-3</v>
      </c>
    </row>
    <row r="388" spans="1:3" x14ac:dyDescent="0.2">
      <c r="A388" s="1">
        <v>45511</v>
      </c>
      <c r="B388">
        <v>49.44</v>
      </c>
      <c r="C388" s="2">
        <f t="shared" si="6"/>
        <v>8.9395150388086077E-3</v>
      </c>
    </row>
    <row r="389" spans="1:3" x14ac:dyDescent="0.2">
      <c r="A389" s="1">
        <v>45510</v>
      </c>
      <c r="B389">
        <v>49</v>
      </c>
      <c r="C389" s="2">
        <f t="shared" si="6"/>
        <v>1.0256500167189061E-2</v>
      </c>
    </row>
    <row r="390" spans="1:3" x14ac:dyDescent="0.2">
      <c r="A390" s="1">
        <v>45509</v>
      </c>
      <c r="B390">
        <v>48.5</v>
      </c>
      <c r="C390" s="2">
        <f t="shared" si="6"/>
        <v>-3.3454716464506942E-2</v>
      </c>
    </row>
    <row r="391" spans="1:3" x14ac:dyDescent="0.2">
      <c r="A391" s="1">
        <v>45506</v>
      </c>
      <c r="B391">
        <v>50.15</v>
      </c>
      <c r="C391" s="2">
        <f t="shared" si="6"/>
        <v>-1.1893103513952183E-2</v>
      </c>
    </row>
    <row r="392" spans="1:3" x14ac:dyDescent="0.2">
      <c r="A392" s="1">
        <v>45505</v>
      </c>
      <c r="B392">
        <v>50.75</v>
      </c>
      <c r="C392" s="2">
        <f t="shared" si="6"/>
        <v>7.9129987573252833E-3</v>
      </c>
    </row>
    <row r="393" spans="1:3" x14ac:dyDescent="0.2">
      <c r="A393" s="1">
        <v>45504</v>
      </c>
      <c r="B393">
        <v>50.35</v>
      </c>
      <c r="C393" s="2">
        <f t="shared" si="6"/>
        <v>3.0858554199757332E-2</v>
      </c>
    </row>
    <row r="394" spans="1:3" x14ac:dyDescent="0.2">
      <c r="A394" s="1">
        <v>45503</v>
      </c>
      <c r="B394">
        <v>48.82</v>
      </c>
      <c r="C394" s="2">
        <f t="shared" si="6"/>
        <v>-7.0766526362182447E-2</v>
      </c>
    </row>
    <row r="395" spans="1:3" x14ac:dyDescent="0.2">
      <c r="A395" s="1">
        <v>45502</v>
      </c>
      <c r="B395">
        <v>52.4</v>
      </c>
      <c r="C395" s="2">
        <f t="shared" si="6"/>
        <v>8.6248737817599379E-3</v>
      </c>
    </row>
    <row r="396" spans="1:3" x14ac:dyDescent="0.2">
      <c r="A396" s="1">
        <v>45499</v>
      </c>
      <c r="B396">
        <v>51.95</v>
      </c>
      <c r="C396" s="2">
        <f t="shared" si="6"/>
        <v>-5.758173299683882E-3</v>
      </c>
    </row>
    <row r="397" spans="1:3" x14ac:dyDescent="0.2">
      <c r="A397" s="1">
        <v>45498</v>
      </c>
      <c r="B397">
        <v>52.25</v>
      </c>
      <c r="C397" s="2">
        <f t="shared" si="6"/>
        <v>7.6849561693839285E-3</v>
      </c>
    </row>
    <row r="398" spans="1:3" x14ac:dyDescent="0.2">
      <c r="A398" s="1">
        <v>45497</v>
      </c>
      <c r="B398">
        <v>51.85</v>
      </c>
      <c r="C398" s="2">
        <f t="shared" si="6"/>
        <v>8.7167622144168812E-3</v>
      </c>
    </row>
    <row r="399" spans="1:3" x14ac:dyDescent="0.2">
      <c r="A399" s="1">
        <v>45496</v>
      </c>
      <c r="B399">
        <v>51.4</v>
      </c>
      <c r="C399" s="2">
        <f t="shared" si="6"/>
        <v>0</v>
      </c>
    </row>
    <row r="400" spans="1:3" x14ac:dyDescent="0.2">
      <c r="A400" s="1">
        <v>45495</v>
      </c>
      <c r="B400">
        <v>51.4</v>
      </c>
      <c r="C400" s="2">
        <f t="shared" si="6"/>
        <v>8.7934127923855153E-3</v>
      </c>
    </row>
    <row r="401" spans="1:3" x14ac:dyDescent="0.2">
      <c r="A401" s="1">
        <v>45492</v>
      </c>
      <c r="B401">
        <v>50.95</v>
      </c>
      <c r="C401" s="2">
        <f t="shared" si="6"/>
        <v>-5.8708583497836331E-3</v>
      </c>
    </row>
    <row r="402" spans="1:3" x14ac:dyDescent="0.2">
      <c r="A402" s="1">
        <v>45491</v>
      </c>
      <c r="B402">
        <v>51.25</v>
      </c>
      <c r="C402" s="2">
        <f t="shared" si="6"/>
        <v>-9.7088141269609379E-3</v>
      </c>
    </row>
    <row r="403" spans="1:3" x14ac:dyDescent="0.2">
      <c r="A403" s="1">
        <v>45490</v>
      </c>
      <c r="B403">
        <v>51.75</v>
      </c>
      <c r="C403" s="2">
        <f t="shared" si="6"/>
        <v>1.2639934935819786E-2</v>
      </c>
    </row>
    <row r="404" spans="1:3" x14ac:dyDescent="0.2">
      <c r="A404" s="1">
        <v>45489</v>
      </c>
      <c r="B404">
        <v>51.1</v>
      </c>
      <c r="C404" s="2">
        <f t="shared" si="6"/>
        <v>9.7895259898419856E-4</v>
      </c>
    </row>
    <row r="405" spans="1:3" x14ac:dyDescent="0.2">
      <c r="A405" s="1">
        <v>45488</v>
      </c>
      <c r="B405">
        <v>51.05</v>
      </c>
      <c r="C405" s="2">
        <f t="shared" si="6"/>
        <v>1.9607849419406237E-3</v>
      </c>
    </row>
    <row r="406" spans="1:3" x14ac:dyDescent="0.2">
      <c r="A406" s="1">
        <v>45485</v>
      </c>
      <c r="B406">
        <v>50.95</v>
      </c>
      <c r="C406" s="2">
        <f t="shared" si="6"/>
        <v>1.3834212729548757E-2</v>
      </c>
    </row>
    <row r="407" spans="1:3" x14ac:dyDescent="0.2">
      <c r="A407" s="1">
        <v>45484</v>
      </c>
      <c r="B407">
        <v>50.25</v>
      </c>
      <c r="C407" s="2">
        <f t="shared" si="6"/>
        <v>4.9875415110389679E-3</v>
      </c>
    </row>
    <row r="408" spans="1:3" x14ac:dyDescent="0.2">
      <c r="A408" s="1">
        <v>45483</v>
      </c>
      <c r="B408">
        <v>50</v>
      </c>
      <c r="C408" s="2">
        <f t="shared" si="6"/>
        <v>2.4292692569044701E-2</v>
      </c>
    </row>
    <row r="409" spans="1:3" x14ac:dyDescent="0.2">
      <c r="A409" s="1">
        <v>45482</v>
      </c>
      <c r="B409">
        <v>48.8</v>
      </c>
      <c r="C409" s="2">
        <f t="shared" si="6"/>
        <v>-5.7213069836091653E-3</v>
      </c>
    </row>
    <row r="410" spans="1:3" x14ac:dyDescent="0.2">
      <c r="A410" s="1">
        <v>45481</v>
      </c>
      <c r="B410">
        <v>49.08</v>
      </c>
      <c r="C410" s="2">
        <f t="shared" si="6"/>
        <v>-1.2217472503223644E-3</v>
      </c>
    </row>
    <row r="411" spans="1:3" x14ac:dyDescent="0.2">
      <c r="A411" s="1">
        <v>45478</v>
      </c>
      <c r="B411">
        <v>49.14</v>
      </c>
      <c r="C411" s="2">
        <f t="shared" si="6"/>
        <v>1.221747250322513E-3</v>
      </c>
    </row>
    <row r="412" spans="1:3" x14ac:dyDescent="0.2">
      <c r="A412" s="1">
        <v>45477</v>
      </c>
      <c r="B412">
        <v>49.08</v>
      </c>
      <c r="C412" s="2">
        <f t="shared" si="6"/>
        <v>7.7725897541663985E-3</v>
      </c>
    </row>
    <row r="413" spans="1:3" x14ac:dyDescent="0.2">
      <c r="A413" s="1">
        <v>45476</v>
      </c>
      <c r="B413">
        <v>48.7</v>
      </c>
      <c r="C413" s="2">
        <f t="shared" si="6"/>
        <v>-5.3246081155265161E-3</v>
      </c>
    </row>
    <row r="414" spans="1:3" x14ac:dyDescent="0.2">
      <c r="A414" s="1">
        <v>45475</v>
      </c>
      <c r="B414">
        <v>48.96</v>
      </c>
      <c r="C414" s="2">
        <f t="shared" si="6"/>
        <v>3.2733253449693297E-3</v>
      </c>
    </row>
    <row r="415" spans="1:3" x14ac:dyDescent="0.2">
      <c r="A415" s="1">
        <v>45474</v>
      </c>
      <c r="B415">
        <v>48.8</v>
      </c>
      <c r="C415" s="2">
        <f t="shared" si="6"/>
        <v>2.0512827705573612E-3</v>
      </c>
    </row>
    <row r="416" spans="1:3" x14ac:dyDescent="0.2">
      <c r="A416" s="1">
        <v>45471</v>
      </c>
      <c r="B416">
        <v>48.7</v>
      </c>
      <c r="C416" s="2">
        <f t="shared" si="6"/>
        <v>7.0060043419521937E-3</v>
      </c>
    </row>
    <row r="417" spans="1:3" x14ac:dyDescent="0.2">
      <c r="A417" s="1">
        <v>45470</v>
      </c>
      <c r="B417">
        <v>48.36</v>
      </c>
      <c r="C417" s="2">
        <f t="shared" si="6"/>
        <v>-2.572095251706295E-2</v>
      </c>
    </row>
    <row r="418" spans="1:3" x14ac:dyDescent="0.2">
      <c r="A418" s="1">
        <v>45469</v>
      </c>
      <c r="B418">
        <v>49.62</v>
      </c>
      <c r="C418" s="2">
        <f t="shared" si="6"/>
        <v>4.4435540697781569E-3</v>
      </c>
    </row>
    <row r="419" spans="1:3" x14ac:dyDescent="0.2">
      <c r="A419" s="1">
        <v>45468</v>
      </c>
      <c r="B419">
        <v>49.4</v>
      </c>
      <c r="C419" s="2">
        <f t="shared" si="6"/>
        <v>-1.4070583896942331E-2</v>
      </c>
    </row>
    <row r="420" spans="1:3" x14ac:dyDescent="0.2">
      <c r="A420" s="1">
        <v>45467</v>
      </c>
      <c r="B420">
        <v>50.1</v>
      </c>
      <c r="C420" s="2">
        <f t="shared" si="6"/>
        <v>1.8127384592556701E-2</v>
      </c>
    </row>
    <row r="421" spans="1:3" x14ac:dyDescent="0.2">
      <c r="A421" s="1">
        <v>45464</v>
      </c>
      <c r="B421">
        <v>49.2</v>
      </c>
      <c r="C421" s="2">
        <f t="shared" si="6"/>
        <v>-8.1267781799032211E-4</v>
      </c>
    </row>
    <row r="422" spans="1:3" x14ac:dyDescent="0.2">
      <c r="A422" s="1">
        <v>45463</v>
      </c>
      <c r="B422">
        <v>49.24</v>
      </c>
      <c r="C422" s="2">
        <f t="shared" si="6"/>
        <v>2.884419167387639E-2</v>
      </c>
    </row>
    <row r="423" spans="1:3" x14ac:dyDescent="0.2">
      <c r="A423" s="1">
        <v>45462</v>
      </c>
      <c r="B423">
        <v>47.84</v>
      </c>
      <c r="C423" s="2">
        <f t="shared" si="6"/>
        <v>-1.1637704080209598E-2</v>
      </c>
    </row>
    <row r="424" spans="1:3" x14ac:dyDescent="0.2">
      <c r="A424" s="1">
        <v>45461</v>
      </c>
      <c r="B424">
        <v>48.4</v>
      </c>
      <c r="C424" s="2">
        <f t="shared" si="6"/>
        <v>2.0455733085326545E-2</v>
      </c>
    </row>
    <row r="425" spans="1:3" x14ac:dyDescent="0.2">
      <c r="A425" s="1">
        <v>45460</v>
      </c>
      <c r="B425">
        <v>47.42</v>
      </c>
      <c r="C425" s="2">
        <f t="shared" si="6"/>
        <v>-1.4238096474456076E-2</v>
      </c>
    </row>
    <row r="426" spans="1:3" x14ac:dyDescent="0.2">
      <c r="A426" s="1">
        <v>45457</v>
      </c>
      <c r="B426">
        <v>48.1</v>
      </c>
      <c r="C426" s="2">
        <f t="shared" si="6"/>
        <v>-1.4038215676058761E-2</v>
      </c>
    </row>
    <row r="427" spans="1:3" x14ac:dyDescent="0.2">
      <c r="A427" s="1">
        <v>45456</v>
      </c>
      <c r="B427">
        <v>48.78</v>
      </c>
      <c r="C427" s="2">
        <f t="shared" si="6"/>
        <v>-9.791999904617538E-3</v>
      </c>
    </row>
    <row r="428" spans="1:3" x14ac:dyDescent="0.2">
      <c r="A428" s="1">
        <v>45455</v>
      </c>
      <c r="B428">
        <v>49.26</v>
      </c>
      <c r="C428" s="2">
        <f t="shared" si="6"/>
        <v>1.7199441182479333E-2</v>
      </c>
    </row>
    <row r="429" spans="1:3" x14ac:dyDescent="0.2">
      <c r="A429" s="1">
        <v>45454</v>
      </c>
      <c r="B429">
        <v>48.42</v>
      </c>
      <c r="C429" s="2">
        <f t="shared" si="6"/>
        <v>-2.2867472551300984E-2</v>
      </c>
    </row>
    <row r="430" spans="1:3" x14ac:dyDescent="0.2">
      <c r="A430" s="1">
        <v>45453</v>
      </c>
      <c r="B430">
        <v>49.54</v>
      </c>
      <c r="C430" s="2">
        <f t="shared" si="6"/>
        <v>-3.224509041369587E-3</v>
      </c>
    </row>
    <row r="431" spans="1:3" x14ac:dyDescent="0.2">
      <c r="A431" s="1">
        <v>45450</v>
      </c>
      <c r="B431">
        <v>49.7</v>
      </c>
      <c r="C431" s="2">
        <f t="shared" si="6"/>
        <v>9.2986317863303445E-3</v>
      </c>
    </row>
    <row r="432" spans="1:3" x14ac:dyDescent="0.2">
      <c r="A432" s="1">
        <v>45449</v>
      </c>
      <c r="B432">
        <v>49.24</v>
      </c>
      <c r="C432" s="2">
        <f t="shared" si="6"/>
        <v>1.3082770409804795E-2</v>
      </c>
    </row>
    <row r="433" spans="1:3" x14ac:dyDescent="0.2">
      <c r="A433" s="1">
        <v>45448</v>
      </c>
      <c r="B433">
        <v>48.6</v>
      </c>
      <c r="C433" s="2">
        <f t="shared" si="6"/>
        <v>8.2645098498934314E-3</v>
      </c>
    </row>
    <row r="434" spans="1:3" x14ac:dyDescent="0.2">
      <c r="A434" s="1">
        <v>45447</v>
      </c>
      <c r="B434">
        <v>48.2</v>
      </c>
      <c r="C434" s="2">
        <f t="shared" si="6"/>
        <v>-3.3140046900372233E-3</v>
      </c>
    </row>
    <row r="435" spans="1:3" x14ac:dyDescent="0.2">
      <c r="A435" s="1">
        <v>45446</v>
      </c>
      <c r="B435">
        <v>48.36</v>
      </c>
      <c r="C435" s="2">
        <f t="shared" si="6"/>
        <v>-8.2678797599407381E-4</v>
      </c>
    </row>
    <row r="436" spans="1:3" x14ac:dyDescent="0.2">
      <c r="A436" s="1">
        <v>45443</v>
      </c>
      <c r="B436">
        <v>48.4</v>
      </c>
      <c r="C436" s="2">
        <f t="shared" si="6"/>
        <v>1.9612562714968369E-2</v>
      </c>
    </row>
    <row r="437" spans="1:3" x14ac:dyDescent="0.2">
      <c r="A437" s="1">
        <v>45442</v>
      </c>
      <c r="B437">
        <v>47.46</v>
      </c>
      <c r="C437" s="2">
        <f t="shared" si="6"/>
        <v>-5.0441468866780255E-3</v>
      </c>
    </row>
    <row r="438" spans="1:3" x14ac:dyDescent="0.2">
      <c r="A438" s="1">
        <v>45441</v>
      </c>
      <c r="B438">
        <v>47.7</v>
      </c>
      <c r="C438" s="2">
        <f t="shared" si="6"/>
        <v>-8.3507792174199631E-3</v>
      </c>
    </row>
    <row r="439" spans="1:3" x14ac:dyDescent="0.2">
      <c r="A439" s="1">
        <v>45440</v>
      </c>
      <c r="B439">
        <v>48.1</v>
      </c>
      <c r="C439" s="2">
        <f t="shared" si="6"/>
        <v>-1.1986091007610862E-2</v>
      </c>
    </row>
    <row r="440" spans="1:3" x14ac:dyDescent="0.2">
      <c r="A440" s="1">
        <v>45439</v>
      </c>
      <c r="B440">
        <v>48.68</v>
      </c>
      <c r="C440" s="2">
        <f t="shared" si="6"/>
        <v>7.0088928439894938E-3</v>
      </c>
    </row>
    <row r="441" spans="1:3" x14ac:dyDescent="0.2">
      <c r="A441" s="1">
        <v>45436</v>
      </c>
      <c r="B441">
        <v>48.34</v>
      </c>
      <c r="C441" s="2">
        <f t="shared" si="6"/>
        <v>-3.7167088005124358E-3</v>
      </c>
    </row>
    <row r="442" spans="1:3" x14ac:dyDescent="0.2">
      <c r="A442" s="1">
        <v>45435</v>
      </c>
      <c r="B442">
        <v>48.52</v>
      </c>
      <c r="C442" s="2">
        <f t="shared" si="6"/>
        <v>-1.3104200621984561E-2</v>
      </c>
    </row>
    <row r="443" spans="1:3" x14ac:dyDescent="0.2">
      <c r="A443" s="1">
        <v>45434</v>
      </c>
      <c r="B443">
        <v>49.16</v>
      </c>
      <c r="C443" s="2">
        <f t="shared" si="6"/>
        <v>6.9402197330199972E-3</v>
      </c>
    </row>
    <row r="444" spans="1:3" x14ac:dyDescent="0.2">
      <c r="A444" s="1">
        <v>45433</v>
      </c>
      <c r="B444">
        <v>48.82</v>
      </c>
      <c r="C444" s="2">
        <f t="shared" si="6"/>
        <v>-3.0858554199757332E-2</v>
      </c>
    </row>
    <row r="445" spans="1:3" x14ac:dyDescent="0.2">
      <c r="A445" s="1">
        <v>45432</v>
      </c>
      <c r="B445">
        <v>50.35</v>
      </c>
      <c r="C445" s="2">
        <f t="shared" si="6"/>
        <v>-1.6740912880890801E-2</v>
      </c>
    </row>
    <row r="446" spans="1:3" x14ac:dyDescent="0.2">
      <c r="A446" s="1">
        <v>45429</v>
      </c>
      <c r="B446">
        <v>51.2</v>
      </c>
      <c r="C446" s="2">
        <f t="shared" si="6"/>
        <v>7.843177461026099E-3</v>
      </c>
    </row>
    <row r="447" spans="1:3" x14ac:dyDescent="0.2">
      <c r="A447" s="1">
        <v>45428</v>
      </c>
      <c r="B447">
        <v>50.8</v>
      </c>
      <c r="C447" s="2">
        <f t="shared" si="6"/>
        <v>-1.9493794681001129E-2</v>
      </c>
    </row>
    <row r="448" spans="1:3" x14ac:dyDescent="0.2">
      <c r="A448" s="1">
        <v>45427</v>
      </c>
      <c r="B448">
        <v>51.8</v>
      </c>
      <c r="C448" s="2">
        <f t="shared" si="6"/>
        <v>2.0478531343540701E-2</v>
      </c>
    </row>
    <row r="449" spans="1:3" x14ac:dyDescent="0.2">
      <c r="A449" s="1">
        <v>45426</v>
      </c>
      <c r="B449">
        <v>50.75</v>
      </c>
      <c r="C449" s="2">
        <f t="shared" si="6"/>
        <v>4.9382816405825767E-3</v>
      </c>
    </row>
    <row r="450" spans="1:3" x14ac:dyDescent="0.2">
      <c r="A450" s="1">
        <v>45425</v>
      </c>
      <c r="B450">
        <v>50.5</v>
      </c>
      <c r="C450" s="2">
        <f t="shared" si="6"/>
        <v>-5.9230183031220556E-3</v>
      </c>
    </row>
    <row r="451" spans="1:3" x14ac:dyDescent="0.2">
      <c r="A451" s="1">
        <v>45422</v>
      </c>
      <c r="B451">
        <v>50.8</v>
      </c>
      <c r="C451" s="2">
        <f t="shared" ref="C451:C514" si="7">+LN(B451/B452)</f>
        <v>8.8977354198647891E-3</v>
      </c>
    </row>
    <row r="452" spans="1:3" x14ac:dyDescent="0.2">
      <c r="A452" s="1">
        <v>45421</v>
      </c>
      <c r="B452">
        <v>50.35</v>
      </c>
      <c r="C452" s="2">
        <f t="shared" si="7"/>
        <v>-1.6740912880890801E-2</v>
      </c>
    </row>
    <row r="453" spans="1:3" x14ac:dyDescent="0.2">
      <c r="A453" s="1">
        <v>45420</v>
      </c>
      <c r="B453">
        <v>51.2</v>
      </c>
      <c r="C453" s="2">
        <f t="shared" si="7"/>
        <v>1.3766195764147971E-2</v>
      </c>
    </row>
    <row r="454" spans="1:3" x14ac:dyDescent="0.2">
      <c r="A454" s="1">
        <v>45419</v>
      </c>
      <c r="B454">
        <v>50.5</v>
      </c>
      <c r="C454" s="2">
        <f t="shared" si="7"/>
        <v>2.9747171167428749E-3</v>
      </c>
    </row>
    <row r="455" spans="1:3" x14ac:dyDescent="0.2">
      <c r="A455" s="1">
        <v>45418</v>
      </c>
      <c r="B455">
        <v>50.35</v>
      </c>
      <c r="C455" s="2">
        <f t="shared" si="7"/>
        <v>-7.9129987573253804E-3</v>
      </c>
    </row>
    <row r="456" spans="1:3" x14ac:dyDescent="0.2">
      <c r="A456" s="1">
        <v>45415</v>
      </c>
      <c r="B456">
        <v>50.75</v>
      </c>
      <c r="C456" s="2">
        <f t="shared" si="7"/>
        <v>1.0896591224213192E-2</v>
      </c>
    </row>
    <row r="457" spans="1:3" x14ac:dyDescent="0.2">
      <c r="A457" s="1">
        <v>45414</v>
      </c>
      <c r="B457">
        <v>50.2</v>
      </c>
      <c r="C457" s="2">
        <f t="shared" si="7"/>
        <v>2.9925209364539294E-3</v>
      </c>
    </row>
    <row r="458" spans="1:3" x14ac:dyDescent="0.2">
      <c r="A458" s="1">
        <v>45412</v>
      </c>
      <c r="B458">
        <v>50.05</v>
      </c>
      <c r="C458" s="2">
        <f t="shared" si="7"/>
        <v>1.2667305200765417E-2</v>
      </c>
    </row>
    <row r="459" spans="1:3" x14ac:dyDescent="0.2">
      <c r="A459" s="1">
        <v>45411</v>
      </c>
      <c r="B459">
        <v>49.42</v>
      </c>
      <c r="C459" s="2">
        <f t="shared" si="7"/>
        <v>6.4961657599892217E-3</v>
      </c>
    </row>
    <row r="460" spans="1:3" x14ac:dyDescent="0.2">
      <c r="A460" s="1">
        <v>45408</v>
      </c>
      <c r="B460">
        <v>49.1</v>
      </c>
      <c r="C460" s="2">
        <f t="shared" si="7"/>
        <v>6.1287219413735461E-3</v>
      </c>
    </row>
    <row r="461" spans="1:3" x14ac:dyDescent="0.2">
      <c r="A461" s="1">
        <v>45407</v>
      </c>
      <c r="B461">
        <v>48.8</v>
      </c>
      <c r="C461" s="2">
        <f t="shared" si="7"/>
        <v>-2.3892612547704778E-2</v>
      </c>
    </row>
    <row r="462" spans="1:3" x14ac:dyDescent="0.2">
      <c r="A462" s="1">
        <v>45406</v>
      </c>
      <c r="B462">
        <v>49.98</v>
      </c>
      <c r="C462" s="2">
        <f t="shared" si="7"/>
        <v>-5.1093194336857918E-2</v>
      </c>
    </row>
    <row r="463" spans="1:3" x14ac:dyDescent="0.2">
      <c r="A463" s="1">
        <v>45405</v>
      </c>
      <c r="B463">
        <v>52.6</v>
      </c>
      <c r="C463" s="2">
        <f t="shared" si="7"/>
        <v>2.8931622534005479E-2</v>
      </c>
    </row>
    <row r="464" spans="1:3" x14ac:dyDescent="0.2">
      <c r="A464" s="1">
        <v>45404</v>
      </c>
      <c r="B464">
        <v>51.1</v>
      </c>
      <c r="C464" s="2">
        <f t="shared" si="7"/>
        <v>2.4565419114246957E-2</v>
      </c>
    </row>
    <row r="465" spans="1:3" x14ac:dyDescent="0.2">
      <c r="A465" s="1">
        <v>45401</v>
      </c>
      <c r="B465">
        <v>49.86</v>
      </c>
      <c r="C465" s="2">
        <f t="shared" si="7"/>
        <v>2.409639720153108E-3</v>
      </c>
    </row>
    <row r="466" spans="1:3" x14ac:dyDescent="0.2">
      <c r="A466" s="1">
        <v>45400</v>
      </c>
      <c r="B466">
        <v>49.74</v>
      </c>
      <c r="C466" s="2">
        <f t="shared" si="7"/>
        <v>1.6214380360733135E-2</v>
      </c>
    </row>
    <row r="467" spans="1:3" x14ac:dyDescent="0.2">
      <c r="A467" s="1">
        <v>45399</v>
      </c>
      <c r="B467">
        <v>48.94</v>
      </c>
      <c r="C467" s="2">
        <f t="shared" si="7"/>
        <v>-8.1400530866851013E-3</v>
      </c>
    </row>
    <row r="468" spans="1:3" x14ac:dyDescent="0.2">
      <c r="A468" s="1">
        <v>45398</v>
      </c>
      <c r="B468">
        <v>49.34</v>
      </c>
      <c r="C468" s="2">
        <f t="shared" si="7"/>
        <v>-1.2887814305595605E-2</v>
      </c>
    </row>
    <row r="469" spans="1:3" x14ac:dyDescent="0.2">
      <c r="A469" s="1">
        <v>45397</v>
      </c>
      <c r="B469">
        <v>49.98</v>
      </c>
      <c r="C469" s="2">
        <f t="shared" si="7"/>
        <v>1.1267724846342288E-2</v>
      </c>
    </row>
    <row r="470" spans="1:3" x14ac:dyDescent="0.2">
      <c r="A470" s="1">
        <v>45394</v>
      </c>
      <c r="B470">
        <v>49.42</v>
      </c>
      <c r="C470" s="2">
        <f t="shared" si="7"/>
        <v>6.4961657599892217E-3</v>
      </c>
    </row>
    <row r="471" spans="1:3" x14ac:dyDescent="0.2">
      <c r="A471" s="1">
        <v>45393</v>
      </c>
      <c r="B471">
        <v>49.1</v>
      </c>
      <c r="C471" s="2">
        <f t="shared" si="7"/>
        <v>-1.816397062767118E-2</v>
      </c>
    </row>
    <row r="472" spans="1:3" x14ac:dyDescent="0.2">
      <c r="A472" s="1">
        <v>45392</v>
      </c>
      <c r="B472">
        <v>50</v>
      </c>
      <c r="C472" s="2">
        <f t="shared" si="7"/>
        <v>8.8389486672042321E-3</v>
      </c>
    </row>
    <row r="473" spans="1:3" x14ac:dyDescent="0.2">
      <c r="A473" s="1">
        <v>45391</v>
      </c>
      <c r="B473">
        <v>49.56</v>
      </c>
      <c r="C473" s="2">
        <f t="shared" si="7"/>
        <v>-7.2376673002305016E-3</v>
      </c>
    </row>
    <row r="474" spans="1:3" x14ac:dyDescent="0.2">
      <c r="A474" s="1">
        <v>45390</v>
      </c>
      <c r="B474">
        <v>49.92</v>
      </c>
      <c r="C474" s="2">
        <f t="shared" si="7"/>
        <v>2.4742693972628124E-2</v>
      </c>
    </row>
    <row r="475" spans="1:3" x14ac:dyDescent="0.2">
      <c r="A475" s="1">
        <v>45387</v>
      </c>
      <c r="B475">
        <v>48.7</v>
      </c>
      <c r="C475" s="2">
        <f t="shared" si="7"/>
        <v>-2.2737479745490247E-2</v>
      </c>
    </row>
    <row r="476" spans="1:3" x14ac:dyDescent="0.2">
      <c r="A476" s="1">
        <v>45386</v>
      </c>
      <c r="B476">
        <v>49.82</v>
      </c>
      <c r="C476" s="2">
        <f t="shared" si="7"/>
        <v>-1.454643563244595E-2</v>
      </c>
    </row>
    <row r="477" spans="1:3" x14ac:dyDescent="0.2">
      <c r="A477" s="1">
        <v>45385</v>
      </c>
      <c r="B477">
        <v>50.55</v>
      </c>
      <c r="C477" s="2">
        <f t="shared" si="7"/>
        <v>-3.9486724554163308E-3</v>
      </c>
    </row>
    <row r="478" spans="1:3" x14ac:dyDescent="0.2">
      <c r="A478" s="1">
        <v>45384</v>
      </c>
      <c r="B478">
        <v>50.75</v>
      </c>
      <c r="C478" s="2">
        <f t="shared" si="7"/>
        <v>-9.6088591066368495E-3</v>
      </c>
    </row>
    <row r="479" spans="1:3" x14ac:dyDescent="0.2">
      <c r="A479" s="1">
        <v>45379</v>
      </c>
      <c r="B479">
        <v>51.24</v>
      </c>
      <c r="C479" s="2">
        <f t="shared" si="7"/>
        <v>-9.7106997293495752E-3</v>
      </c>
    </row>
    <row r="480" spans="1:3" x14ac:dyDescent="0.2">
      <c r="A480" s="1">
        <v>45378</v>
      </c>
      <c r="B480">
        <v>51.74</v>
      </c>
      <c r="C480" s="2">
        <f t="shared" si="7"/>
        <v>6.5930042967636254E-3</v>
      </c>
    </row>
    <row r="481" spans="1:3" x14ac:dyDescent="0.2">
      <c r="A481" s="1">
        <v>45377</v>
      </c>
      <c r="B481">
        <v>51.4</v>
      </c>
      <c r="C481" s="2">
        <f t="shared" si="7"/>
        <v>-1.1605546120308003E-2</v>
      </c>
    </row>
    <row r="482" spans="1:3" x14ac:dyDescent="0.2">
      <c r="A482" s="1">
        <v>45376</v>
      </c>
      <c r="B482">
        <v>52</v>
      </c>
      <c r="C482" s="2">
        <f t="shared" si="7"/>
        <v>-6.8992224602718207E-3</v>
      </c>
    </row>
    <row r="483" spans="1:3" x14ac:dyDescent="0.2">
      <c r="A483" s="1">
        <v>45373</v>
      </c>
      <c r="B483">
        <v>52.36</v>
      </c>
      <c r="C483" s="2">
        <f t="shared" si="7"/>
        <v>1.8893949359961613E-2</v>
      </c>
    </row>
    <row r="484" spans="1:3" x14ac:dyDescent="0.2">
      <c r="A484" s="1">
        <v>45372</v>
      </c>
      <c r="B484">
        <v>51.38</v>
      </c>
      <c r="C484" s="2">
        <f t="shared" si="7"/>
        <v>1.0172231687764084E-2</v>
      </c>
    </row>
    <row r="485" spans="1:3" x14ac:dyDescent="0.2">
      <c r="A485" s="1">
        <v>45371</v>
      </c>
      <c r="B485">
        <v>50.86</v>
      </c>
      <c r="C485" s="2">
        <f t="shared" si="7"/>
        <v>-7.0533207774056451E-3</v>
      </c>
    </row>
    <row r="486" spans="1:3" x14ac:dyDescent="0.2">
      <c r="A486" s="1">
        <v>45370</v>
      </c>
      <c r="B486">
        <v>51.22</v>
      </c>
      <c r="C486" s="2">
        <f t="shared" si="7"/>
        <v>-1.2417699339139141E-2</v>
      </c>
    </row>
    <row r="487" spans="1:3" x14ac:dyDescent="0.2">
      <c r="A487" s="1">
        <v>45369</v>
      </c>
      <c r="B487">
        <v>51.86</v>
      </c>
      <c r="C487" s="2">
        <f t="shared" si="7"/>
        <v>-1.872069954360633E-2</v>
      </c>
    </row>
    <row r="488" spans="1:3" x14ac:dyDescent="0.2">
      <c r="A488" s="1">
        <v>45366</v>
      </c>
      <c r="B488">
        <v>52.84</v>
      </c>
      <c r="C488" s="2">
        <f t="shared" si="7"/>
        <v>1.1361485789465329E-3</v>
      </c>
    </row>
    <row r="489" spans="1:3" x14ac:dyDescent="0.2">
      <c r="A489" s="1">
        <v>45365</v>
      </c>
      <c r="B489">
        <v>52.78</v>
      </c>
      <c r="C489" s="2">
        <f t="shared" si="7"/>
        <v>-1.5145781009650572E-3</v>
      </c>
    </row>
    <row r="490" spans="1:3" x14ac:dyDescent="0.2">
      <c r="A490" s="1">
        <v>45364</v>
      </c>
      <c r="B490">
        <v>52.86</v>
      </c>
      <c r="C490" s="2">
        <f t="shared" si="7"/>
        <v>-4.1533002878635546E-3</v>
      </c>
    </row>
    <row r="491" spans="1:3" x14ac:dyDescent="0.2">
      <c r="A491" s="1">
        <v>45363</v>
      </c>
      <c r="B491">
        <v>53.08</v>
      </c>
      <c r="C491" s="2">
        <f t="shared" si="7"/>
        <v>6.4260285388661031E-3</v>
      </c>
    </row>
    <row r="492" spans="1:3" x14ac:dyDescent="0.2">
      <c r="A492" s="1">
        <v>45362</v>
      </c>
      <c r="B492">
        <v>52.74</v>
      </c>
      <c r="C492" s="2">
        <f t="shared" si="7"/>
        <v>-2.2727282510024553E-3</v>
      </c>
    </row>
    <row r="493" spans="1:3" x14ac:dyDescent="0.2">
      <c r="A493" s="1">
        <v>45359</v>
      </c>
      <c r="B493">
        <v>52.86</v>
      </c>
      <c r="C493" s="2">
        <f t="shared" si="7"/>
        <v>5.3110898744079321E-3</v>
      </c>
    </row>
    <row r="494" spans="1:3" x14ac:dyDescent="0.2">
      <c r="A494" s="1">
        <v>45358</v>
      </c>
      <c r="B494">
        <v>52.58</v>
      </c>
      <c r="C494" s="2">
        <f t="shared" si="7"/>
        <v>1.1861627499336289E-2</v>
      </c>
    </row>
    <row r="495" spans="1:3" x14ac:dyDescent="0.2">
      <c r="A495" s="1">
        <v>45357</v>
      </c>
      <c r="B495">
        <v>51.96</v>
      </c>
      <c r="C495" s="2">
        <f t="shared" si="7"/>
        <v>4.6296378987421968E-3</v>
      </c>
    </row>
    <row r="496" spans="1:3" x14ac:dyDescent="0.2">
      <c r="A496" s="1">
        <v>45356</v>
      </c>
      <c r="B496">
        <v>51.72</v>
      </c>
      <c r="C496" s="2">
        <f t="shared" si="7"/>
        <v>0</v>
      </c>
    </row>
    <row r="497" spans="1:3" x14ac:dyDescent="0.2">
      <c r="A497" s="1">
        <v>45355</v>
      </c>
      <c r="B497">
        <v>51.72</v>
      </c>
      <c r="C497" s="2">
        <f t="shared" si="7"/>
        <v>-4.6296378987421049E-3</v>
      </c>
    </row>
    <row r="498" spans="1:3" x14ac:dyDescent="0.2">
      <c r="A498" s="1">
        <v>45352</v>
      </c>
      <c r="B498">
        <v>51.96</v>
      </c>
      <c r="C498" s="2">
        <f t="shared" si="7"/>
        <v>3.8565416097536376E-3</v>
      </c>
    </row>
    <row r="499" spans="1:3" x14ac:dyDescent="0.2">
      <c r="A499" s="1">
        <v>45351</v>
      </c>
      <c r="B499">
        <v>51.76</v>
      </c>
      <c r="C499" s="2">
        <f t="shared" si="7"/>
        <v>2.0297340063674733E-2</v>
      </c>
    </row>
    <row r="500" spans="1:3" x14ac:dyDescent="0.2">
      <c r="A500" s="1">
        <v>45350</v>
      </c>
      <c r="B500">
        <v>50.72</v>
      </c>
      <c r="C500" s="2">
        <f t="shared" si="7"/>
        <v>-5.1130888189988323E-3</v>
      </c>
    </row>
    <row r="501" spans="1:3" x14ac:dyDescent="0.2">
      <c r="A501" s="1">
        <v>45349</v>
      </c>
      <c r="B501">
        <v>50.98</v>
      </c>
      <c r="C501" s="2">
        <f t="shared" si="7"/>
        <v>-1.325038871972509E-2</v>
      </c>
    </row>
    <row r="502" spans="1:3" x14ac:dyDescent="0.2">
      <c r="A502" s="1">
        <v>45348</v>
      </c>
      <c r="B502">
        <v>51.66</v>
      </c>
      <c r="C502" s="2">
        <f t="shared" si="7"/>
        <v>-2.334140787573653E-2</v>
      </c>
    </row>
    <row r="503" spans="1:3" x14ac:dyDescent="0.2">
      <c r="A503" s="1">
        <v>45345</v>
      </c>
      <c r="B503">
        <v>52.88</v>
      </c>
      <c r="C503" s="2">
        <f t="shared" si="7"/>
        <v>2.295433606908448E-2</v>
      </c>
    </row>
    <row r="504" spans="1:3" x14ac:dyDescent="0.2">
      <c r="A504" s="1">
        <v>45344</v>
      </c>
      <c r="B504">
        <v>51.68</v>
      </c>
      <c r="C504" s="2">
        <f t="shared" si="7"/>
        <v>-7.7101384259673222E-3</v>
      </c>
    </row>
    <row r="505" spans="1:3" x14ac:dyDescent="0.2">
      <c r="A505" s="1">
        <v>45343</v>
      </c>
      <c r="B505">
        <v>52.08</v>
      </c>
      <c r="C505" s="2">
        <f t="shared" si="7"/>
        <v>-7.6775435633059193E-4</v>
      </c>
    </row>
    <row r="506" spans="1:3" x14ac:dyDescent="0.2">
      <c r="A506" s="1">
        <v>45342</v>
      </c>
      <c r="B506">
        <v>52.12</v>
      </c>
      <c r="C506" s="2">
        <f t="shared" si="7"/>
        <v>1.702827522811089E-2</v>
      </c>
    </row>
    <row r="507" spans="1:3" x14ac:dyDescent="0.2">
      <c r="A507" s="1">
        <v>45341</v>
      </c>
      <c r="B507">
        <v>51.24</v>
      </c>
      <c r="C507" s="2">
        <f t="shared" si="7"/>
        <v>4.3027643148681191E-3</v>
      </c>
    </row>
    <row r="508" spans="1:3" x14ac:dyDescent="0.2">
      <c r="A508" s="1">
        <v>45338</v>
      </c>
      <c r="B508">
        <v>51.02</v>
      </c>
      <c r="C508" s="2">
        <f t="shared" si="7"/>
        <v>6.2918021165278004E-3</v>
      </c>
    </row>
    <row r="509" spans="1:3" x14ac:dyDescent="0.2">
      <c r="A509" s="1">
        <v>45337</v>
      </c>
      <c r="B509">
        <v>50.7</v>
      </c>
      <c r="C509" s="2">
        <f t="shared" si="7"/>
        <v>4.3486923641798594E-3</v>
      </c>
    </row>
    <row r="510" spans="1:3" x14ac:dyDescent="0.2">
      <c r="A510" s="1">
        <v>45336</v>
      </c>
      <c r="B510">
        <v>50.48</v>
      </c>
      <c r="C510" s="2">
        <f t="shared" si="7"/>
        <v>1.9829473084933768E-3</v>
      </c>
    </row>
    <row r="511" spans="1:3" x14ac:dyDescent="0.2">
      <c r="A511" s="1">
        <v>45335</v>
      </c>
      <c r="B511">
        <v>50.38</v>
      </c>
      <c r="C511" s="2">
        <f t="shared" si="7"/>
        <v>-6.3316396726734005E-3</v>
      </c>
    </row>
    <row r="512" spans="1:3" x14ac:dyDescent="0.2">
      <c r="A512" s="1">
        <v>45334</v>
      </c>
      <c r="B512">
        <v>50.7</v>
      </c>
      <c r="C512" s="2">
        <f t="shared" si="7"/>
        <v>2.7651607585355668E-3</v>
      </c>
    </row>
    <row r="513" spans="1:3" x14ac:dyDescent="0.2">
      <c r="A513" s="1">
        <v>45331</v>
      </c>
      <c r="B513">
        <v>50.56</v>
      </c>
      <c r="C513" s="2">
        <f t="shared" si="7"/>
        <v>1.9798066256902893E-3</v>
      </c>
    </row>
    <row r="514" spans="1:3" x14ac:dyDescent="0.2">
      <c r="A514" s="1">
        <v>45330</v>
      </c>
      <c r="B514">
        <v>50.46</v>
      </c>
      <c r="C514" s="2">
        <f t="shared" si="7"/>
        <v>3.9643211619287677E-4</v>
      </c>
    </row>
    <row r="515" spans="1:3" x14ac:dyDescent="0.2">
      <c r="A515" s="1">
        <v>45329</v>
      </c>
      <c r="B515">
        <v>50.44</v>
      </c>
      <c r="C515" s="2">
        <f t="shared" ref="C515:C578" si="8">+LN(B515/B516)</f>
        <v>-1.2999986112940063E-2</v>
      </c>
    </row>
    <row r="516" spans="1:3" x14ac:dyDescent="0.2">
      <c r="A516" s="1">
        <v>45328</v>
      </c>
      <c r="B516">
        <v>51.1</v>
      </c>
      <c r="C516" s="2">
        <f t="shared" si="8"/>
        <v>5.4945193176407798E-3</v>
      </c>
    </row>
    <row r="517" spans="1:3" x14ac:dyDescent="0.2">
      <c r="A517" s="1">
        <v>45327</v>
      </c>
      <c r="B517">
        <v>50.82</v>
      </c>
      <c r="C517" s="2">
        <f t="shared" si="8"/>
        <v>2.3640672948804699E-3</v>
      </c>
    </row>
    <row r="518" spans="1:3" x14ac:dyDescent="0.2">
      <c r="A518" s="1">
        <v>45324</v>
      </c>
      <c r="B518">
        <v>50.7</v>
      </c>
      <c r="C518" s="2">
        <f t="shared" si="8"/>
        <v>-5.1151006667703768E-3</v>
      </c>
    </row>
    <row r="519" spans="1:3" x14ac:dyDescent="0.2">
      <c r="A519" s="1">
        <v>45323</v>
      </c>
      <c r="B519">
        <v>50.96</v>
      </c>
      <c r="C519" s="2">
        <f t="shared" si="8"/>
        <v>-6.6497409128158649E-3</v>
      </c>
    </row>
    <row r="520" spans="1:3" x14ac:dyDescent="0.2">
      <c r="A520" s="1">
        <v>45322</v>
      </c>
      <c r="B520">
        <v>51.3</v>
      </c>
      <c r="C520" s="2">
        <f t="shared" si="8"/>
        <v>9.794397592287625E-3</v>
      </c>
    </row>
    <row r="521" spans="1:3" x14ac:dyDescent="0.2">
      <c r="A521" s="1">
        <v>45321</v>
      </c>
      <c r="B521">
        <v>50.8</v>
      </c>
      <c r="C521" s="2">
        <f t="shared" si="8"/>
        <v>3.1545767485153453E-3</v>
      </c>
    </row>
    <row r="522" spans="1:3" x14ac:dyDescent="0.2">
      <c r="A522" s="1">
        <v>45320</v>
      </c>
      <c r="B522">
        <v>50.64</v>
      </c>
      <c r="C522" s="2">
        <f t="shared" si="8"/>
        <v>-5.1211457205562715E-3</v>
      </c>
    </row>
    <row r="523" spans="1:3" x14ac:dyDescent="0.2">
      <c r="A523" s="1">
        <v>45317</v>
      </c>
      <c r="B523">
        <v>50.9</v>
      </c>
      <c r="C523" s="2">
        <f t="shared" si="8"/>
        <v>1.8239998149670859E-2</v>
      </c>
    </row>
    <row r="524" spans="1:3" x14ac:dyDescent="0.2">
      <c r="A524" s="1">
        <v>45316</v>
      </c>
      <c r="B524">
        <v>49.98</v>
      </c>
      <c r="C524" s="2">
        <f t="shared" si="8"/>
        <v>8.0064055517922955E-4</v>
      </c>
    </row>
    <row r="525" spans="1:3" x14ac:dyDescent="0.2">
      <c r="A525" s="1">
        <v>45315</v>
      </c>
      <c r="B525">
        <v>49.94</v>
      </c>
      <c r="C525" s="2">
        <f t="shared" si="8"/>
        <v>4.4150182091166933E-3</v>
      </c>
    </row>
    <row r="526" spans="1:3" x14ac:dyDescent="0.2">
      <c r="A526" s="1">
        <v>45314</v>
      </c>
      <c r="B526">
        <v>49.72</v>
      </c>
      <c r="C526" s="2">
        <f t="shared" si="8"/>
        <v>3.0214546100278557E-3</v>
      </c>
    </row>
    <row r="527" spans="1:3" x14ac:dyDescent="0.2">
      <c r="A527" s="1">
        <v>45313</v>
      </c>
      <c r="B527">
        <v>49.57</v>
      </c>
      <c r="C527" s="2">
        <f t="shared" si="8"/>
        <v>-3.8256363984414564E-3</v>
      </c>
    </row>
    <row r="528" spans="1:3" x14ac:dyDescent="0.2">
      <c r="A528" s="1">
        <v>45310</v>
      </c>
      <c r="B528">
        <v>49.76</v>
      </c>
      <c r="C528" s="2">
        <f t="shared" si="8"/>
        <v>-6.0271222316741699E-4</v>
      </c>
    </row>
    <row r="529" spans="1:3" x14ac:dyDescent="0.2">
      <c r="A529" s="1">
        <v>45309</v>
      </c>
      <c r="B529">
        <v>49.79</v>
      </c>
      <c r="C529" s="2">
        <f t="shared" si="8"/>
        <v>-1.4159175627222796E-2</v>
      </c>
    </row>
    <row r="530" spans="1:3" x14ac:dyDescent="0.2">
      <c r="A530" s="1">
        <v>45308</v>
      </c>
      <c r="B530">
        <v>50.5</v>
      </c>
      <c r="C530" s="2">
        <f t="shared" si="8"/>
        <v>4.7638041658680762E-3</v>
      </c>
    </row>
    <row r="531" spans="1:3" x14ac:dyDescent="0.2">
      <c r="A531" s="1">
        <v>45307</v>
      </c>
      <c r="B531">
        <v>50.26</v>
      </c>
      <c r="C531" s="2">
        <f t="shared" si="8"/>
        <v>5.3865466899670495E-3</v>
      </c>
    </row>
    <row r="532" spans="1:3" x14ac:dyDescent="0.2">
      <c r="A532" s="1">
        <v>45306</v>
      </c>
      <c r="B532">
        <v>49.99</v>
      </c>
      <c r="C532" s="2">
        <f t="shared" si="8"/>
        <v>-1.9218025838428944E-2</v>
      </c>
    </row>
    <row r="533" spans="1:3" x14ac:dyDescent="0.2">
      <c r="A533" s="1">
        <v>45303</v>
      </c>
      <c r="B533">
        <v>50.96</v>
      </c>
      <c r="C533" s="2">
        <f t="shared" si="8"/>
        <v>3.4740966300998044E-2</v>
      </c>
    </row>
    <row r="534" spans="1:3" x14ac:dyDescent="0.2">
      <c r="A534" s="1">
        <v>45302</v>
      </c>
      <c r="B534">
        <v>49.22</v>
      </c>
      <c r="C534" s="2">
        <f t="shared" si="8"/>
        <v>2.4410101624349496E-3</v>
      </c>
    </row>
    <row r="535" spans="1:3" x14ac:dyDescent="0.2">
      <c r="A535" s="1">
        <v>45301</v>
      </c>
      <c r="B535">
        <v>49.1</v>
      </c>
      <c r="C535" s="2">
        <f t="shared" si="8"/>
        <v>3.6727239815031779E-3</v>
      </c>
    </row>
    <row r="536" spans="1:3" x14ac:dyDescent="0.2">
      <c r="A536" s="1">
        <v>45300</v>
      </c>
      <c r="B536">
        <v>48.92</v>
      </c>
      <c r="C536" s="2">
        <f t="shared" si="8"/>
        <v>1.4827289762416932E-2</v>
      </c>
    </row>
    <row r="537" spans="1:3" x14ac:dyDescent="0.2">
      <c r="A537" s="1">
        <v>45299</v>
      </c>
      <c r="B537">
        <v>48.2</v>
      </c>
      <c r="C537" s="2">
        <f t="shared" si="8"/>
        <v>7.9150590263761048E-3</v>
      </c>
    </row>
    <row r="538" spans="1:3" x14ac:dyDescent="0.2">
      <c r="A538" s="1">
        <v>45296</v>
      </c>
      <c r="B538">
        <v>47.82</v>
      </c>
      <c r="C538" s="2">
        <f t="shared" si="8"/>
        <v>-1.453212204567079E-2</v>
      </c>
    </row>
    <row r="539" spans="1:3" x14ac:dyDescent="0.2">
      <c r="A539" s="1">
        <v>45295</v>
      </c>
      <c r="B539">
        <v>48.52</v>
      </c>
      <c r="C539" s="2">
        <f t="shared" si="8"/>
        <v>1.0358493282742128E-2</v>
      </c>
    </row>
    <row r="540" spans="1:3" x14ac:dyDescent="0.2">
      <c r="A540" s="1">
        <v>45294</v>
      </c>
      <c r="B540">
        <v>48.02</v>
      </c>
      <c r="C540" s="2">
        <f t="shared" si="8"/>
        <v>-2.0202707317519355E-2</v>
      </c>
    </row>
    <row r="541" spans="1:3" x14ac:dyDescent="0.2">
      <c r="A541" s="1">
        <v>45293</v>
      </c>
      <c r="B541">
        <v>49</v>
      </c>
      <c r="C541" s="2">
        <f t="shared" si="8"/>
        <v>3.4754200370578588E-3</v>
      </c>
    </row>
    <row r="542" spans="1:3" x14ac:dyDescent="0.2">
      <c r="A542" s="1">
        <v>45289</v>
      </c>
      <c r="B542">
        <v>48.83</v>
      </c>
      <c r="C542" s="2">
        <f t="shared" si="8"/>
        <v>8.0189593886773099E-3</v>
      </c>
    </row>
    <row r="543" spans="1:3" x14ac:dyDescent="0.2">
      <c r="A543" s="1">
        <v>45288</v>
      </c>
      <c r="B543">
        <v>48.44</v>
      </c>
      <c r="C543" s="2">
        <f t="shared" si="8"/>
        <v>2.2734328278987796E-3</v>
      </c>
    </row>
    <row r="544" spans="1:3" x14ac:dyDescent="0.2">
      <c r="A544" s="1">
        <v>45287</v>
      </c>
      <c r="B544">
        <v>48.33</v>
      </c>
      <c r="C544" s="2">
        <f t="shared" si="8"/>
        <v>2.2786131039676432E-3</v>
      </c>
    </row>
    <row r="545" spans="1:3" x14ac:dyDescent="0.2">
      <c r="A545" s="1">
        <v>45282</v>
      </c>
      <c r="B545">
        <v>48.22</v>
      </c>
      <c r="C545" s="2">
        <f t="shared" si="8"/>
        <v>1.8681894380069483E-3</v>
      </c>
    </row>
    <row r="546" spans="1:3" x14ac:dyDescent="0.2">
      <c r="A546" s="1">
        <v>45281</v>
      </c>
      <c r="B546">
        <v>48.13</v>
      </c>
      <c r="C546" s="2">
        <f t="shared" si="8"/>
        <v>1.1283028181998906E-2</v>
      </c>
    </row>
    <row r="547" spans="1:3" x14ac:dyDescent="0.2">
      <c r="A547" s="1">
        <v>45280</v>
      </c>
      <c r="B547">
        <v>47.59</v>
      </c>
      <c r="C547" s="2">
        <f t="shared" si="8"/>
        <v>-8.3700007371350083E-3</v>
      </c>
    </row>
    <row r="548" spans="1:3" x14ac:dyDescent="0.2">
      <c r="A548" s="1">
        <v>45279</v>
      </c>
      <c r="B548">
        <v>47.99</v>
      </c>
      <c r="C548" s="2">
        <f t="shared" si="8"/>
        <v>2.5036524657365256E-3</v>
      </c>
    </row>
    <row r="549" spans="1:3" x14ac:dyDescent="0.2">
      <c r="A549" s="1">
        <v>45278</v>
      </c>
      <c r="B549">
        <v>47.87</v>
      </c>
      <c r="C549" s="2">
        <f t="shared" si="8"/>
        <v>-2.0887728535480779E-4</v>
      </c>
    </row>
    <row r="550" spans="1:3" x14ac:dyDescent="0.2">
      <c r="A550" s="1">
        <v>45275</v>
      </c>
      <c r="B550">
        <v>47.88</v>
      </c>
      <c r="C550" s="2">
        <f t="shared" si="8"/>
        <v>1.155353677161597E-2</v>
      </c>
    </row>
    <row r="551" spans="1:3" x14ac:dyDescent="0.2">
      <c r="A551" s="1">
        <v>45274</v>
      </c>
      <c r="B551">
        <v>47.33</v>
      </c>
      <c r="C551" s="2">
        <f t="shared" si="8"/>
        <v>6.7839988821175798E-3</v>
      </c>
    </row>
    <row r="552" spans="1:3" x14ac:dyDescent="0.2">
      <c r="A552" s="1">
        <v>45273</v>
      </c>
      <c r="B552">
        <v>47.01</v>
      </c>
      <c r="C552" s="2">
        <f t="shared" si="8"/>
        <v>-4.4571866213277333E-3</v>
      </c>
    </row>
    <row r="553" spans="1:3" x14ac:dyDescent="0.2">
      <c r="A553" s="1">
        <v>45272</v>
      </c>
      <c r="B553">
        <v>47.22</v>
      </c>
      <c r="C553" s="2">
        <f t="shared" si="8"/>
        <v>1.2144604364013951E-2</v>
      </c>
    </row>
    <row r="554" spans="1:3" x14ac:dyDescent="0.2">
      <c r="A554" s="1">
        <v>45271</v>
      </c>
      <c r="B554">
        <v>46.65</v>
      </c>
      <c r="C554" s="2">
        <f t="shared" si="8"/>
        <v>-1.0712373814989145E-3</v>
      </c>
    </row>
    <row r="555" spans="1:3" x14ac:dyDescent="0.2">
      <c r="A555" s="1">
        <v>45268</v>
      </c>
      <c r="B555">
        <v>46.7</v>
      </c>
      <c r="C555" s="2">
        <f t="shared" si="8"/>
        <v>2.2521523573202341E-2</v>
      </c>
    </row>
    <row r="556" spans="1:3" x14ac:dyDescent="0.2">
      <c r="A556" s="1">
        <v>45267</v>
      </c>
      <c r="B556">
        <v>45.66</v>
      </c>
      <c r="C556" s="2">
        <f t="shared" si="8"/>
        <v>-1.2622583262472727E-2</v>
      </c>
    </row>
    <row r="557" spans="1:3" x14ac:dyDescent="0.2">
      <c r="A557" s="1">
        <v>45266</v>
      </c>
      <c r="B557">
        <v>46.24</v>
      </c>
      <c r="C557" s="2">
        <f t="shared" si="8"/>
        <v>7.3801072976226803E-3</v>
      </c>
    </row>
    <row r="558" spans="1:3" x14ac:dyDescent="0.2">
      <c r="A558" s="1">
        <v>45265</v>
      </c>
      <c r="B558">
        <v>45.9</v>
      </c>
      <c r="C558" s="2">
        <f t="shared" si="8"/>
        <v>1.4925650216675574E-2</v>
      </c>
    </row>
    <row r="559" spans="1:3" x14ac:dyDescent="0.2">
      <c r="A559" s="1">
        <v>45264</v>
      </c>
      <c r="B559">
        <v>45.22</v>
      </c>
      <c r="C559" s="2">
        <f t="shared" si="8"/>
        <v>2.3040947707175279E-2</v>
      </c>
    </row>
    <row r="560" spans="1:3" x14ac:dyDescent="0.2">
      <c r="A560" s="1">
        <v>45261</v>
      </c>
      <c r="B560">
        <v>44.19</v>
      </c>
      <c r="C560" s="2">
        <f t="shared" si="8"/>
        <v>4.5269353421348627E-4</v>
      </c>
    </row>
    <row r="561" spans="1:3" x14ac:dyDescent="0.2">
      <c r="A561" s="1">
        <v>45260</v>
      </c>
      <c r="B561">
        <v>44.17</v>
      </c>
      <c r="C561" s="2">
        <f t="shared" si="8"/>
        <v>-3.390216830593212E-3</v>
      </c>
    </row>
    <row r="562" spans="1:3" x14ac:dyDescent="0.2">
      <c r="A562" s="1">
        <v>45259</v>
      </c>
      <c r="B562">
        <v>44.32</v>
      </c>
      <c r="C562" s="2">
        <f t="shared" si="8"/>
        <v>-1.1275229517897294E-3</v>
      </c>
    </row>
    <row r="563" spans="1:3" x14ac:dyDescent="0.2">
      <c r="A563" s="1">
        <v>45258</v>
      </c>
      <c r="B563">
        <v>44.37</v>
      </c>
      <c r="C563" s="2">
        <f t="shared" si="8"/>
        <v>-1.1262530754633947E-3</v>
      </c>
    </row>
    <row r="564" spans="1:3" x14ac:dyDescent="0.2">
      <c r="A564" s="1">
        <v>45257</v>
      </c>
      <c r="B564">
        <v>44.42</v>
      </c>
      <c r="C564" s="2">
        <f t="shared" si="8"/>
        <v>-4.2682306738919687E-3</v>
      </c>
    </row>
    <row r="565" spans="1:3" x14ac:dyDescent="0.2">
      <c r="A565" s="1">
        <v>45254</v>
      </c>
      <c r="B565">
        <v>44.61</v>
      </c>
      <c r="C565" s="2">
        <f t="shared" si="8"/>
        <v>1.3458952233551631E-3</v>
      </c>
    </row>
    <row r="566" spans="1:3" x14ac:dyDescent="0.2">
      <c r="A566" s="1">
        <v>45253</v>
      </c>
      <c r="B566">
        <v>44.55</v>
      </c>
      <c r="C566" s="2">
        <f t="shared" si="8"/>
        <v>3.5979350708744734E-3</v>
      </c>
    </row>
    <row r="567" spans="1:3" x14ac:dyDescent="0.2">
      <c r="A567" s="1">
        <v>45252</v>
      </c>
      <c r="B567">
        <v>44.39</v>
      </c>
      <c r="C567" s="2">
        <f t="shared" si="8"/>
        <v>-1.0978042368497065E-2</v>
      </c>
    </row>
    <row r="568" spans="1:3" x14ac:dyDescent="0.2">
      <c r="A568" s="1">
        <v>45251</v>
      </c>
      <c r="B568">
        <v>44.88</v>
      </c>
      <c r="C568" s="2">
        <f t="shared" si="8"/>
        <v>5.810072210054593E-3</v>
      </c>
    </row>
    <row r="569" spans="1:3" x14ac:dyDescent="0.2">
      <c r="A569" s="1">
        <v>45250</v>
      </c>
      <c r="B569">
        <v>44.62</v>
      </c>
      <c r="C569" s="2">
        <f t="shared" si="8"/>
        <v>-1.247232203547082E-2</v>
      </c>
    </row>
    <row r="570" spans="1:3" x14ac:dyDescent="0.2">
      <c r="A570" s="1">
        <v>45247</v>
      </c>
      <c r="B570">
        <v>45.18</v>
      </c>
      <c r="C570" s="2">
        <f t="shared" si="8"/>
        <v>1.426684921063559E-2</v>
      </c>
    </row>
    <row r="571" spans="1:3" x14ac:dyDescent="0.2">
      <c r="A571" s="1">
        <v>45246</v>
      </c>
      <c r="B571">
        <v>44.54</v>
      </c>
      <c r="C571" s="2">
        <f t="shared" si="8"/>
        <v>-9.83028470194801E-3</v>
      </c>
    </row>
    <row r="572" spans="1:3" x14ac:dyDescent="0.2">
      <c r="A572" s="1">
        <v>45245</v>
      </c>
      <c r="B572">
        <v>44.98</v>
      </c>
      <c r="C572" s="2">
        <f t="shared" si="8"/>
        <v>-1.91572521713043E-2</v>
      </c>
    </row>
    <row r="573" spans="1:3" x14ac:dyDescent="0.2">
      <c r="A573" s="1">
        <v>45244</v>
      </c>
      <c r="B573">
        <v>45.85</v>
      </c>
      <c r="C573" s="2">
        <f t="shared" si="8"/>
        <v>2.0714711602827243E-2</v>
      </c>
    </row>
    <row r="574" spans="1:3" x14ac:dyDescent="0.2">
      <c r="A574" s="1">
        <v>45243</v>
      </c>
      <c r="B574">
        <v>44.91</v>
      </c>
      <c r="C574" s="2">
        <f t="shared" si="8"/>
        <v>1.4579152476742996E-2</v>
      </c>
    </row>
    <row r="575" spans="1:3" x14ac:dyDescent="0.2">
      <c r="A575" s="1">
        <v>45240</v>
      </c>
      <c r="B575">
        <v>44.26</v>
      </c>
      <c r="C575" s="2">
        <f t="shared" si="8"/>
        <v>-1.1233548820820853E-2</v>
      </c>
    </row>
    <row r="576" spans="1:3" x14ac:dyDescent="0.2">
      <c r="A576" s="1">
        <v>45239</v>
      </c>
      <c r="B576">
        <v>44.76</v>
      </c>
      <c r="C576" s="2">
        <f t="shared" si="8"/>
        <v>2.1681066061323948E-2</v>
      </c>
    </row>
    <row r="577" spans="1:3" x14ac:dyDescent="0.2">
      <c r="A577" s="1">
        <v>45238</v>
      </c>
      <c r="B577">
        <v>43.8</v>
      </c>
      <c r="C577" s="2">
        <f t="shared" si="8"/>
        <v>-2.7250869922440871E-2</v>
      </c>
    </row>
    <row r="578" spans="1:3" x14ac:dyDescent="0.2">
      <c r="A578" s="1">
        <v>45237</v>
      </c>
      <c r="B578">
        <v>45.01</v>
      </c>
      <c r="C578" s="2">
        <f t="shared" si="8"/>
        <v>2.0424904852040942E-2</v>
      </c>
    </row>
    <row r="579" spans="1:3" x14ac:dyDescent="0.2">
      <c r="A579" s="1">
        <v>45236</v>
      </c>
      <c r="B579">
        <v>44.1</v>
      </c>
      <c r="C579" s="2">
        <f t="shared" ref="C579:C642" si="9">+LN(B579/B580)</f>
        <v>3.4071583216143558E-3</v>
      </c>
    </row>
    <row r="580" spans="1:3" x14ac:dyDescent="0.2">
      <c r="A580" s="1">
        <v>45233</v>
      </c>
      <c r="B580">
        <v>43.95</v>
      </c>
      <c r="C580" s="2">
        <f t="shared" si="9"/>
        <v>-7.9320529199038321E-3</v>
      </c>
    </row>
    <row r="581" spans="1:3" x14ac:dyDescent="0.2">
      <c r="A581" s="1">
        <v>45232</v>
      </c>
      <c r="B581">
        <v>44.3</v>
      </c>
      <c r="C581" s="2">
        <f t="shared" si="9"/>
        <v>3.8448537696339001E-3</v>
      </c>
    </row>
    <row r="582" spans="1:3" x14ac:dyDescent="0.2">
      <c r="A582" s="1">
        <v>45231</v>
      </c>
      <c r="B582">
        <v>44.13</v>
      </c>
      <c r="C582" s="2">
        <f t="shared" si="9"/>
        <v>1.2082672926467282E-2</v>
      </c>
    </row>
    <row r="583" spans="1:3" x14ac:dyDescent="0.2">
      <c r="A583" s="1">
        <v>45230</v>
      </c>
      <c r="B583">
        <v>43.6</v>
      </c>
      <c r="C583" s="2">
        <f t="shared" si="9"/>
        <v>8.5224516754484354E-3</v>
      </c>
    </row>
    <row r="584" spans="1:3" x14ac:dyDescent="0.2">
      <c r="A584" s="1">
        <v>45229</v>
      </c>
      <c r="B584">
        <v>43.23</v>
      </c>
      <c r="C584" s="2">
        <f t="shared" si="9"/>
        <v>-4.3854657706055063E-3</v>
      </c>
    </row>
    <row r="585" spans="1:3" x14ac:dyDescent="0.2">
      <c r="A585" s="1">
        <v>45226</v>
      </c>
      <c r="B585">
        <v>43.42</v>
      </c>
      <c r="C585" s="2">
        <f t="shared" si="9"/>
        <v>-6.65674442507737E-3</v>
      </c>
    </row>
    <row r="586" spans="1:3" x14ac:dyDescent="0.2">
      <c r="A586" s="1">
        <v>45225</v>
      </c>
      <c r="B586">
        <v>43.71</v>
      </c>
      <c r="C586" s="2">
        <f t="shared" si="9"/>
        <v>-5.9306743174955589E-3</v>
      </c>
    </row>
    <row r="587" spans="1:3" x14ac:dyDescent="0.2">
      <c r="A587" s="1">
        <v>45224</v>
      </c>
      <c r="B587">
        <v>43.97</v>
      </c>
      <c r="C587" s="2">
        <f t="shared" si="9"/>
        <v>-9.0559821980992963E-3</v>
      </c>
    </row>
    <row r="588" spans="1:3" x14ac:dyDescent="0.2">
      <c r="A588" s="1">
        <v>45223</v>
      </c>
      <c r="B588">
        <v>44.37</v>
      </c>
      <c r="C588" s="2">
        <f t="shared" si="9"/>
        <v>7.6923456231556449E-3</v>
      </c>
    </row>
    <row r="589" spans="1:3" x14ac:dyDescent="0.2">
      <c r="A589" s="1">
        <v>45222</v>
      </c>
      <c r="B589">
        <v>44.03</v>
      </c>
      <c r="C589" s="2">
        <f t="shared" si="9"/>
        <v>9.0888440703409598E-4</v>
      </c>
    </row>
    <row r="590" spans="1:3" x14ac:dyDescent="0.2">
      <c r="A590" s="1">
        <v>45219</v>
      </c>
      <c r="B590">
        <v>43.99</v>
      </c>
      <c r="C590" s="2">
        <f t="shared" si="9"/>
        <v>-1.4219853643757959E-2</v>
      </c>
    </row>
    <row r="591" spans="1:3" x14ac:dyDescent="0.2">
      <c r="A591" s="1">
        <v>45218</v>
      </c>
      <c r="B591">
        <v>44.62</v>
      </c>
      <c r="C591" s="2">
        <f t="shared" si="9"/>
        <v>1.376530818138632E-2</v>
      </c>
    </row>
    <row r="592" spans="1:3" x14ac:dyDescent="0.2">
      <c r="A592" s="1">
        <v>45217</v>
      </c>
      <c r="B592">
        <v>44.01</v>
      </c>
      <c r="C592" s="2">
        <f t="shared" si="9"/>
        <v>-1.8460677344348093E-2</v>
      </c>
    </row>
    <row r="593" spans="1:3" x14ac:dyDescent="0.2">
      <c r="A593" s="1">
        <v>45216</v>
      </c>
      <c r="B593">
        <v>44.83</v>
      </c>
      <c r="C593" s="2">
        <f t="shared" si="9"/>
        <v>-1.4614963414564704E-2</v>
      </c>
    </row>
    <row r="594" spans="1:3" x14ac:dyDescent="0.2">
      <c r="A594" s="1">
        <v>45215</v>
      </c>
      <c r="B594">
        <v>45.49</v>
      </c>
      <c r="C594" s="2">
        <f t="shared" si="9"/>
        <v>5.0688813765214797E-3</v>
      </c>
    </row>
    <row r="595" spans="1:3" x14ac:dyDescent="0.2">
      <c r="A595" s="1">
        <v>45212</v>
      </c>
      <c r="B595">
        <v>45.26</v>
      </c>
      <c r="C595" s="2">
        <f t="shared" si="9"/>
        <v>-6.1674204302022192E-3</v>
      </c>
    </row>
    <row r="596" spans="1:3" x14ac:dyDescent="0.2">
      <c r="A596" s="1">
        <v>45211</v>
      </c>
      <c r="B596">
        <v>45.54</v>
      </c>
      <c r="C596" s="2">
        <f t="shared" si="9"/>
        <v>6.1674204302022886E-3</v>
      </c>
    </row>
    <row r="597" spans="1:3" x14ac:dyDescent="0.2">
      <c r="A597" s="1">
        <v>45210</v>
      </c>
      <c r="B597">
        <v>45.26</v>
      </c>
      <c r="C597" s="2">
        <f t="shared" si="9"/>
        <v>-7.9225766508506587E-3</v>
      </c>
    </row>
    <row r="598" spans="1:3" x14ac:dyDescent="0.2">
      <c r="A598" s="1">
        <v>45209</v>
      </c>
      <c r="B598">
        <v>45.62</v>
      </c>
      <c r="C598" s="2">
        <f t="shared" si="9"/>
        <v>2.1715898783186419E-2</v>
      </c>
    </row>
    <row r="599" spans="1:3" x14ac:dyDescent="0.2">
      <c r="A599" s="1">
        <v>45208</v>
      </c>
      <c r="B599">
        <v>44.64</v>
      </c>
      <c r="C599" s="2">
        <f t="shared" si="9"/>
        <v>-1.4235115821871985E-2</v>
      </c>
    </row>
    <row r="600" spans="1:3" x14ac:dyDescent="0.2">
      <c r="A600" s="1">
        <v>45205</v>
      </c>
      <c r="B600">
        <v>45.28</v>
      </c>
      <c r="C600" s="2">
        <f t="shared" si="9"/>
        <v>1.3115670949567537E-2</v>
      </c>
    </row>
    <row r="601" spans="1:3" x14ac:dyDescent="0.2">
      <c r="A601" s="1">
        <v>45204</v>
      </c>
      <c r="B601">
        <v>44.69</v>
      </c>
      <c r="C601" s="2">
        <f t="shared" si="9"/>
        <v>1.5105686847044317E-2</v>
      </c>
    </row>
    <row r="602" spans="1:3" x14ac:dyDescent="0.2">
      <c r="A602" s="1">
        <v>45203</v>
      </c>
      <c r="B602">
        <v>44.02</v>
      </c>
      <c r="C602" s="2">
        <f t="shared" si="9"/>
        <v>6.3810608496939212E-3</v>
      </c>
    </row>
    <row r="603" spans="1:3" x14ac:dyDescent="0.2">
      <c r="A603" s="1">
        <v>45202</v>
      </c>
      <c r="B603">
        <v>43.74</v>
      </c>
      <c r="C603" s="2">
        <f t="shared" si="9"/>
        <v>-7.5162636052737725E-3</v>
      </c>
    </row>
    <row r="604" spans="1:3" x14ac:dyDescent="0.2">
      <c r="A604" s="1">
        <v>45201</v>
      </c>
      <c r="B604">
        <v>44.07</v>
      </c>
      <c r="C604" s="2">
        <f t="shared" si="9"/>
        <v>-1.4417911391993613E-2</v>
      </c>
    </row>
    <row r="605" spans="1:3" x14ac:dyDescent="0.2">
      <c r="A605" s="1">
        <v>45198</v>
      </c>
      <c r="B605">
        <v>44.71</v>
      </c>
      <c r="C605" s="2">
        <f t="shared" si="9"/>
        <v>1.2604263195920335E-2</v>
      </c>
    </row>
    <row r="606" spans="1:3" x14ac:dyDescent="0.2">
      <c r="A606" s="1">
        <v>45197</v>
      </c>
      <c r="B606">
        <v>44.15</v>
      </c>
      <c r="C606" s="2">
        <f t="shared" si="9"/>
        <v>2.721707282306501E-3</v>
      </c>
    </row>
    <row r="607" spans="1:3" x14ac:dyDescent="0.2">
      <c r="A607" s="1">
        <v>45196</v>
      </c>
      <c r="B607">
        <v>44.03</v>
      </c>
      <c r="C607" s="2">
        <f t="shared" si="9"/>
        <v>-1.6890391402946302E-2</v>
      </c>
    </row>
    <row r="608" spans="1:3" x14ac:dyDescent="0.2">
      <c r="A608" s="1">
        <v>45195</v>
      </c>
      <c r="B608">
        <v>44.78</v>
      </c>
      <c r="C608" s="2">
        <f t="shared" si="9"/>
        <v>-2.2328904859993801E-4</v>
      </c>
    </row>
    <row r="609" spans="1:3" x14ac:dyDescent="0.2">
      <c r="A609" s="1">
        <v>45194</v>
      </c>
      <c r="B609">
        <v>44.79</v>
      </c>
      <c r="C609" s="2">
        <f t="shared" si="9"/>
        <v>-1.1322132269779617E-2</v>
      </c>
    </row>
    <row r="610" spans="1:3" x14ac:dyDescent="0.2">
      <c r="A610" s="1">
        <v>45191</v>
      </c>
      <c r="B610">
        <v>45.3</v>
      </c>
      <c r="C610" s="2">
        <f t="shared" si="9"/>
        <v>8.8692377407797902E-3</v>
      </c>
    </row>
    <row r="611" spans="1:3" x14ac:dyDescent="0.2">
      <c r="A611" s="1">
        <v>45190</v>
      </c>
      <c r="B611">
        <v>44.9</v>
      </c>
      <c r="C611" s="2">
        <f t="shared" si="9"/>
        <v>-5.4184433952822228E-2</v>
      </c>
    </row>
    <row r="612" spans="1:3" x14ac:dyDescent="0.2">
      <c r="A612" s="1">
        <v>45189</v>
      </c>
      <c r="B612">
        <v>47.4</v>
      </c>
      <c r="C612" s="2">
        <f t="shared" si="9"/>
        <v>8.9002494702640784E-3</v>
      </c>
    </row>
    <row r="613" spans="1:3" x14ac:dyDescent="0.2">
      <c r="A613" s="1">
        <v>45188</v>
      </c>
      <c r="B613">
        <v>46.98</v>
      </c>
      <c r="C613" s="2">
        <f t="shared" si="9"/>
        <v>1.0648494244403337E-3</v>
      </c>
    </row>
    <row r="614" spans="1:3" x14ac:dyDescent="0.2">
      <c r="A614" s="1">
        <v>45187</v>
      </c>
      <c r="B614">
        <v>46.93</v>
      </c>
      <c r="C614" s="2">
        <f t="shared" si="9"/>
        <v>2.3466677435615715E-3</v>
      </c>
    </row>
    <row r="615" spans="1:3" x14ac:dyDescent="0.2">
      <c r="A615" s="1">
        <v>45184</v>
      </c>
      <c r="B615">
        <v>46.82</v>
      </c>
      <c r="C615" s="2">
        <f t="shared" si="9"/>
        <v>1.0089170050900464E-2</v>
      </c>
    </row>
    <row r="616" spans="1:3" x14ac:dyDescent="0.2">
      <c r="A616" s="1">
        <v>45183</v>
      </c>
      <c r="B616">
        <v>46.35</v>
      </c>
      <c r="C616" s="2">
        <f t="shared" si="9"/>
        <v>1.5436767017989385E-2</v>
      </c>
    </row>
    <row r="617" spans="1:3" x14ac:dyDescent="0.2">
      <c r="A617" s="1">
        <v>45182</v>
      </c>
      <c r="B617">
        <v>45.64</v>
      </c>
      <c r="C617" s="2">
        <f t="shared" si="9"/>
        <v>3.7317571569557028E-3</v>
      </c>
    </row>
    <row r="618" spans="1:3" x14ac:dyDescent="0.2">
      <c r="A618" s="1">
        <v>45181</v>
      </c>
      <c r="B618">
        <v>45.47</v>
      </c>
      <c r="C618" s="2">
        <f t="shared" si="9"/>
        <v>5.5133009870953738E-3</v>
      </c>
    </row>
    <row r="619" spans="1:3" x14ac:dyDescent="0.2">
      <c r="A619" s="1">
        <v>45180</v>
      </c>
      <c r="B619">
        <v>45.22</v>
      </c>
      <c r="C619" s="2">
        <f t="shared" si="9"/>
        <v>-8.1489273755263152E-3</v>
      </c>
    </row>
    <row r="620" spans="1:3" x14ac:dyDescent="0.2">
      <c r="A620" s="1">
        <v>45177</v>
      </c>
      <c r="B620">
        <v>45.59</v>
      </c>
      <c r="C620" s="2">
        <f t="shared" si="9"/>
        <v>1.2803706920508759E-2</v>
      </c>
    </row>
    <row r="621" spans="1:3" x14ac:dyDescent="0.2">
      <c r="A621" s="1">
        <v>45176</v>
      </c>
      <c r="B621">
        <v>45.01</v>
      </c>
      <c r="C621" s="2">
        <f t="shared" si="9"/>
        <v>1.4546524822675058E-2</v>
      </c>
    </row>
    <row r="622" spans="1:3" x14ac:dyDescent="0.2">
      <c r="A622" s="1">
        <v>45175</v>
      </c>
      <c r="B622">
        <v>44.36</v>
      </c>
      <c r="C622" s="2">
        <f t="shared" si="9"/>
        <v>-2.0085477723225019E-2</v>
      </c>
    </row>
    <row r="623" spans="1:3" x14ac:dyDescent="0.2">
      <c r="A623" s="1">
        <v>45174</v>
      </c>
      <c r="B623">
        <v>45.26</v>
      </c>
      <c r="C623" s="2">
        <f t="shared" si="9"/>
        <v>-6.8259650703998706E-3</v>
      </c>
    </row>
    <row r="624" spans="1:3" x14ac:dyDescent="0.2">
      <c r="A624" s="1">
        <v>45173</v>
      </c>
      <c r="B624">
        <v>45.57</v>
      </c>
      <c r="C624" s="2">
        <f t="shared" si="9"/>
        <v>-4.8161213932129375E-3</v>
      </c>
    </row>
    <row r="625" spans="1:3" x14ac:dyDescent="0.2">
      <c r="A625" s="1">
        <v>45170</v>
      </c>
      <c r="B625">
        <v>45.79</v>
      </c>
      <c r="C625" s="2">
        <f t="shared" si="9"/>
        <v>-1.2802605158381528E-2</v>
      </c>
    </row>
    <row r="626" spans="1:3" x14ac:dyDescent="0.2">
      <c r="A626" s="1">
        <v>45169</v>
      </c>
      <c r="B626">
        <v>46.38</v>
      </c>
      <c r="C626" s="2">
        <f t="shared" si="9"/>
        <v>-1.938611269501298E-3</v>
      </c>
    </row>
    <row r="627" spans="1:3" x14ac:dyDescent="0.2">
      <c r="A627" s="1">
        <v>45168</v>
      </c>
      <c r="B627">
        <v>46.47</v>
      </c>
      <c r="C627" s="2">
        <f t="shared" si="9"/>
        <v>-8.9974900046080053E-3</v>
      </c>
    </row>
    <row r="628" spans="1:3" x14ac:dyDescent="0.2">
      <c r="A628" s="1">
        <v>45167</v>
      </c>
      <c r="B628">
        <v>46.89</v>
      </c>
      <c r="C628" s="2">
        <f t="shared" si="9"/>
        <v>1.5041108658980942E-2</v>
      </c>
    </row>
    <row r="629" spans="1:3" x14ac:dyDescent="0.2">
      <c r="A629" s="1">
        <v>45166</v>
      </c>
      <c r="B629">
        <v>46.19</v>
      </c>
      <c r="C629" s="2">
        <f t="shared" si="9"/>
        <v>7.6062520360297391E-3</v>
      </c>
    </row>
    <row r="630" spans="1:3" x14ac:dyDescent="0.2">
      <c r="A630" s="1">
        <v>45163</v>
      </c>
      <c r="B630">
        <v>45.84</v>
      </c>
      <c r="C630" s="2">
        <f t="shared" si="9"/>
        <v>6.1269338275027384E-3</v>
      </c>
    </row>
    <row r="631" spans="1:3" x14ac:dyDescent="0.2">
      <c r="A631" s="1">
        <v>45162</v>
      </c>
      <c r="B631">
        <v>45.56</v>
      </c>
      <c r="C631" s="2">
        <f t="shared" si="9"/>
        <v>-4.3802084925609617E-3</v>
      </c>
    </row>
    <row r="632" spans="1:3" x14ac:dyDescent="0.2">
      <c r="A632" s="1">
        <v>45161</v>
      </c>
      <c r="B632">
        <v>45.76</v>
      </c>
      <c r="C632" s="2">
        <f t="shared" si="9"/>
        <v>1.0544913176614819E-2</v>
      </c>
    </row>
    <row r="633" spans="1:3" x14ac:dyDescent="0.2">
      <c r="A633" s="1">
        <v>45160</v>
      </c>
      <c r="B633">
        <v>45.28</v>
      </c>
      <c r="C633" s="2">
        <f t="shared" si="9"/>
        <v>1.3339459693927599E-2</v>
      </c>
    </row>
    <row r="634" spans="1:3" x14ac:dyDescent="0.2">
      <c r="A634" s="1">
        <v>45159</v>
      </c>
      <c r="B634">
        <v>44.68</v>
      </c>
      <c r="C634" s="2">
        <f t="shared" si="9"/>
        <v>6.716668784919128E-4</v>
      </c>
    </row>
    <row r="635" spans="1:3" x14ac:dyDescent="0.2">
      <c r="A635" s="1">
        <v>45156</v>
      </c>
      <c r="B635">
        <v>44.65</v>
      </c>
      <c r="C635" s="2">
        <f t="shared" si="9"/>
        <v>-3.5770214755436831E-3</v>
      </c>
    </row>
    <row r="636" spans="1:3" x14ac:dyDescent="0.2">
      <c r="A636" s="1">
        <v>45155</v>
      </c>
      <c r="B636">
        <v>44.81</v>
      </c>
      <c r="C636" s="2">
        <f t="shared" si="9"/>
        <v>-1.2199330621444867E-2</v>
      </c>
    </row>
    <row r="637" spans="1:3" x14ac:dyDescent="0.2">
      <c r="A637" s="1">
        <v>45154</v>
      </c>
      <c r="B637">
        <v>45.36</v>
      </c>
      <c r="C637" s="2">
        <f t="shared" si="9"/>
        <v>-1.9821612039913222E-3</v>
      </c>
    </row>
    <row r="638" spans="1:3" x14ac:dyDescent="0.2">
      <c r="A638" s="1">
        <v>45152</v>
      </c>
      <c r="B638">
        <v>45.45</v>
      </c>
      <c r="C638" s="2">
        <f t="shared" si="9"/>
        <v>9.950330853168092E-3</v>
      </c>
    </row>
    <row r="639" spans="1:3" x14ac:dyDescent="0.2">
      <c r="A639" s="1">
        <v>45149</v>
      </c>
      <c r="B639">
        <v>45</v>
      </c>
      <c r="C639" s="2">
        <f t="shared" si="9"/>
        <v>-1.0170328654077443E-2</v>
      </c>
    </row>
    <row r="640" spans="1:3" x14ac:dyDescent="0.2">
      <c r="A640" s="1">
        <v>45148</v>
      </c>
      <c r="B640">
        <v>45.46</v>
      </c>
      <c r="C640" s="2">
        <f t="shared" si="9"/>
        <v>1.1282057506767853E-2</v>
      </c>
    </row>
    <row r="641" spans="1:3" x14ac:dyDescent="0.2">
      <c r="A641" s="1">
        <v>45147</v>
      </c>
      <c r="B641">
        <v>44.95</v>
      </c>
      <c r="C641" s="2">
        <f t="shared" si="9"/>
        <v>1.2311291479450249E-2</v>
      </c>
    </row>
    <row r="642" spans="1:3" x14ac:dyDescent="0.2">
      <c r="A642" s="1">
        <v>45146</v>
      </c>
      <c r="B642">
        <v>44.4</v>
      </c>
      <c r="C642" s="2">
        <f t="shared" si="9"/>
        <v>2.4625047305389194E-2</v>
      </c>
    </row>
    <row r="643" spans="1:3" x14ac:dyDescent="0.2">
      <c r="A643" s="1">
        <v>45145</v>
      </c>
      <c r="B643">
        <v>43.32</v>
      </c>
      <c r="C643" s="2">
        <f t="shared" ref="C643:C706" si="10">+LN(B643/B644)</f>
        <v>-4.3763745997987772E-3</v>
      </c>
    </row>
    <row r="644" spans="1:3" x14ac:dyDescent="0.2">
      <c r="A644" s="1">
        <v>45142</v>
      </c>
      <c r="B644">
        <v>43.51</v>
      </c>
      <c r="C644" s="2">
        <f t="shared" si="10"/>
        <v>-2.4294531225134072E-2</v>
      </c>
    </row>
    <row r="645" spans="1:3" x14ac:dyDescent="0.2">
      <c r="A645" s="1">
        <v>45141</v>
      </c>
      <c r="B645">
        <v>44.58</v>
      </c>
      <c r="C645" s="2">
        <f t="shared" si="10"/>
        <v>-2.2622388562617612E-2</v>
      </c>
    </row>
    <row r="646" spans="1:3" x14ac:dyDescent="0.2">
      <c r="A646" s="1">
        <v>45140</v>
      </c>
      <c r="B646">
        <v>45.6</v>
      </c>
      <c r="C646" s="2">
        <f t="shared" si="10"/>
        <v>-8.2988028146949548E-3</v>
      </c>
    </row>
    <row r="647" spans="1:3" x14ac:dyDescent="0.2">
      <c r="A647" s="1">
        <v>45139</v>
      </c>
      <c r="B647">
        <v>45.98</v>
      </c>
      <c r="C647" s="2">
        <f t="shared" si="10"/>
        <v>-2.0876686319236504E-2</v>
      </c>
    </row>
    <row r="648" spans="1:3" x14ac:dyDescent="0.2">
      <c r="A648" s="1">
        <v>45138</v>
      </c>
      <c r="B648">
        <v>46.95</v>
      </c>
      <c r="C648" s="2">
        <f t="shared" si="10"/>
        <v>2.9863503422926231E-3</v>
      </c>
    </row>
    <row r="649" spans="1:3" x14ac:dyDescent="0.2">
      <c r="A649" s="1">
        <v>45135</v>
      </c>
      <c r="B649">
        <v>46.81</v>
      </c>
      <c r="C649" s="2">
        <f t="shared" si="10"/>
        <v>6.8596196094859235E-3</v>
      </c>
    </row>
    <row r="650" spans="1:3" x14ac:dyDescent="0.2">
      <c r="A650" s="1">
        <v>45134</v>
      </c>
      <c r="B650">
        <v>46.49</v>
      </c>
      <c r="C650" s="2">
        <f t="shared" si="10"/>
        <v>2.6371801807565844E-2</v>
      </c>
    </row>
    <row r="651" spans="1:3" x14ac:dyDescent="0.2">
      <c r="A651" s="1">
        <v>45133</v>
      </c>
      <c r="B651">
        <v>45.28</v>
      </c>
      <c r="C651" s="2">
        <f t="shared" si="10"/>
        <v>1.8500471935013928E-2</v>
      </c>
    </row>
    <row r="652" spans="1:3" x14ac:dyDescent="0.2">
      <c r="A652" s="1">
        <v>45132</v>
      </c>
      <c r="B652">
        <v>44.45</v>
      </c>
      <c r="C652" s="2">
        <f t="shared" si="10"/>
        <v>-1.3629973044184805E-2</v>
      </c>
    </row>
    <row r="653" spans="1:3" x14ac:dyDescent="0.2">
      <c r="A653" s="1">
        <v>45131</v>
      </c>
      <c r="B653">
        <v>45.06</v>
      </c>
      <c r="C653" s="2">
        <f t="shared" si="10"/>
        <v>-5.9741299486594478E-3</v>
      </c>
    </row>
    <row r="654" spans="1:3" x14ac:dyDescent="0.2">
      <c r="A654" s="1">
        <v>45128</v>
      </c>
      <c r="B654">
        <v>45.33</v>
      </c>
      <c r="C654" s="2">
        <f t="shared" si="10"/>
        <v>4.9054924562824009E-2</v>
      </c>
    </row>
    <row r="655" spans="1:3" x14ac:dyDescent="0.2">
      <c r="A655" s="1">
        <v>45127</v>
      </c>
      <c r="B655">
        <v>43.16</v>
      </c>
      <c r="C655" s="2">
        <f t="shared" si="10"/>
        <v>-7.3869218630748237E-3</v>
      </c>
    </row>
    <row r="656" spans="1:3" x14ac:dyDescent="0.2">
      <c r="A656" s="1">
        <v>45126</v>
      </c>
      <c r="B656">
        <v>43.48</v>
      </c>
      <c r="C656" s="2">
        <f t="shared" si="10"/>
        <v>4.3794007991193578E-3</v>
      </c>
    </row>
    <row r="657" spans="1:3" x14ac:dyDescent="0.2">
      <c r="A657" s="1">
        <v>45125</v>
      </c>
      <c r="B657">
        <v>43.29</v>
      </c>
      <c r="C657" s="2">
        <f t="shared" si="10"/>
        <v>6.4890146582443796E-3</v>
      </c>
    </row>
    <row r="658" spans="1:3" x14ac:dyDescent="0.2">
      <c r="A658" s="1">
        <v>45124</v>
      </c>
      <c r="B658">
        <v>43.01</v>
      </c>
      <c r="C658" s="2">
        <f t="shared" si="10"/>
        <v>-1.6262054925428808E-3</v>
      </c>
    </row>
    <row r="659" spans="1:3" x14ac:dyDescent="0.2">
      <c r="A659" s="1">
        <v>45121</v>
      </c>
      <c r="B659">
        <v>43.08</v>
      </c>
      <c r="C659" s="2">
        <f t="shared" si="10"/>
        <v>4.4201537593987258E-3</v>
      </c>
    </row>
    <row r="660" spans="1:3" x14ac:dyDescent="0.2">
      <c r="A660" s="1">
        <v>45120</v>
      </c>
      <c r="B660">
        <v>42.89</v>
      </c>
      <c r="C660" s="2">
        <f t="shared" si="10"/>
        <v>-4.6620047464418707E-4</v>
      </c>
    </row>
    <row r="661" spans="1:3" x14ac:dyDescent="0.2">
      <c r="A661" s="1">
        <v>45119</v>
      </c>
      <c r="B661">
        <v>42.91</v>
      </c>
      <c r="C661" s="2">
        <f t="shared" si="10"/>
        <v>1.5500545200250421E-2</v>
      </c>
    </row>
    <row r="662" spans="1:3" x14ac:dyDescent="0.2">
      <c r="A662" s="1">
        <v>45118</v>
      </c>
      <c r="B662">
        <v>42.25</v>
      </c>
      <c r="C662" s="2">
        <f t="shared" si="10"/>
        <v>-1.6554337468610767E-3</v>
      </c>
    </row>
    <row r="663" spans="1:3" x14ac:dyDescent="0.2">
      <c r="A663" s="1">
        <v>45117</v>
      </c>
      <c r="B663">
        <v>42.32</v>
      </c>
      <c r="C663" s="2">
        <f t="shared" si="10"/>
        <v>8.5430040219474299E-3</v>
      </c>
    </row>
    <row r="664" spans="1:3" x14ac:dyDescent="0.2">
      <c r="A664" s="1">
        <v>45114</v>
      </c>
      <c r="B664">
        <v>41.96</v>
      </c>
      <c r="C664" s="2">
        <f t="shared" si="10"/>
        <v>-6.1772588920780257E-3</v>
      </c>
    </row>
    <row r="665" spans="1:3" x14ac:dyDescent="0.2">
      <c r="A665" s="1">
        <v>45113</v>
      </c>
      <c r="B665">
        <v>42.22</v>
      </c>
      <c r="C665" s="2">
        <f t="shared" si="10"/>
        <v>-3.4225200543169951E-2</v>
      </c>
    </row>
    <row r="666" spans="1:3" x14ac:dyDescent="0.2">
      <c r="A666" s="1">
        <v>45112</v>
      </c>
      <c r="B666">
        <v>43.69</v>
      </c>
      <c r="C666" s="2">
        <f t="shared" si="10"/>
        <v>2.5209134468706447E-3</v>
      </c>
    </row>
    <row r="667" spans="1:3" x14ac:dyDescent="0.2">
      <c r="A667" s="1">
        <v>45111</v>
      </c>
      <c r="B667">
        <v>43.58</v>
      </c>
      <c r="C667" s="2">
        <f t="shared" si="10"/>
        <v>4.8303716691990147E-3</v>
      </c>
    </row>
    <row r="668" spans="1:3" x14ac:dyDescent="0.2">
      <c r="A668" s="1">
        <v>45110</v>
      </c>
      <c r="B668">
        <v>43.37</v>
      </c>
      <c r="C668" s="2">
        <f t="shared" si="10"/>
        <v>-8.7236549563485793E-3</v>
      </c>
    </row>
    <row r="669" spans="1:3" x14ac:dyDescent="0.2">
      <c r="A669" s="1">
        <v>45107</v>
      </c>
      <c r="B669">
        <v>43.75</v>
      </c>
      <c r="C669" s="2">
        <f t="shared" si="10"/>
        <v>9.8771906708336448E-3</v>
      </c>
    </row>
    <row r="670" spans="1:3" x14ac:dyDescent="0.2">
      <c r="A670" s="1">
        <v>45106</v>
      </c>
      <c r="B670">
        <v>43.32</v>
      </c>
      <c r="C670" s="2">
        <f t="shared" si="10"/>
        <v>5.0914250230876673E-3</v>
      </c>
    </row>
    <row r="671" spans="1:3" x14ac:dyDescent="0.2">
      <c r="A671" s="1">
        <v>45105</v>
      </c>
      <c r="B671">
        <v>43.1</v>
      </c>
      <c r="C671" s="2">
        <f t="shared" si="10"/>
        <v>9.0899122563270814E-3</v>
      </c>
    </row>
    <row r="672" spans="1:3" x14ac:dyDescent="0.2">
      <c r="A672" s="1">
        <v>45104</v>
      </c>
      <c r="B672">
        <v>42.71</v>
      </c>
      <c r="C672" s="2">
        <f t="shared" si="10"/>
        <v>-5.1377973830940568E-3</v>
      </c>
    </row>
    <row r="673" spans="1:3" x14ac:dyDescent="0.2">
      <c r="A673" s="1">
        <v>45103</v>
      </c>
      <c r="B673">
        <v>42.93</v>
      </c>
      <c r="C673" s="2">
        <f t="shared" si="10"/>
        <v>-4.6479284232825947E-3</v>
      </c>
    </row>
    <row r="674" spans="1:3" x14ac:dyDescent="0.2">
      <c r="A674" s="1">
        <v>45100</v>
      </c>
      <c r="B674">
        <v>43.13</v>
      </c>
      <c r="C674" s="2">
        <f t="shared" si="10"/>
        <v>8.1481070054922472E-3</v>
      </c>
    </row>
    <row r="675" spans="1:3" x14ac:dyDescent="0.2">
      <c r="A675" s="1">
        <v>45099</v>
      </c>
      <c r="B675">
        <v>42.78</v>
      </c>
      <c r="C675" s="2">
        <f t="shared" si="10"/>
        <v>-1.1619930883966493E-2</v>
      </c>
    </row>
    <row r="676" spans="1:3" x14ac:dyDescent="0.2">
      <c r="A676" s="1">
        <v>45098</v>
      </c>
      <c r="B676">
        <v>43.28</v>
      </c>
      <c r="C676" s="2">
        <f t="shared" si="10"/>
        <v>-1.7861706835970978E-2</v>
      </c>
    </row>
    <row r="677" spans="1:3" x14ac:dyDescent="0.2">
      <c r="A677" s="1">
        <v>45097</v>
      </c>
      <c r="B677">
        <v>44.06</v>
      </c>
      <c r="C677" s="2">
        <f t="shared" si="10"/>
        <v>-7.6871280639819271E-3</v>
      </c>
    </row>
    <row r="678" spans="1:3" x14ac:dyDescent="0.2">
      <c r="A678" s="1">
        <v>45096</v>
      </c>
      <c r="B678">
        <v>44.4</v>
      </c>
      <c r="C678" s="2">
        <f t="shared" si="10"/>
        <v>-1.9184170767212263E-2</v>
      </c>
    </row>
    <row r="679" spans="1:3" x14ac:dyDescent="0.2">
      <c r="A679" s="1">
        <v>45093</v>
      </c>
      <c r="B679">
        <v>45.26</v>
      </c>
      <c r="C679" s="2">
        <f t="shared" si="10"/>
        <v>7.3179171233225919E-3</v>
      </c>
    </row>
    <row r="680" spans="1:3" x14ac:dyDescent="0.2">
      <c r="A680" s="1">
        <v>45092</v>
      </c>
      <c r="B680">
        <v>44.93</v>
      </c>
      <c r="C680" s="2">
        <f t="shared" si="10"/>
        <v>-1.1122234491010277E-3</v>
      </c>
    </row>
    <row r="681" spans="1:3" x14ac:dyDescent="0.2">
      <c r="A681" s="1">
        <v>45091</v>
      </c>
      <c r="B681">
        <v>44.98</v>
      </c>
      <c r="C681" s="2">
        <f t="shared" si="10"/>
        <v>-1.1494379425735134E-2</v>
      </c>
    </row>
    <row r="682" spans="1:3" x14ac:dyDescent="0.2">
      <c r="A682" s="1">
        <v>45090</v>
      </c>
      <c r="B682">
        <v>45.5</v>
      </c>
      <c r="C682" s="2">
        <f t="shared" si="10"/>
        <v>2.5825121768739304E-2</v>
      </c>
    </row>
    <row r="683" spans="1:3" x14ac:dyDescent="0.2">
      <c r="A683" s="1">
        <v>45089</v>
      </c>
      <c r="B683">
        <v>44.34</v>
      </c>
      <c r="C683" s="2">
        <f t="shared" si="10"/>
        <v>-1.1270146577783942E-3</v>
      </c>
    </row>
    <row r="684" spans="1:3" x14ac:dyDescent="0.2">
      <c r="A684" s="1">
        <v>45086</v>
      </c>
      <c r="B684">
        <v>44.39</v>
      </c>
      <c r="C684" s="2">
        <f t="shared" si="10"/>
        <v>-1.0309369658861213E-2</v>
      </c>
    </row>
    <row r="685" spans="1:3" x14ac:dyDescent="0.2">
      <c r="A685" s="1">
        <v>45085</v>
      </c>
      <c r="B685">
        <v>44.85</v>
      </c>
      <c r="C685" s="2">
        <f t="shared" si="10"/>
        <v>5.1413995004186523E-3</v>
      </c>
    </row>
    <row r="686" spans="1:3" x14ac:dyDescent="0.2">
      <c r="A686" s="1">
        <v>45084</v>
      </c>
      <c r="B686">
        <v>44.62</v>
      </c>
      <c r="C686" s="2">
        <f t="shared" si="10"/>
        <v>1.1268994619084772E-2</v>
      </c>
    </row>
    <row r="687" spans="1:3" x14ac:dyDescent="0.2">
      <c r="A687" s="1">
        <v>45083</v>
      </c>
      <c r="B687">
        <v>44.12</v>
      </c>
      <c r="C687" s="2">
        <f t="shared" si="10"/>
        <v>2.5713078691739263E-2</v>
      </c>
    </row>
    <row r="688" spans="1:3" x14ac:dyDescent="0.2">
      <c r="A688" s="1">
        <v>45082</v>
      </c>
      <c r="B688">
        <v>43</v>
      </c>
      <c r="C688" s="2">
        <f t="shared" si="10"/>
        <v>3.7278701140143911E-3</v>
      </c>
    </row>
    <row r="689" spans="1:3" x14ac:dyDescent="0.2">
      <c r="A689" s="1">
        <v>45079</v>
      </c>
      <c r="B689">
        <v>42.84</v>
      </c>
      <c r="C689" s="2">
        <f t="shared" si="10"/>
        <v>6.5574005461590396E-3</v>
      </c>
    </row>
    <row r="690" spans="1:3" x14ac:dyDescent="0.2">
      <c r="A690" s="1">
        <v>45078</v>
      </c>
      <c r="B690">
        <v>42.56</v>
      </c>
      <c r="C690" s="2">
        <f t="shared" si="10"/>
        <v>4.6654288881150398E-2</v>
      </c>
    </row>
    <row r="691" spans="1:3" x14ac:dyDescent="0.2">
      <c r="A691" s="1">
        <v>45077</v>
      </c>
      <c r="B691">
        <v>40.619999999999997</v>
      </c>
      <c r="C691" s="2">
        <f t="shared" si="10"/>
        <v>-3.2694521193260932E-2</v>
      </c>
    </row>
    <row r="692" spans="1:3" x14ac:dyDescent="0.2">
      <c r="A692" s="1">
        <v>45076</v>
      </c>
      <c r="B692">
        <v>41.97</v>
      </c>
      <c r="C692" s="2">
        <f t="shared" si="10"/>
        <v>-1.6541019854409166E-2</v>
      </c>
    </row>
    <row r="693" spans="1:3" x14ac:dyDescent="0.2">
      <c r="A693" s="1">
        <v>45075</v>
      </c>
      <c r="B693">
        <v>42.67</v>
      </c>
      <c r="C693" s="2">
        <f t="shared" si="10"/>
        <v>-1.1649712367477565E-2</v>
      </c>
    </row>
    <row r="694" spans="1:3" x14ac:dyDescent="0.2">
      <c r="A694" s="1">
        <v>45072</v>
      </c>
      <c r="B694">
        <v>43.17</v>
      </c>
      <c r="C694" s="2">
        <f t="shared" si="10"/>
        <v>1.1415383133833662E-2</v>
      </c>
    </row>
    <row r="695" spans="1:3" x14ac:dyDescent="0.2">
      <c r="A695" s="1">
        <v>45071</v>
      </c>
      <c r="B695">
        <v>42.68</v>
      </c>
      <c r="C695" s="2">
        <f t="shared" si="10"/>
        <v>-1.0488384226199172E-2</v>
      </c>
    </row>
    <row r="696" spans="1:3" x14ac:dyDescent="0.2">
      <c r="A696" s="1">
        <v>45070</v>
      </c>
      <c r="B696">
        <v>43.13</v>
      </c>
      <c r="C696" s="2">
        <f t="shared" si="10"/>
        <v>-2.7668393528413694E-2</v>
      </c>
    </row>
    <row r="697" spans="1:3" x14ac:dyDescent="0.2">
      <c r="A697" s="1">
        <v>45069</v>
      </c>
      <c r="B697">
        <v>44.34</v>
      </c>
      <c r="C697" s="2">
        <f t="shared" si="10"/>
        <v>6.5618518059770963E-3</v>
      </c>
    </row>
    <row r="698" spans="1:3" x14ac:dyDescent="0.2">
      <c r="A698" s="1">
        <v>45068</v>
      </c>
      <c r="B698">
        <v>44.05</v>
      </c>
      <c r="C698" s="2">
        <f t="shared" si="10"/>
        <v>-2.1337137388131325E-2</v>
      </c>
    </row>
    <row r="699" spans="1:3" x14ac:dyDescent="0.2">
      <c r="A699" s="1">
        <v>45065</v>
      </c>
      <c r="B699">
        <v>45</v>
      </c>
      <c r="C699" s="2">
        <f t="shared" si="10"/>
        <v>9.8258941512912E-3</v>
      </c>
    </row>
    <row r="700" spans="1:3" x14ac:dyDescent="0.2">
      <c r="A700" s="1">
        <v>45064</v>
      </c>
      <c r="B700">
        <v>44.56</v>
      </c>
      <c r="C700" s="2">
        <f t="shared" si="10"/>
        <v>-9.8258941512911722E-3</v>
      </c>
    </row>
    <row r="701" spans="1:3" x14ac:dyDescent="0.2">
      <c r="A701" s="1">
        <v>45063</v>
      </c>
      <c r="B701">
        <v>45</v>
      </c>
      <c r="C701" s="2">
        <f t="shared" si="10"/>
        <v>-1.3683727085922132E-2</v>
      </c>
    </row>
    <row r="702" spans="1:3" x14ac:dyDescent="0.2">
      <c r="A702" s="1">
        <v>45062</v>
      </c>
      <c r="B702">
        <v>45.62</v>
      </c>
      <c r="C702" s="2">
        <f t="shared" si="10"/>
        <v>-6.1189002102575137E-3</v>
      </c>
    </row>
    <row r="703" spans="1:3" x14ac:dyDescent="0.2">
      <c r="A703" s="1">
        <v>45061</v>
      </c>
      <c r="B703">
        <v>45.9</v>
      </c>
      <c r="C703" s="2">
        <f t="shared" si="10"/>
        <v>4.0232117696653198E-2</v>
      </c>
    </row>
    <row r="704" spans="1:3" x14ac:dyDescent="0.2">
      <c r="A704" s="1">
        <v>45058</v>
      </c>
      <c r="B704">
        <v>44.09</v>
      </c>
      <c r="C704" s="2">
        <f t="shared" si="10"/>
        <v>2.1782358408836053E-2</v>
      </c>
    </row>
    <row r="705" spans="1:3" x14ac:dyDescent="0.2">
      <c r="A705" s="1">
        <v>45057</v>
      </c>
      <c r="B705">
        <v>43.14</v>
      </c>
      <c r="C705" s="2">
        <f t="shared" si="10"/>
        <v>2.0609628773099825E-2</v>
      </c>
    </row>
    <row r="706" spans="1:3" x14ac:dyDescent="0.2">
      <c r="A706" s="1">
        <v>45056</v>
      </c>
      <c r="B706">
        <v>42.26</v>
      </c>
      <c r="C706" s="2">
        <f t="shared" si="10"/>
        <v>6.1713939045422248E-3</v>
      </c>
    </row>
    <row r="707" spans="1:3" x14ac:dyDescent="0.2">
      <c r="A707" s="1">
        <v>45055</v>
      </c>
      <c r="B707">
        <v>42</v>
      </c>
      <c r="C707" s="2">
        <f t="shared" ref="C707:C770" si="11">+LN(B707/B708)</f>
        <v>-1.9029501460860756E-3</v>
      </c>
    </row>
    <row r="708" spans="1:3" x14ac:dyDescent="0.2">
      <c r="A708" s="1">
        <v>45054</v>
      </c>
      <c r="B708">
        <v>42.08</v>
      </c>
      <c r="C708" s="2">
        <f t="shared" si="11"/>
        <v>-9.46080850422896E-3</v>
      </c>
    </row>
    <row r="709" spans="1:3" x14ac:dyDescent="0.2">
      <c r="A709" s="1">
        <v>45051</v>
      </c>
      <c r="B709">
        <v>42.48</v>
      </c>
      <c r="C709" s="2">
        <f t="shared" si="11"/>
        <v>3.2781976023896257E-2</v>
      </c>
    </row>
    <row r="710" spans="1:3" x14ac:dyDescent="0.2">
      <c r="A710" s="1">
        <v>45050</v>
      </c>
      <c r="B710">
        <v>41.11</v>
      </c>
      <c r="C710" s="2">
        <f t="shared" si="11"/>
        <v>-7.7538551795234053E-3</v>
      </c>
    </row>
    <row r="711" spans="1:3" x14ac:dyDescent="0.2">
      <c r="A711" s="1">
        <v>45049</v>
      </c>
      <c r="B711">
        <v>41.43</v>
      </c>
      <c r="C711" s="2">
        <f t="shared" si="11"/>
        <v>1.2141965584998844E-2</v>
      </c>
    </row>
    <row r="712" spans="1:3" x14ac:dyDescent="0.2">
      <c r="A712" s="1">
        <v>45048</v>
      </c>
      <c r="B712">
        <v>40.93</v>
      </c>
      <c r="C712" s="2">
        <f t="shared" si="11"/>
        <v>-1.9357004099149575E-2</v>
      </c>
    </row>
    <row r="713" spans="1:3" x14ac:dyDescent="0.2">
      <c r="A713" s="1">
        <v>45044</v>
      </c>
      <c r="B713">
        <v>41.73</v>
      </c>
      <c r="C713" s="2">
        <f t="shared" si="11"/>
        <v>1.0115693194787979E-2</v>
      </c>
    </row>
    <row r="714" spans="1:3" x14ac:dyDescent="0.2">
      <c r="A714" s="1">
        <v>45043</v>
      </c>
      <c r="B714">
        <v>41.31</v>
      </c>
      <c r="C714" s="2">
        <f t="shared" si="11"/>
        <v>3.1725272253085801E-2</v>
      </c>
    </row>
    <row r="715" spans="1:3" x14ac:dyDescent="0.2">
      <c r="A715" s="1">
        <v>45042</v>
      </c>
      <c r="B715">
        <v>40.020000000000003</v>
      </c>
      <c r="C715" s="2">
        <f t="shared" si="11"/>
        <v>-1.6848763292961914E-2</v>
      </c>
    </row>
    <row r="716" spans="1:3" x14ac:dyDescent="0.2">
      <c r="A716" s="1">
        <v>45041</v>
      </c>
      <c r="B716">
        <v>40.700000000000003</v>
      </c>
      <c r="C716" s="2">
        <f t="shared" si="11"/>
        <v>-1.6569579868847675E-2</v>
      </c>
    </row>
    <row r="717" spans="1:3" x14ac:dyDescent="0.2">
      <c r="A717" s="1">
        <v>45040</v>
      </c>
      <c r="B717">
        <v>41.38</v>
      </c>
      <c r="C717" s="2">
        <f t="shared" si="11"/>
        <v>-1.5585976699628272E-2</v>
      </c>
    </row>
    <row r="718" spans="1:3" x14ac:dyDescent="0.2">
      <c r="A718" s="1">
        <v>45037</v>
      </c>
      <c r="B718">
        <v>42.03</v>
      </c>
      <c r="C718" s="2">
        <f t="shared" si="11"/>
        <v>5.30103342323767E-2</v>
      </c>
    </row>
    <row r="719" spans="1:3" x14ac:dyDescent="0.2">
      <c r="A719" s="1">
        <v>45036</v>
      </c>
      <c r="B719">
        <v>39.86</v>
      </c>
      <c r="C719" s="2">
        <f t="shared" si="11"/>
        <v>-9.4882110068351434E-3</v>
      </c>
    </row>
    <row r="720" spans="1:3" x14ac:dyDescent="0.2">
      <c r="A720" s="1">
        <v>45035</v>
      </c>
      <c r="B720">
        <v>40.24</v>
      </c>
      <c r="C720" s="2">
        <f t="shared" si="11"/>
        <v>-4.7105578611957143E-3</v>
      </c>
    </row>
    <row r="721" spans="1:3" x14ac:dyDescent="0.2">
      <c r="A721" s="1">
        <v>45034</v>
      </c>
      <c r="B721">
        <v>40.43</v>
      </c>
      <c r="C721" s="2">
        <f t="shared" si="11"/>
        <v>-9.8450216788048116E-3</v>
      </c>
    </row>
    <row r="722" spans="1:3" x14ac:dyDescent="0.2">
      <c r="A722" s="1">
        <v>45033</v>
      </c>
      <c r="B722">
        <v>40.83</v>
      </c>
      <c r="C722" s="2">
        <f t="shared" si="11"/>
        <v>2.4521836711631794E-3</v>
      </c>
    </row>
    <row r="723" spans="1:3" x14ac:dyDescent="0.2">
      <c r="A723" s="1">
        <v>45030</v>
      </c>
      <c r="B723">
        <v>40.729999999999997</v>
      </c>
      <c r="C723" s="2">
        <f t="shared" si="11"/>
        <v>1.0365344531246747E-2</v>
      </c>
    </row>
    <row r="724" spans="1:3" x14ac:dyDescent="0.2">
      <c r="A724" s="1">
        <v>45029</v>
      </c>
      <c r="B724">
        <v>40.31</v>
      </c>
      <c r="C724" s="2">
        <f t="shared" si="11"/>
        <v>9.9726580684321355E-3</v>
      </c>
    </row>
    <row r="725" spans="1:3" x14ac:dyDescent="0.2">
      <c r="A725" s="1">
        <v>45028</v>
      </c>
      <c r="B725">
        <v>39.909999999999997</v>
      </c>
      <c r="C725" s="2">
        <f t="shared" si="11"/>
        <v>1.504513824418244E-3</v>
      </c>
    </row>
    <row r="726" spans="1:3" x14ac:dyDescent="0.2">
      <c r="A726" s="1">
        <v>45027</v>
      </c>
      <c r="B726">
        <v>39.85</v>
      </c>
      <c r="C726" s="2">
        <f t="shared" si="11"/>
        <v>5.7883639658193736E-3</v>
      </c>
    </row>
    <row r="727" spans="1:3" x14ac:dyDescent="0.2">
      <c r="A727" s="1">
        <v>45022</v>
      </c>
      <c r="B727">
        <v>39.619999999999997</v>
      </c>
      <c r="C727" s="2">
        <f t="shared" si="11"/>
        <v>6.5839690863521844E-3</v>
      </c>
    </row>
    <row r="728" spans="1:3" x14ac:dyDescent="0.2">
      <c r="A728" s="1">
        <v>45021</v>
      </c>
      <c r="B728">
        <v>39.36</v>
      </c>
      <c r="C728" s="2">
        <f t="shared" si="11"/>
        <v>3.0534374868902482E-3</v>
      </c>
    </row>
    <row r="729" spans="1:3" x14ac:dyDescent="0.2">
      <c r="A729" s="1">
        <v>45020</v>
      </c>
      <c r="B729">
        <v>39.24</v>
      </c>
      <c r="C729" s="2">
        <f t="shared" si="11"/>
        <v>4.5977092486295494E-3</v>
      </c>
    </row>
    <row r="730" spans="1:3" x14ac:dyDescent="0.2">
      <c r="A730" s="1">
        <v>45019</v>
      </c>
      <c r="B730">
        <v>39.06</v>
      </c>
      <c r="C730" s="2">
        <f t="shared" si="11"/>
        <v>2.5634466741985482E-3</v>
      </c>
    </row>
    <row r="731" spans="1:3" x14ac:dyDescent="0.2">
      <c r="A731" s="1">
        <v>45016</v>
      </c>
      <c r="B731">
        <v>38.96</v>
      </c>
      <c r="C731" s="2">
        <f t="shared" si="11"/>
        <v>-7.6707100739805828E-3</v>
      </c>
    </row>
    <row r="732" spans="1:3" x14ac:dyDescent="0.2">
      <c r="A732" s="1">
        <v>45015</v>
      </c>
      <c r="B732">
        <v>39.26</v>
      </c>
      <c r="C732" s="2">
        <f t="shared" si="11"/>
        <v>2.8057664115029367E-3</v>
      </c>
    </row>
    <row r="733" spans="1:3" x14ac:dyDescent="0.2">
      <c r="A733" s="1">
        <v>45014</v>
      </c>
      <c r="B733">
        <v>39.15</v>
      </c>
      <c r="C733" s="2">
        <f t="shared" si="11"/>
        <v>-2.296212260350268E-3</v>
      </c>
    </row>
    <row r="734" spans="1:3" x14ac:dyDescent="0.2">
      <c r="A734" s="1">
        <v>45013</v>
      </c>
      <c r="B734">
        <v>39.24</v>
      </c>
      <c r="C734" s="2">
        <f t="shared" si="11"/>
        <v>-1.818231908319036E-2</v>
      </c>
    </row>
    <row r="735" spans="1:3" x14ac:dyDescent="0.2">
      <c r="A735" s="1">
        <v>45012</v>
      </c>
      <c r="B735">
        <v>39.96</v>
      </c>
      <c r="C735" s="2">
        <f t="shared" si="11"/>
        <v>2.8943376039488506E-2</v>
      </c>
    </row>
    <row r="736" spans="1:3" x14ac:dyDescent="0.2">
      <c r="A736" s="1">
        <v>45009</v>
      </c>
      <c r="B736">
        <v>38.82</v>
      </c>
      <c r="C736" s="2">
        <f t="shared" si="11"/>
        <v>3.3544090284427742E-3</v>
      </c>
    </row>
    <row r="737" spans="1:3" x14ac:dyDescent="0.2">
      <c r="A737" s="1">
        <v>45008</v>
      </c>
      <c r="B737">
        <v>38.69</v>
      </c>
      <c r="C737" s="2">
        <f t="shared" si="11"/>
        <v>-3.3544090284426979E-3</v>
      </c>
    </row>
    <row r="738" spans="1:3" x14ac:dyDescent="0.2">
      <c r="A738" s="1">
        <v>45007</v>
      </c>
      <c r="B738">
        <v>38.82</v>
      </c>
      <c r="C738" s="2">
        <f t="shared" si="11"/>
        <v>-6.4193313261150077E-3</v>
      </c>
    </row>
    <row r="739" spans="1:3" x14ac:dyDescent="0.2">
      <c r="A739" s="1">
        <v>45006</v>
      </c>
      <c r="B739">
        <v>39.07</v>
      </c>
      <c r="C739" s="2">
        <f t="shared" si="11"/>
        <v>1.3658246080758836E-2</v>
      </c>
    </row>
    <row r="740" spans="1:3" x14ac:dyDescent="0.2">
      <c r="A740" s="1">
        <v>45005</v>
      </c>
      <c r="B740">
        <v>38.54</v>
      </c>
      <c r="C740" s="2">
        <f t="shared" si="11"/>
        <v>6.7690964014668351E-3</v>
      </c>
    </row>
    <row r="741" spans="1:3" x14ac:dyDescent="0.2">
      <c r="A741" s="1">
        <v>45002</v>
      </c>
      <c r="B741">
        <v>38.28</v>
      </c>
      <c r="C741" s="2">
        <f t="shared" si="11"/>
        <v>-1.5037877364540446E-2</v>
      </c>
    </row>
    <row r="742" spans="1:3" x14ac:dyDescent="0.2">
      <c r="A742" s="1">
        <v>45001</v>
      </c>
      <c r="B742">
        <v>38.86</v>
      </c>
      <c r="C742" s="2">
        <f t="shared" si="11"/>
        <v>2.2379284222908177E-2</v>
      </c>
    </row>
    <row r="743" spans="1:3" x14ac:dyDescent="0.2">
      <c r="A743" s="1">
        <v>45000</v>
      </c>
      <c r="B743">
        <v>38</v>
      </c>
      <c r="C743" s="2">
        <f t="shared" si="11"/>
        <v>-2.0834086902841914E-2</v>
      </c>
    </row>
    <row r="744" spans="1:3" x14ac:dyDescent="0.2">
      <c r="A744" s="1">
        <v>44999</v>
      </c>
      <c r="B744">
        <v>38.799999999999997</v>
      </c>
      <c r="C744" s="2">
        <f t="shared" si="11"/>
        <v>4.13223728491037E-3</v>
      </c>
    </row>
    <row r="745" spans="1:3" x14ac:dyDescent="0.2">
      <c r="A745" s="1">
        <v>44998</v>
      </c>
      <c r="B745">
        <v>38.64</v>
      </c>
      <c r="C745" s="2">
        <f t="shared" si="11"/>
        <v>-1.8099552452395303E-3</v>
      </c>
    </row>
    <row r="746" spans="1:3" x14ac:dyDescent="0.2">
      <c r="A746" s="1">
        <v>44995</v>
      </c>
      <c r="B746">
        <v>38.71</v>
      </c>
      <c r="C746" s="2">
        <f t="shared" si="11"/>
        <v>-9.2569444774224414E-3</v>
      </c>
    </row>
    <row r="747" spans="1:3" x14ac:dyDescent="0.2">
      <c r="A747" s="1">
        <v>44994</v>
      </c>
      <c r="B747">
        <v>39.07</v>
      </c>
      <c r="C747" s="2">
        <f t="shared" si="11"/>
        <v>-5.869609808236303E-3</v>
      </c>
    </row>
    <row r="748" spans="1:3" x14ac:dyDescent="0.2">
      <c r="A748" s="1">
        <v>44993</v>
      </c>
      <c r="B748">
        <v>39.299999999999997</v>
      </c>
      <c r="C748" s="2">
        <f t="shared" si="11"/>
        <v>5.0903538895028194E-4</v>
      </c>
    </row>
    <row r="749" spans="1:3" x14ac:dyDescent="0.2">
      <c r="A749" s="1">
        <v>44992</v>
      </c>
      <c r="B749">
        <v>39.28</v>
      </c>
      <c r="C749" s="2">
        <f t="shared" si="11"/>
        <v>-6.8502107273976758E-3</v>
      </c>
    </row>
    <row r="750" spans="1:3" x14ac:dyDescent="0.2">
      <c r="A750" s="1">
        <v>44991</v>
      </c>
      <c r="B750">
        <v>39.549999999999997</v>
      </c>
      <c r="C750" s="2">
        <f t="shared" si="11"/>
        <v>-1.7683470567420034E-3</v>
      </c>
    </row>
    <row r="751" spans="1:3" x14ac:dyDescent="0.2">
      <c r="A751" s="1">
        <v>44988</v>
      </c>
      <c r="B751">
        <v>39.619999999999997</v>
      </c>
      <c r="C751" s="2">
        <f t="shared" si="11"/>
        <v>8.1095223951893926E-3</v>
      </c>
    </row>
    <row r="752" spans="1:3" x14ac:dyDescent="0.2">
      <c r="A752" s="1">
        <v>44987</v>
      </c>
      <c r="B752">
        <v>39.299999999999997</v>
      </c>
      <c r="C752" s="2">
        <f t="shared" si="11"/>
        <v>4.5906737085990501E-3</v>
      </c>
    </row>
    <row r="753" spans="1:3" x14ac:dyDescent="0.2">
      <c r="A753" s="1">
        <v>44986</v>
      </c>
      <c r="B753">
        <v>39.119999999999997</v>
      </c>
      <c r="C753" s="2">
        <f t="shared" si="11"/>
        <v>-2.573949820157561E-2</v>
      </c>
    </row>
    <row r="754" spans="1:3" x14ac:dyDescent="0.2">
      <c r="A754" s="1">
        <v>44985</v>
      </c>
      <c r="B754">
        <v>40.14</v>
      </c>
      <c r="C754" s="2">
        <f t="shared" si="11"/>
        <v>4.9838027445735201E-4</v>
      </c>
    </row>
    <row r="755" spans="1:3" x14ac:dyDescent="0.2">
      <c r="A755" s="1">
        <v>44984</v>
      </c>
      <c r="B755">
        <v>40.119999999999997</v>
      </c>
      <c r="C755" s="2">
        <f t="shared" si="11"/>
        <v>1.6840915801851378E-2</v>
      </c>
    </row>
    <row r="756" spans="1:3" x14ac:dyDescent="0.2">
      <c r="A756" s="1">
        <v>44981</v>
      </c>
      <c r="B756">
        <v>39.450000000000003</v>
      </c>
      <c r="C756" s="2">
        <f t="shared" si="11"/>
        <v>-1.4595125712598937E-2</v>
      </c>
    </row>
    <row r="757" spans="1:3" x14ac:dyDescent="0.2">
      <c r="A757" s="1">
        <v>44980</v>
      </c>
      <c r="B757">
        <v>40.03</v>
      </c>
      <c r="C757" s="2">
        <f t="shared" si="11"/>
        <v>1.20634787908194E-2</v>
      </c>
    </row>
    <row r="758" spans="1:3" x14ac:dyDescent="0.2">
      <c r="A758" s="1">
        <v>44979</v>
      </c>
      <c r="B758">
        <v>39.549999999999997</v>
      </c>
      <c r="C758" s="2">
        <f t="shared" si="11"/>
        <v>-2.5956036637143645E-2</v>
      </c>
    </row>
    <row r="759" spans="1:3" x14ac:dyDescent="0.2">
      <c r="A759" s="1">
        <v>44978</v>
      </c>
      <c r="B759">
        <v>40.590000000000003</v>
      </c>
      <c r="C759" s="2">
        <f t="shared" si="11"/>
        <v>-1.2486390651382533E-2</v>
      </c>
    </row>
    <row r="760" spans="1:3" x14ac:dyDescent="0.2">
      <c r="A760" s="1">
        <v>44977</v>
      </c>
      <c r="B760">
        <v>41.1</v>
      </c>
      <c r="C760" s="2">
        <f t="shared" si="11"/>
        <v>0</v>
      </c>
    </row>
    <row r="761" spans="1:3" x14ac:dyDescent="0.2">
      <c r="A761" s="1">
        <v>44974</v>
      </c>
      <c r="B761">
        <v>41.1</v>
      </c>
      <c r="C761" s="2">
        <f t="shared" si="11"/>
        <v>-6.7895508152080852E-3</v>
      </c>
    </row>
    <row r="762" spans="1:3" x14ac:dyDescent="0.2">
      <c r="A762" s="1">
        <v>44973</v>
      </c>
      <c r="B762">
        <v>41.38</v>
      </c>
      <c r="C762" s="2">
        <f t="shared" si="11"/>
        <v>9.957580758617449E-3</v>
      </c>
    </row>
    <row r="763" spans="1:3" x14ac:dyDescent="0.2">
      <c r="A763" s="1">
        <v>44972</v>
      </c>
      <c r="B763">
        <v>40.97</v>
      </c>
      <c r="C763" s="2">
        <f t="shared" si="11"/>
        <v>-1.9507443396575023E-3</v>
      </c>
    </row>
    <row r="764" spans="1:3" x14ac:dyDescent="0.2">
      <c r="A764" s="1">
        <v>44971</v>
      </c>
      <c r="B764">
        <v>41.05</v>
      </c>
      <c r="C764" s="2">
        <f t="shared" si="11"/>
        <v>7.3349962115654707E-3</v>
      </c>
    </row>
    <row r="765" spans="1:3" x14ac:dyDescent="0.2">
      <c r="A765" s="1">
        <v>44970</v>
      </c>
      <c r="B765">
        <v>40.75</v>
      </c>
      <c r="C765" s="2">
        <f t="shared" si="11"/>
        <v>1.2345835822299362E-2</v>
      </c>
    </row>
    <row r="766" spans="1:3" x14ac:dyDescent="0.2">
      <c r="A766" s="1">
        <v>44967</v>
      </c>
      <c r="B766">
        <v>40.25</v>
      </c>
      <c r="C766" s="2">
        <f t="shared" si="11"/>
        <v>-2.0654779030746136E-2</v>
      </c>
    </row>
    <row r="767" spans="1:3" x14ac:dyDescent="0.2">
      <c r="A767" s="1">
        <v>44966</v>
      </c>
      <c r="B767">
        <v>41.09</v>
      </c>
      <c r="C767" s="2">
        <f t="shared" si="11"/>
        <v>-4.128724747787276E-3</v>
      </c>
    </row>
    <row r="768" spans="1:3" x14ac:dyDescent="0.2">
      <c r="A768" s="1">
        <v>44965</v>
      </c>
      <c r="B768">
        <v>41.26</v>
      </c>
      <c r="C768" s="2">
        <f t="shared" si="11"/>
        <v>8.2745665596800251E-3</v>
      </c>
    </row>
    <row r="769" spans="1:3" x14ac:dyDescent="0.2">
      <c r="A769" s="1">
        <v>44964</v>
      </c>
      <c r="B769">
        <v>40.92</v>
      </c>
      <c r="C769" s="2">
        <f t="shared" si="11"/>
        <v>7.3583849311871785E-3</v>
      </c>
    </row>
    <row r="770" spans="1:3" x14ac:dyDescent="0.2">
      <c r="A770" s="1">
        <v>44963</v>
      </c>
      <c r="B770">
        <v>40.619999999999997</v>
      </c>
      <c r="C770" s="2">
        <f t="shared" si="11"/>
        <v>8.9021359405932511E-3</v>
      </c>
    </row>
    <row r="771" spans="1:3" x14ac:dyDescent="0.2">
      <c r="A771" s="1">
        <v>44960</v>
      </c>
      <c r="B771">
        <v>40.26</v>
      </c>
      <c r="C771" s="2">
        <f t="shared" ref="C771:C834" si="12">+LN(B771/B772)</f>
        <v>6.979091139391368E-3</v>
      </c>
    </row>
    <row r="772" spans="1:3" x14ac:dyDescent="0.2">
      <c r="A772" s="1">
        <v>44959</v>
      </c>
      <c r="B772">
        <v>39.979999999999997</v>
      </c>
      <c r="C772" s="2">
        <f t="shared" si="12"/>
        <v>2.2001140304831253E-2</v>
      </c>
    </row>
    <row r="773" spans="1:3" x14ac:dyDescent="0.2">
      <c r="A773" s="1">
        <v>44958</v>
      </c>
      <c r="B773">
        <v>39.11</v>
      </c>
      <c r="C773" s="2">
        <f t="shared" si="12"/>
        <v>-2.5745995511402699E-2</v>
      </c>
    </row>
    <row r="774" spans="1:3" x14ac:dyDescent="0.2">
      <c r="A774" s="1">
        <v>44957</v>
      </c>
      <c r="B774">
        <v>40.130000000000003</v>
      </c>
      <c r="C774" s="2">
        <f t="shared" si="12"/>
        <v>-2.7526928501864518E-2</v>
      </c>
    </row>
    <row r="775" spans="1:3" x14ac:dyDescent="0.2">
      <c r="A775" s="1">
        <v>44956</v>
      </c>
      <c r="B775">
        <v>41.25</v>
      </c>
      <c r="C775" s="2">
        <f t="shared" si="12"/>
        <v>1.1949904426165867E-2</v>
      </c>
    </row>
    <row r="776" spans="1:3" x14ac:dyDescent="0.2">
      <c r="A776" s="1">
        <v>44953</v>
      </c>
      <c r="B776">
        <v>40.76</v>
      </c>
      <c r="C776" s="2">
        <f t="shared" si="12"/>
        <v>4.6723311361681411E-3</v>
      </c>
    </row>
    <row r="777" spans="1:3" x14ac:dyDescent="0.2">
      <c r="A777" s="1">
        <v>44952</v>
      </c>
      <c r="B777">
        <v>40.57</v>
      </c>
      <c r="C777" s="2">
        <f t="shared" si="12"/>
        <v>-1.1030875425878803E-2</v>
      </c>
    </row>
    <row r="778" spans="1:3" x14ac:dyDescent="0.2">
      <c r="A778" s="1">
        <v>44951</v>
      </c>
      <c r="B778">
        <v>41.02</v>
      </c>
      <c r="C778" s="2">
        <f t="shared" si="12"/>
        <v>-7.0448487644386368E-3</v>
      </c>
    </row>
    <row r="779" spans="1:3" x14ac:dyDescent="0.2">
      <c r="A779" s="1">
        <v>44950</v>
      </c>
      <c r="B779">
        <v>41.31</v>
      </c>
      <c r="C779" s="2">
        <f t="shared" si="12"/>
        <v>-2.9006546806372331E-3</v>
      </c>
    </row>
    <row r="780" spans="1:3" x14ac:dyDescent="0.2">
      <c r="A780" s="1">
        <v>44949</v>
      </c>
      <c r="B780">
        <v>41.43</v>
      </c>
      <c r="C780" s="2">
        <f t="shared" si="12"/>
        <v>-4.0949111779071982E-3</v>
      </c>
    </row>
    <row r="781" spans="1:3" x14ac:dyDescent="0.2">
      <c r="A781" s="1">
        <v>44946</v>
      </c>
      <c r="B781">
        <v>41.6</v>
      </c>
      <c r="C781" s="2">
        <f t="shared" si="12"/>
        <v>-7.2089393966649762E-4</v>
      </c>
    </row>
    <row r="782" spans="1:3" x14ac:dyDescent="0.2">
      <c r="A782" s="1">
        <v>44945</v>
      </c>
      <c r="B782">
        <v>41.63</v>
      </c>
      <c r="C782" s="2">
        <f t="shared" si="12"/>
        <v>-1.454657819112193E-2</v>
      </c>
    </row>
    <row r="783" spans="1:3" x14ac:dyDescent="0.2">
      <c r="A783" s="1">
        <v>44944</v>
      </c>
      <c r="B783">
        <v>42.24</v>
      </c>
      <c r="C783" s="2">
        <f t="shared" si="12"/>
        <v>9.2758424625218154E-3</v>
      </c>
    </row>
    <row r="784" spans="1:3" x14ac:dyDescent="0.2">
      <c r="A784" s="1">
        <v>44943</v>
      </c>
      <c r="B784">
        <v>41.85</v>
      </c>
      <c r="C784" s="2">
        <f t="shared" si="12"/>
        <v>4.3214340158874945E-2</v>
      </c>
    </row>
    <row r="785" spans="1:3" x14ac:dyDescent="0.2">
      <c r="A785" s="1">
        <v>44942</v>
      </c>
      <c r="B785">
        <v>40.08</v>
      </c>
      <c r="C785" s="2">
        <f t="shared" si="12"/>
        <v>-2.2429915945815218E-3</v>
      </c>
    </row>
    <row r="786" spans="1:3" x14ac:dyDescent="0.2">
      <c r="A786" s="1">
        <v>44939</v>
      </c>
      <c r="B786">
        <v>40.17</v>
      </c>
      <c r="C786" s="2">
        <f t="shared" si="12"/>
        <v>1.9608471388376337E-2</v>
      </c>
    </row>
    <row r="787" spans="1:3" x14ac:dyDescent="0.2">
      <c r="A787" s="1">
        <v>44938</v>
      </c>
      <c r="B787">
        <v>39.39</v>
      </c>
      <c r="C787" s="2">
        <f t="shared" si="12"/>
        <v>1.509173035358692E-2</v>
      </c>
    </row>
    <row r="788" spans="1:3" x14ac:dyDescent="0.2">
      <c r="A788" s="1">
        <v>44937</v>
      </c>
      <c r="B788">
        <v>38.799999999999997</v>
      </c>
      <c r="C788" s="2">
        <f t="shared" si="12"/>
        <v>-6.1665149156640148E-3</v>
      </c>
    </row>
    <row r="789" spans="1:3" x14ac:dyDescent="0.2">
      <c r="A789" s="1">
        <v>44936</v>
      </c>
      <c r="B789">
        <v>39.04</v>
      </c>
      <c r="C789" s="2">
        <f t="shared" si="12"/>
        <v>-7.6550514160214252E-3</v>
      </c>
    </row>
    <row r="790" spans="1:3" x14ac:dyDescent="0.2">
      <c r="A790" s="1">
        <v>44935</v>
      </c>
      <c r="B790">
        <v>39.340000000000003</v>
      </c>
      <c r="C790" s="2">
        <f t="shared" si="12"/>
        <v>1.6919142375819457E-2</v>
      </c>
    </row>
    <row r="791" spans="1:3" x14ac:dyDescent="0.2">
      <c r="A791" s="1">
        <v>44932</v>
      </c>
      <c r="B791">
        <v>38.68</v>
      </c>
      <c r="C791" s="2">
        <f t="shared" si="12"/>
        <v>7.2652109914124324E-3</v>
      </c>
    </row>
    <row r="792" spans="1:3" x14ac:dyDescent="0.2">
      <c r="A792" s="1">
        <v>44931</v>
      </c>
      <c r="B792">
        <v>38.4</v>
      </c>
      <c r="C792" s="2">
        <f t="shared" si="12"/>
        <v>-1.3450797724123217E-2</v>
      </c>
    </row>
    <row r="793" spans="1:3" x14ac:dyDescent="0.2">
      <c r="A793" s="1">
        <v>44930</v>
      </c>
      <c r="B793">
        <v>38.92</v>
      </c>
      <c r="C793" s="2">
        <f t="shared" si="12"/>
        <v>4.3775015184484506E-3</v>
      </c>
    </row>
    <row r="794" spans="1:3" x14ac:dyDescent="0.2">
      <c r="A794" s="1">
        <v>44929</v>
      </c>
      <c r="B794">
        <v>38.75</v>
      </c>
      <c r="C794" s="2">
        <f t="shared" si="12"/>
        <v>-1.804821941508213E-3</v>
      </c>
    </row>
    <row r="795" spans="1:3" x14ac:dyDescent="0.2">
      <c r="A795" s="1">
        <v>44928</v>
      </c>
      <c r="B795">
        <v>38.82</v>
      </c>
      <c r="C795" s="2">
        <f t="shared" si="12"/>
        <v>1.8048219415082402E-3</v>
      </c>
    </row>
    <row r="796" spans="1:3" x14ac:dyDescent="0.2">
      <c r="A796" s="1">
        <v>44925</v>
      </c>
      <c r="B796">
        <v>38.75</v>
      </c>
      <c r="C796" s="2">
        <f t="shared" si="12"/>
        <v>-2.3464478726882801E-2</v>
      </c>
    </row>
    <row r="797" spans="1:3" x14ac:dyDescent="0.2">
      <c r="A797" s="1">
        <v>44924</v>
      </c>
      <c r="B797">
        <v>39.67</v>
      </c>
      <c r="C797" s="2">
        <f t="shared" si="12"/>
        <v>1.5752358240544016E-2</v>
      </c>
    </row>
    <row r="798" spans="1:3" x14ac:dyDescent="0.2">
      <c r="A798" s="1">
        <v>44923</v>
      </c>
      <c r="B798">
        <v>39.049999999999997</v>
      </c>
      <c r="C798" s="2">
        <f t="shared" si="12"/>
        <v>1.0813699607504831E-2</v>
      </c>
    </row>
    <row r="799" spans="1:3" x14ac:dyDescent="0.2">
      <c r="A799" s="1">
        <v>44922</v>
      </c>
      <c r="B799">
        <v>38.630000000000003</v>
      </c>
      <c r="C799" s="2">
        <f t="shared" si="12"/>
        <v>-1.2604668488426556E-2</v>
      </c>
    </row>
    <row r="800" spans="1:3" x14ac:dyDescent="0.2">
      <c r="A800" s="1">
        <v>44918</v>
      </c>
      <c r="B800">
        <v>39.119999999999997</v>
      </c>
      <c r="C800" s="2">
        <f t="shared" si="12"/>
        <v>1.0019351639955815E-2</v>
      </c>
    </row>
    <row r="801" spans="1:3" x14ac:dyDescent="0.2">
      <c r="A801" s="1">
        <v>44917</v>
      </c>
      <c r="B801">
        <v>38.729999999999997</v>
      </c>
      <c r="C801" s="2">
        <f t="shared" si="12"/>
        <v>-1.1551918989733985E-2</v>
      </c>
    </row>
    <row r="802" spans="1:3" x14ac:dyDescent="0.2">
      <c r="A802" s="1">
        <v>44916</v>
      </c>
      <c r="B802">
        <v>39.18</v>
      </c>
      <c r="C802" s="2">
        <f t="shared" si="12"/>
        <v>1.828769575219099E-2</v>
      </c>
    </row>
    <row r="803" spans="1:3" x14ac:dyDescent="0.2">
      <c r="A803" s="1">
        <v>44915</v>
      </c>
      <c r="B803">
        <v>38.47</v>
      </c>
      <c r="C803" s="2">
        <f t="shared" si="12"/>
        <v>-1.9308104003996518E-2</v>
      </c>
    </row>
    <row r="804" spans="1:3" x14ac:dyDescent="0.2">
      <c r="A804" s="1">
        <v>44914</v>
      </c>
      <c r="B804">
        <v>39.22</v>
      </c>
      <c r="C804" s="2">
        <f t="shared" si="12"/>
        <v>-9.642297492234761E-3</v>
      </c>
    </row>
    <row r="805" spans="1:3" x14ac:dyDescent="0.2">
      <c r="A805" s="1">
        <v>44911</v>
      </c>
      <c r="B805">
        <v>39.6</v>
      </c>
      <c r="C805" s="2">
        <f t="shared" si="12"/>
        <v>-2.1237525244065875E-2</v>
      </c>
    </row>
    <row r="806" spans="1:3" x14ac:dyDescent="0.2">
      <c r="A806" s="1">
        <v>44910</v>
      </c>
      <c r="B806">
        <v>40.450000000000003</v>
      </c>
      <c r="C806" s="2">
        <f t="shared" si="12"/>
        <v>-2.8754417702383329E-2</v>
      </c>
    </row>
    <row r="807" spans="1:3" x14ac:dyDescent="0.2">
      <c r="A807" s="1">
        <v>44909</v>
      </c>
      <c r="B807">
        <v>41.63</v>
      </c>
      <c r="C807" s="2">
        <f t="shared" si="12"/>
        <v>-5.9873247954520051E-3</v>
      </c>
    </row>
    <row r="808" spans="1:3" x14ac:dyDescent="0.2">
      <c r="A808" s="1">
        <v>44908</v>
      </c>
      <c r="B808">
        <v>41.88</v>
      </c>
      <c r="C808" s="2">
        <f t="shared" si="12"/>
        <v>-2.3874895660739632E-4</v>
      </c>
    </row>
    <row r="809" spans="1:3" x14ac:dyDescent="0.2">
      <c r="A809" s="1">
        <v>44907</v>
      </c>
      <c r="B809">
        <v>41.89</v>
      </c>
      <c r="C809" s="2">
        <f t="shared" si="12"/>
        <v>2.53851416624787E-2</v>
      </c>
    </row>
    <row r="810" spans="1:3" x14ac:dyDescent="0.2">
      <c r="A810" s="1">
        <v>44904</v>
      </c>
      <c r="B810">
        <v>40.840000000000003</v>
      </c>
      <c r="C810" s="2">
        <f t="shared" si="12"/>
        <v>8.360019183971501E-3</v>
      </c>
    </row>
    <row r="811" spans="1:3" x14ac:dyDescent="0.2">
      <c r="A811" s="1">
        <v>44903</v>
      </c>
      <c r="B811">
        <v>40.5</v>
      </c>
      <c r="C811" s="2">
        <f t="shared" si="12"/>
        <v>0</v>
      </c>
    </row>
    <row r="812" spans="1:3" x14ac:dyDescent="0.2">
      <c r="A812" s="1">
        <v>44902</v>
      </c>
      <c r="B812">
        <v>40.5</v>
      </c>
      <c r="C812" s="2">
        <f t="shared" si="12"/>
        <v>1.9772621370184045E-3</v>
      </c>
    </row>
    <row r="813" spans="1:3" x14ac:dyDescent="0.2">
      <c r="A813" s="1">
        <v>44901</v>
      </c>
      <c r="B813">
        <v>40.42</v>
      </c>
      <c r="C813" s="2">
        <f t="shared" si="12"/>
        <v>-2.3956168855793696E-2</v>
      </c>
    </row>
    <row r="814" spans="1:3" x14ac:dyDescent="0.2">
      <c r="A814" s="1">
        <v>44900</v>
      </c>
      <c r="B814">
        <v>41.4</v>
      </c>
      <c r="C814" s="2">
        <f t="shared" si="12"/>
        <v>-2.1715535135079069E-3</v>
      </c>
    </row>
    <row r="815" spans="1:3" x14ac:dyDescent="0.2">
      <c r="A815" s="1">
        <v>44897</v>
      </c>
      <c r="B815">
        <v>41.49</v>
      </c>
      <c r="C815" s="2">
        <f t="shared" si="12"/>
        <v>-2.6477329224410011E-3</v>
      </c>
    </row>
    <row r="816" spans="1:3" x14ac:dyDescent="0.2">
      <c r="A816" s="1">
        <v>44896</v>
      </c>
      <c r="B816">
        <v>41.6</v>
      </c>
      <c r="C816" s="2">
        <f t="shared" si="12"/>
        <v>2.3347363996991107E-2</v>
      </c>
    </row>
    <row r="817" spans="1:3" x14ac:dyDescent="0.2">
      <c r="A817" s="1">
        <v>44895</v>
      </c>
      <c r="B817">
        <v>40.64</v>
      </c>
      <c r="C817" s="2">
        <f t="shared" si="12"/>
        <v>1.5623380401082925E-2</v>
      </c>
    </row>
    <row r="818" spans="1:3" x14ac:dyDescent="0.2">
      <c r="A818" s="1">
        <v>44894</v>
      </c>
      <c r="B818">
        <v>40.01</v>
      </c>
      <c r="C818" s="2">
        <f t="shared" si="12"/>
        <v>-4.4887855919660928E-3</v>
      </c>
    </row>
    <row r="819" spans="1:3" x14ac:dyDescent="0.2">
      <c r="A819" s="1">
        <v>44893</v>
      </c>
      <c r="B819">
        <v>40.19</v>
      </c>
      <c r="C819" s="2">
        <f t="shared" si="12"/>
        <v>-9.9477750058707165E-4</v>
      </c>
    </row>
    <row r="820" spans="1:3" x14ac:dyDescent="0.2">
      <c r="A820" s="1">
        <v>44890</v>
      </c>
      <c r="B820">
        <v>40.229999999999997</v>
      </c>
      <c r="C820" s="2">
        <f t="shared" si="12"/>
        <v>7.4599033672139521E-4</v>
      </c>
    </row>
    <row r="821" spans="1:3" x14ac:dyDescent="0.2">
      <c r="A821" s="1">
        <v>44889</v>
      </c>
      <c r="B821">
        <v>40.200000000000003</v>
      </c>
      <c r="C821" s="2">
        <f t="shared" si="12"/>
        <v>2.6466573188163273E-2</v>
      </c>
    </row>
    <row r="822" spans="1:3" x14ac:dyDescent="0.2">
      <c r="A822" s="1">
        <v>44888</v>
      </c>
      <c r="B822">
        <v>39.15</v>
      </c>
      <c r="C822" s="2">
        <f t="shared" si="12"/>
        <v>1.3630145436443796E-2</v>
      </c>
    </row>
    <row r="823" spans="1:3" x14ac:dyDescent="0.2">
      <c r="A823" s="1">
        <v>44887</v>
      </c>
      <c r="B823">
        <v>38.619999999999997</v>
      </c>
      <c r="C823" s="2">
        <f t="shared" si="12"/>
        <v>-1.1584632066610924E-2</v>
      </c>
    </row>
    <row r="824" spans="1:3" x14ac:dyDescent="0.2">
      <c r="A824" s="1">
        <v>44886</v>
      </c>
      <c r="B824">
        <v>39.07</v>
      </c>
      <c r="C824" s="2">
        <f t="shared" si="12"/>
        <v>-1.0692566231578873E-2</v>
      </c>
    </row>
    <row r="825" spans="1:3" x14ac:dyDescent="0.2">
      <c r="A825" s="1">
        <v>44883</v>
      </c>
      <c r="B825">
        <v>39.49</v>
      </c>
      <c r="C825" s="2">
        <f t="shared" si="12"/>
        <v>7.3707285021412002E-3</v>
      </c>
    </row>
    <row r="826" spans="1:3" x14ac:dyDescent="0.2">
      <c r="A826" s="1">
        <v>44882</v>
      </c>
      <c r="B826">
        <v>39.200000000000003</v>
      </c>
      <c r="C826" s="2">
        <f t="shared" si="12"/>
        <v>-3.0565484825488781E-3</v>
      </c>
    </row>
    <row r="827" spans="1:3" x14ac:dyDescent="0.2">
      <c r="A827" s="1">
        <v>44881</v>
      </c>
      <c r="B827">
        <v>39.32</v>
      </c>
      <c r="C827" s="2">
        <f t="shared" si="12"/>
        <v>-1.2887101914587041E-2</v>
      </c>
    </row>
    <row r="828" spans="1:3" x14ac:dyDescent="0.2">
      <c r="A828" s="1">
        <v>44880</v>
      </c>
      <c r="B828">
        <v>39.83</v>
      </c>
      <c r="C828" s="2">
        <f t="shared" si="12"/>
        <v>-1.1234670656808705E-2</v>
      </c>
    </row>
    <row r="829" spans="1:3" x14ac:dyDescent="0.2">
      <c r="A829" s="1">
        <v>44879</v>
      </c>
      <c r="B829">
        <v>40.28</v>
      </c>
      <c r="C829" s="2">
        <f t="shared" si="12"/>
        <v>-1.1600771836510169E-2</v>
      </c>
    </row>
    <row r="830" spans="1:3" x14ac:dyDescent="0.2">
      <c r="A830" s="1">
        <v>44876</v>
      </c>
      <c r="B830">
        <v>40.75</v>
      </c>
      <c r="C830" s="2">
        <f t="shared" si="12"/>
        <v>-1.8960217955790448E-2</v>
      </c>
    </row>
    <row r="831" spans="1:3" x14ac:dyDescent="0.2">
      <c r="A831" s="1">
        <v>44875</v>
      </c>
      <c r="B831">
        <v>41.53</v>
      </c>
      <c r="C831" s="2">
        <f t="shared" si="12"/>
        <v>2.3140723244993531E-2</v>
      </c>
    </row>
    <row r="832" spans="1:3" x14ac:dyDescent="0.2">
      <c r="A832" s="1">
        <v>44874</v>
      </c>
      <c r="B832">
        <v>40.58</v>
      </c>
      <c r="C832" s="2">
        <f t="shared" si="12"/>
        <v>5.3916638446015588E-2</v>
      </c>
    </row>
    <row r="833" spans="1:3" x14ac:dyDescent="0.2">
      <c r="A833" s="1">
        <v>44873</v>
      </c>
      <c r="B833">
        <v>38.450000000000003</v>
      </c>
      <c r="C833" s="2">
        <f t="shared" si="12"/>
        <v>1.519945403794962E-2</v>
      </c>
    </row>
    <row r="834" spans="1:3" x14ac:dyDescent="0.2">
      <c r="A834" s="1">
        <v>44872</v>
      </c>
      <c r="B834">
        <v>37.869999999999997</v>
      </c>
      <c r="C834" s="2">
        <f t="shared" si="12"/>
        <v>-1.5979383883802305E-2</v>
      </c>
    </row>
    <row r="835" spans="1:3" x14ac:dyDescent="0.2">
      <c r="A835" s="1">
        <v>44869</v>
      </c>
      <c r="B835">
        <v>38.479999999999997</v>
      </c>
      <c r="C835" s="2">
        <f t="shared" ref="C835:C898" si="13">+LN(B835/B836)</f>
        <v>1.6243480016328783E-2</v>
      </c>
    </row>
    <row r="836" spans="1:3" x14ac:dyDescent="0.2">
      <c r="A836" s="1">
        <v>44868</v>
      </c>
      <c r="B836">
        <v>37.86</v>
      </c>
      <c r="C836" s="2">
        <f t="shared" si="13"/>
        <v>-1.5983570983026961E-2</v>
      </c>
    </row>
    <row r="837" spans="1:3" x14ac:dyDescent="0.2">
      <c r="A837" s="1">
        <v>44867</v>
      </c>
      <c r="B837">
        <v>38.47</v>
      </c>
      <c r="C837" s="2">
        <f t="shared" si="13"/>
        <v>1.0189506841039263E-2</v>
      </c>
    </row>
    <row r="838" spans="1:3" x14ac:dyDescent="0.2">
      <c r="A838" s="1">
        <v>44866</v>
      </c>
      <c r="B838">
        <v>38.08</v>
      </c>
      <c r="C838" s="2">
        <f t="shared" si="13"/>
        <v>1.3138879829962882E-3</v>
      </c>
    </row>
    <row r="839" spans="1:3" x14ac:dyDescent="0.2">
      <c r="A839" s="1">
        <v>44865</v>
      </c>
      <c r="B839">
        <v>38.03</v>
      </c>
      <c r="C839" s="2">
        <f t="shared" si="13"/>
        <v>-8.9005823186926181E-3</v>
      </c>
    </row>
    <row r="840" spans="1:3" x14ac:dyDescent="0.2">
      <c r="A840" s="1">
        <v>44862</v>
      </c>
      <c r="B840">
        <v>38.369999999999997</v>
      </c>
      <c r="C840" s="2">
        <f t="shared" si="13"/>
        <v>1.7615809804895761E-2</v>
      </c>
    </row>
    <row r="841" spans="1:3" x14ac:dyDescent="0.2">
      <c r="A841" s="1">
        <v>44861</v>
      </c>
      <c r="B841">
        <v>37.700000000000003</v>
      </c>
      <c r="C841" s="2">
        <f t="shared" si="13"/>
        <v>-7.9260652724206029E-3</v>
      </c>
    </row>
    <row r="842" spans="1:3" x14ac:dyDescent="0.2">
      <c r="A842" s="1">
        <v>44860</v>
      </c>
      <c r="B842">
        <v>38</v>
      </c>
      <c r="C842" s="2">
        <f t="shared" si="13"/>
        <v>1.8438040255782098E-3</v>
      </c>
    </row>
    <row r="843" spans="1:3" x14ac:dyDescent="0.2">
      <c r="A843" s="1">
        <v>44859</v>
      </c>
      <c r="B843">
        <v>37.93</v>
      </c>
      <c r="C843" s="2">
        <f t="shared" si="13"/>
        <v>3.378337361757295E-2</v>
      </c>
    </row>
    <row r="844" spans="1:3" x14ac:dyDescent="0.2">
      <c r="A844" s="1">
        <v>44858</v>
      </c>
      <c r="B844">
        <v>36.67</v>
      </c>
      <c r="C844" s="2">
        <f t="shared" si="13"/>
        <v>3.3835729105098002E-2</v>
      </c>
    </row>
    <row r="845" spans="1:3" x14ac:dyDescent="0.2">
      <c r="A845" s="1">
        <v>44855</v>
      </c>
      <c r="B845">
        <v>35.450000000000003</v>
      </c>
      <c r="C845" s="2">
        <f t="shared" si="13"/>
        <v>-1.706096479703469E-2</v>
      </c>
    </row>
    <row r="846" spans="1:3" x14ac:dyDescent="0.2">
      <c r="A846" s="1">
        <v>44854</v>
      </c>
      <c r="B846">
        <v>36.06</v>
      </c>
      <c r="C846" s="2">
        <f t="shared" si="13"/>
        <v>3.0551336081155859E-3</v>
      </c>
    </row>
    <row r="847" spans="1:3" x14ac:dyDescent="0.2">
      <c r="A847" s="1">
        <v>44853</v>
      </c>
      <c r="B847">
        <v>35.950000000000003</v>
      </c>
      <c r="C847" s="2">
        <f t="shared" si="13"/>
        <v>-2.3912091637876057E-2</v>
      </c>
    </row>
    <row r="848" spans="1:3" x14ac:dyDescent="0.2">
      <c r="A848" s="1">
        <v>44852</v>
      </c>
      <c r="B848">
        <v>36.82</v>
      </c>
      <c r="C848" s="2">
        <f t="shared" si="13"/>
        <v>5.4333063004674412E-4</v>
      </c>
    </row>
    <row r="849" spans="1:3" x14ac:dyDescent="0.2">
      <c r="A849" s="1">
        <v>44851</v>
      </c>
      <c r="B849">
        <v>36.799999999999997</v>
      </c>
      <c r="C849" s="2">
        <f t="shared" si="13"/>
        <v>6.269613013595395E-3</v>
      </c>
    </row>
    <row r="850" spans="1:3" x14ac:dyDescent="0.2">
      <c r="A850" s="1">
        <v>44848</v>
      </c>
      <c r="B850">
        <v>36.57</v>
      </c>
      <c r="C850" s="2">
        <f t="shared" si="13"/>
        <v>3.1387106424409644E-2</v>
      </c>
    </row>
    <row r="851" spans="1:3" x14ac:dyDescent="0.2">
      <c r="A851" s="1">
        <v>44847</v>
      </c>
      <c r="B851">
        <v>35.44</v>
      </c>
      <c r="C851" s="2">
        <f t="shared" si="13"/>
        <v>-2.5362842960556689E-3</v>
      </c>
    </row>
    <row r="852" spans="1:3" x14ac:dyDescent="0.2">
      <c r="A852" s="1">
        <v>44846</v>
      </c>
      <c r="B852">
        <v>35.53</v>
      </c>
      <c r="C852" s="2">
        <f t="shared" si="13"/>
        <v>-8.4081212839266957E-3</v>
      </c>
    </row>
    <row r="853" spans="1:3" x14ac:dyDescent="0.2">
      <c r="A853" s="1">
        <v>44845</v>
      </c>
      <c r="B853">
        <v>35.83</v>
      </c>
      <c r="C853" s="2">
        <f t="shared" si="13"/>
        <v>1.3204293547419711E-2</v>
      </c>
    </row>
    <row r="854" spans="1:3" x14ac:dyDescent="0.2">
      <c r="A854" s="1">
        <v>44844</v>
      </c>
      <c r="B854">
        <v>35.36</v>
      </c>
      <c r="C854" s="2">
        <f t="shared" si="13"/>
        <v>1.6982738301916103E-3</v>
      </c>
    </row>
    <row r="855" spans="1:3" x14ac:dyDescent="0.2">
      <c r="A855" s="1">
        <v>44841</v>
      </c>
      <c r="B855">
        <v>35.299999999999997</v>
      </c>
      <c r="C855" s="2">
        <f t="shared" si="13"/>
        <v>-2.2409901399584278E-2</v>
      </c>
    </row>
    <row r="856" spans="1:3" x14ac:dyDescent="0.2">
      <c r="A856" s="1">
        <v>44840</v>
      </c>
      <c r="B856">
        <v>36.1</v>
      </c>
      <c r="C856" s="2">
        <f t="shared" si="13"/>
        <v>-2.5435529586686052E-2</v>
      </c>
    </row>
    <row r="857" spans="1:3" x14ac:dyDescent="0.2">
      <c r="A857" s="1">
        <v>44839</v>
      </c>
      <c r="B857">
        <v>37.03</v>
      </c>
      <c r="C857" s="2">
        <f t="shared" si="13"/>
        <v>-3.7890345235112304E-2</v>
      </c>
    </row>
    <row r="858" spans="1:3" x14ac:dyDescent="0.2">
      <c r="A858" s="1">
        <v>44838</v>
      </c>
      <c r="B858">
        <v>38.46</v>
      </c>
      <c r="C858" s="2">
        <f t="shared" si="13"/>
        <v>2.3146746175314502E-2</v>
      </c>
    </row>
    <row r="859" spans="1:3" x14ac:dyDescent="0.2">
      <c r="A859" s="1">
        <v>44837</v>
      </c>
      <c r="B859">
        <v>37.58</v>
      </c>
      <c r="C859" s="2">
        <f t="shared" si="13"/>
        <v>-2.9228132937247453E-3</v>
      </c>
    </row>
    <row r="860" spans="1:3" x14ac:dyDescent="0.2">
      <c r="A860" s="1">
        <v>44834</v>
      </c>
      <c r="B860">
        <v>37.69</v>
      </c>
      <c r="C860" s="2">
        <f t="shared" si="13"/>
        <v>2.5528727492064418E-2</v>
      </c>
    </row>
    <row r="861" spans="1:3" x14ac:dyDescent="0.2">
      <c r="A861" s="1">
        <v>44833</v>
      </c>
      <c r="B861">
        <v>36.74</v>
      </c>
      <c r="C861" s="2">
        <f t="shared" si="13"/>
        <v>-2.2339779798897889E-2</v>
      </c>
    </row>
    <row r="862" spans="1:3" x14ac:dyDescent="0.2">
      <c r="A862" s="1">
        <v>44832</v>
      </c>
      <c r="B862">
        <v>37.57</v>
      </c>
      <c r="C862" s="2">
        <f t="shared" si="13"/>
        <v>-6.6322036444339434E-3</v>
      </c>
    </row>
    <row r="863" spans="1:3" x14ac:dyDescent="0.2">
      <c r="A863" s="1">
        <v>44831</v>
      </c>
      <c r="B863">
        <v>37.82</v>
      </c>
      <c r="C863" s="2">
        <f t="shared" si="13"/>
        <v>1.3844736580541675E-2</v>
      </c>
    </row>
    <row r="864" spans="1:3" x14ac:dyDescent="0.2">
      <c r="A864" s="1">
        <v>44830</v>
      </c>
      <c r="B864">
        <v>37.299999999999997</v>
      </c>
      <c r="C864" s="2">
        <f t="shared" si="13"/>
        <v>2.3051868195102635E-2</v>
      </c>
    </row>
    <row r="865" spans="1:3" x14ac:dyDescent="0.2">
      <c r="A865" s="1">
        <v>44827</v>
      </c>
      <c r="B865">
        <v>36.450000000000003</v>
      </c>
      <c r="C865" s="2">
        <f t="shared" si="13"/>
        <v>-1.7675511158722217E-2</v>
      </c>
    </row>
    <row r="866" spans="1:3" x14ac:dyDescent="0.2">
      <c r="A866" s="1">
        <v>44826</v>
      </c>
      <c r="B866">
        <v>37.1</v>
      </c>
      <c r="C866" s="2">
        <f t="shared" si="13"/>
        <v>-4.8661802703367896E-2</v>
      </c>
    </row>
    <row r="867" spans="1:3" x14ac:dyDescent="0.2">
      <c r="A867" s="1">
        <v>44825</v>
      </c>
      <c r="B867">
        <v>38.950000000000003</v>
      </c>
      <c r="C867" s="2">
        <f t="shared" si="13"/>
        <v>-1.2828738128890414E-3</v>
      </c>
    </row>
    <row r="868" spans="1:3" x14ac:dyDescent="0.2">
      <c r="A868" s="1">
        <v>44824</v>
      </c>
      <c r="B868">
        <v>39</v>
      </c>
      <c r="C868" s="2">
        <f t="shared" si="13"/>
        <v>-1.476229404477318E-2</v>
      </c>
    </row>
    <row r="869" spans="1:3" x14ac:dyDescent="0.2">
      <c r="A869" s="1">
        <v>44823</v>
      </c>
      <c r="B869">
        <v>39.58</v>
      </c>
      <c r="C869" s="2">
        <f t="shared" si="13"/>
        <v>-4.5374416139535639E-3</v>
      </c>
    </row>
    <row r="870" spans="1:3" x14ac:dyDescent="0.2">
      <c r="A870" s="1">
        <v>44820</v>
      </c>
      <c r="B870">
        <v>39.76</v>
      </c>
      <c r="C870" s="2">
        <f t="shared" si="13"/>
        <v>-1.001009359510046E-2</v>
      </c>
    </row>
    <row r="871" spans="1:3" x14ac:dyDescent="0.2">
      <c r="A871" s="1">
        <v>44819</v>
      </c>
      <c r="B871">
        <v>40.159999999999997</v>
      </c>
      <c r="C871" s="2">
        <f t="shared" si="13"/>
        <v>1.4951410709500945E-3</v>
      </c>
    </row>
    <row r="872" spans="1:3" x14ac:dyDescent="0.2">
      <c r="A872" s="1">
        <v>44818</v>
      </c>
      <c r="B872">
        <v>40.1</v>
      </c>
      <c r="C872" s="2">
        <f t="shared" si="13"/>
        <v>-1.0666106327693631E-2</v>
      </c>
    </row>
    <row r="873" spans="1:3" x14ac:dyDescent="0.2">
      <c r="A873" s="1">
        <v>44817</v>
      </c>
      <c r="B873">
        <v>40.53</v>
      </c>
      <c r="C873" s="2">
        <f t="shared" si="13"/>
        <v>-1.4695341602115573E-2</v>
      </c>
    </row>
    <row r="874" spans="1:3" x14ac:dyDescent="0.2">
      <c r="A874" s="1">
        <v>44816</v>
      </c>
      <c r="B874">
        <v>41.13</v>
      </c>
      <c r="C874" s="2">
        <f t="shared" si="13"/>
        <v>1.2231072242697231E-2</v>
      </c>
    </row>
    <row r="875" spans="1:3" x14ac:dyDescent="0.2">
      <c r="A875" s="1">
        <v>44813</v>
      </c>
      <c r="B875">
        <v>40.630000000000003</v>
      </c>
      <c r="C875" s="2">
        <f t="shared" si="13"/>
        <v>-8.8214245166108405E-3</v>
      </c>
    </row>
    <row r="876" spans="1:3" x14ac:dyDescent="0.2">
      <c r="A876" s="1">
        <v>44812</v>
      </c>
      <c r="B876">
        <v>40.99</v>
      </c>
      <c r="C876" s="2">
        <f t="shared" si="13"/>
        <v>1.2273104472176513E-2</v>
      </c>
    </row>
    <row r="877" spans="1:3" x14ac:dyDescent="0.2">
      <c r="A877" s="1">
        <v>44811</v>
      </c>
      <c r="B877">
        <v>40.49</v>
      </c>
      <c r="C877" s="2">
        <f t="shared" si="13"/>
        <v>-9.8305043324811159E-3</v>
      </c>
    </row>
    <row r="878" spans="1:3" x14ac:dyDescent="0.2">
      <c r="A878" s="1">
        <v>44810</v>
      </c>
      <c r="B878">
        <v>40.89</v>
      </c>
      <c r="C878" s="2">
        <f t="shared" si="13"/>
        <v>1.6521150032044966E-2</v>
      </c>
    </row>
    <row r="879" spans="1:3" x14ac:dyDescent="0.2">
      <c r="A879" s="1">
        <v>44809</v>
      </c>
      <c r="B879">
        <v>40.22</v>
      </c>
      <c r="C879" s="2">
        <f t="shared" si="13"/>
        <v>-2.8674921416135136E-2</v>
      </c>
    </row>
    <row r="880" spans="1:3" x14ac:dyDescent="0.2">
      <c r="A880" s="1">
        <v>44806</v>
      </c>
      <c r="B880">
        <v>41.39</v>
      </c>
      <c r="C880" s="2">
        <f t="shared" si="13"/>
        <v>1.7056943747042419E-2</v>
      </c>
    </row>
    <row r="881" spans="1:3" x14ac:dyDescent="0.2">
      <c r="A881" s="1">
        <v>44805</v>
      </c>
      <c r="B881">
        <v>40.69</v>
      </c>
      <c r="C881" s="2">
        <f t="shared" si="13"/>
        <v>-1.2280487850612821E-3</v>
      </c>
    </row>
    <row r="882" spans="1:3" x14ac:dyDescent="0.2">
      <c r="A882" s="1">
        <v>44804</v>
      </c>
      <c r="B882">
        <v>40.74</v>
      </c>
      <c r="C882" s="2">
        <f t="shared" si="13"/>
        <v>5.4147314181772054E-3</v>
      </c>
    </row>
    <row r="883" spans="1:3" x14ac:dyDescent="0.2">
      <c r="A883" s="1">
        <v>44803</v>
      </c>
      <c r="B883">
        <v>40.520000000000003</v>
      </c>
      <c r="C883" s="2">
        <f t="shared" si="13"/>
        <v>-1.372570567987468E-2</v>
      </c>
    </row>
    <row r="884" spans="1:3" x14ac:dyDescent="0.2">
      <c r="A884" s="1">
        <v>44802</v>
      </c>
      <c r="B884">
        <v>41.08</v>
      </c>
      <c r="C884" s="2">
        <f t="shared" si="13"/>
        <v>-2.500130220541727E-2</v>
      </c>
    </row>
    <row r="885" spans="1:3" x14ac:dyDescent="0.2">
      <c r="A885" s="1">
        <v>44799</v>
      </c>
      <c r="B885">
        <v>42.12</v>
      </c>
      <c r="C885" s="2">
        <f t="shared" si="13"/>
        <v>-3.4075642250699131E-2</v>
      </c>
    </row>
    <row r="886" spans="1:3" x14ac:dyDescent="0.2">
      <c r="A886" s="1">
        <v>44798</v>
      </c>
      <c r="B886">
        <v>43.58</v>
      </c>
      <c r="C886" s="2">
        <f t="shared" si="13"/>
        <v>-1.5257041937464726E-2</v>
      </c>
    </row>
    <row r="887" spans="1:3" x14ac:dyDescent="0.2">
      <c r="A887" s="1">
        <v>44797</v>
      </c>
      <c r="B887">
        <v>44.25</v>
      </c>
      <c r="C887" s="2">
        <f t="shared" si="13"/>
        <v>1.4110384318420332E-2</v>
      </c>
    </row>
    <row r="888" spans="1:3" x14ac:dyDescent="0.2">
      <c r="A888" s="1">
        <v>44796</v>
      </c>
      <c r="B888">
        <v>43.63</v>
      </c>
      <c r="C888" s="2">
        <f t="shared" si="13"/>
        <v>-8.6718936874816948E-3</v>
      </c>
    </row>
    <row r="889" spans="1:3" x14ac:dyDescent="0.2">
      <c r="A889" s="1">
        <v>44795</v>
      </c>
      <c r="B889">
        <v>44.01</v>
      </c>
      <c r="C889" s="2">
        <f t="shared" si="13"/>
        <v>1.6495219369110845E-2</v>
      </c>
    </row>
    <row r="890" spans="1:3" x14ac:dyDescent="0.2">
      <c r="A890" s="1">
        <v>44792</v>
      </c>
      <c r="B890">
        <v>43.29</v>
      </c>
      <c r="C890" s="2">
        <f t="shared" si="13"/>
        <v>2.0537477967389913E-2</v>
      </c>
    </row>
    <row r="891" spans="1:3" x14ac:dyDescent="0.2">
      <c r="A891" s="1">
        <v>44791</v>
      </c>
      <c r="B891">
        <v>42.41</v>
      </c>
      <c r="C891" s="2">
        <f t="shared" si="13"/>
        <v>8.2870132119455125E-3</v>
      </c>
    </row>
    <row r="892" spans="1:3" x14ac:dyDescent="0.2">
      <c r="A892" s="1">
        <v>44790</v>
      </c>
      <c r="B892">
        <v>42.06</v>
      </c>
      <c r="C892" s="2">
        <f t="shared" si="13"/>
        <v>-5.6899157776784592E-3</v>
      </c>
    </row>
    <row r="893" spans="1:3" x14ac:dyDescent="0.2">
      <c r="A893" s="1">
        <v>44789</v>
      </c>
      <c r="B893">
        <v>42.3</v>
      </c>
      <c r="C893" s="2">
        <f t="shared" si="13"/>
        <v>7.0947147353355475E-4</v>
      </c>
    </row>
    <row r="894" spans="1:3" x14ac:dyDescent="0.2">
      <c r="A894" s="1">
        <v>44785</v>
      </c>
      <c r="B894">
        <v>42.27</v>
      </c>
      <c r="C894" s="2">
        <f t="shared" si="13"/>
        <v>-1.339463100084943E-2</v>
      </c>
    </row>
    <row r="895" spans="1:3" x14ac:dyDescent="0.2">
      <c r="A895" s="1">
        <v>44784</v>
      </c>
      <c r="B895">
        <v>42.84</v>
      </c>
      <c r="C895" s="2">
        <f t="shared" si="13"/>
        <v>1.8691594227035718E-3</v>
      </c>
    </row>
    <row r="896" spans="1:3" x14ac:dyDescent="0.2">
      <c r="A896" s="1">
        <v>44783</v>
      </c>
      <c r="B896">
        <v>42.76</v>
      </c>
      <c r="C896" s="2">
        <f t="shared" si="13"/>
        <v>2.582164072248231E-2</v>
      </c>
    </row>
    <row r="897" spans="1:3" x14ac:dyDescent="0.2">
      <c r="A897" s="1">
        <v>44782</v>
      </c>
      <c r="B897">
        <v>41.67</v>
      </c>
      <c r="C897" s="2">
        <f t="shared" si="13"/>
        <v>-1.3822908368820764E-2</v>
      </c>
    </row>
    <row r="898" spans="1:3" x14ac:dyDescent="0.2">
      <c r="A898" s="1">
        <v>44781</v>
      </c>
      <c r="B898">
        <v>42.25</v>
      </c>
      <c r="C898" s="2">
        <f t="shared" si="13"/>
        <v>-2.8362108352848882E-3</v>
      </c>
    </row>
    <row r="899" spans="1:3" x14ac:dyDescent="0.2">
      <c r="A899" s="1">
        <v>44778</v>
      </c>
      <c r="B899">
        <v>42.37</v>
      </c>
      <c r="C899" s="2">
        <f t="shared" ref="C899:C962" si="14">+LN(B899/B900)</f>
        <v>-2.7239491167933547E-2</v>
      </c>
    </row>
    <row r="900" spans="1:3" x14ac:dyDescent="0.2">
      <c r="A900" s="1">
        <v>44777</v>
      </c>
      <c r="B900">
        <v>43.54</v>
      </c>
      <c r="C900" s="2">
        <f t="shared" si="14"/>
        <v>4.6040596981883819E-3</v>
      </c>
    </row>
    <row r="901" spans="1:3" x14ac:dyDescent="0.2">
      <c r="A901" s="1">
        <v>44776</v>
      </c>
      <c r="B901">
        <v>43.34</v>
      </c>
      <c r="C901" s="2">
        <f t="shared" si="14"/>
        <v>1.5345569674660539E-2</v>
      </c>
    </row>
    <row r="902" spans="1:3" x14ac:dyDescent="0.2">
      <c r="A902" s="1">
        <v>44775</v>
      </c>
      <c r="B902">
        <v>42.68</v>
      </c>
      <c r="C902" s="2">
        <f t="shared" si="14"/>
        <v>-1.2804272245987741E-2</v>
      </c>
    </row>
    <row r="903" spans="1:3" x14ac:dyDescent="0.2">
      <c r="A903" s="1">
        <v>44774</v>
      </c>
      <c r="B903">
        <v>43.23</v>
      </c>
      <c r="C903" s="2">
        <f t="shared" si="14"/>
        <v>0</v>
      </c>
    </row>
    <row r="904" spans="1:3" x14ac:dyDescent="0.2">
      <c r="A904" s="1">
        <v>44771</v>
      </c>
      <c r="B904">
        <v>43.23</v>
      </c>
      <c r="C904" s="2">
        <f t="shared" si="14"/>
        <v>3.60335698747846E-2</v>
      </c>
    </row>
    <row r="905" spans="1:3" x14ac:dyDescent="0.2">
      <c r="A905" s="1">
        <v>44770</v>
      </c>
      <c r="B905">
        <v>41.7</v>
      </c>
      <c r="C905" s="2">
        <f t="shared" si="14"/>
        <v>-1.1682097331491382E-2</v>
      </c>
    </row>
    <row r="906" spans="1:3" x14ac:dyDescent="0.2">
      <c r="A906" s="1">
        <v>44769</v>
      </c>
      <c r="B906">
        <v>42.19</v>
      </c>
      <c r="C906" s="2">
        <f t="shared" si="14"/>
        <v>-6.6147181889325384E-3</v>
      </c>
    </row>
    <row r="907" spans="1:3" x14ac:dyDescent="0.2">
      <c r="A907" s="1">
        <v>44768</v>
      </c>
      <c r="B907">
        <v>42.47</v>
      </c>
      <c r="C907" s="2">
        <f t="shared" si="14"/>
        <v>-8.9077007186091055E-3</v>
      </c>
    </row>
    <row r="908" spans="1:3" x14ac:dyDescent="0.2">
      <c r="A908" s="1">
        <v>44767</v>
      </c>
      <c r="B908">
        <v>42.85</v>
      </c>
      <c r="C908" s="2">
        <f t="shared" si="14"/>
        <v>-1.1661808901823965E-3</v>
      </c>
    </row>
    <row r="909" spans="1:3" x14ac:dyDescent="0.2">
      <c r="A909" s="1">
        <v>44764</v>
      </c>
      <c r="B909">
        <v>42.9</v>
      </c>
      <c r="C909" s="2">
        <f t="shared" si="14"/>
        <v>-1.6414655920703864E-2</v>
      </c>
    </row>
    <row r="910" spans="1:3" x14ac:dyDescent="0.2">
      <c r="A910" s="1">
        <v>44763</v>
      </c>
      <c r="B910">
        <v>43.61</v>
      </c>
      <c r="C910" s="2">
        <f t="shared" si="14"/>
        <v>1.8982051425949657E-2</v>
      </c>
    </row>
    <row r="911" spans="1:3" x14ac:dyDescent="0.2">
      <c r="A911" s="1">
        <v>44762</v>
      </c>
      <c r="B911">
        <v>42.79</v>
      </c>
      <c r="C911" s="2">
        <f t="shared" si="14"/>
        <v>-1.4385398882776656E-2</v>
      </c>
    </row>
    <row r="912" spans="1:3" x14ac:dyDescent="0.2">
      <c r="A912" s="1">
        <v>44761</v>
      </c>
      <c r="B912">
        <v>43.41</v>
      </c>
      <c r="C912" s="2">
        <f t="shared" si="14"/>
        <v>6.0074117820652587E-3</v>
      </c>
    </row>
    <row r="913" spans="1:3" x14ac:dyDescent="0.2">
      <c r="A913" s="1">
        <v>44760</v>
      </c>
      <c r="B913">
        <v>43.15</v>
      </c>
      <c r="C913" s="2">
        <f t="shared" si="14"/>
        <v>3.9475263150725217E-3</v>
      </c>
    </row>
    <row r="914" spans="1:3" x14ac:dyDescent="0.2">
      <c r="A914" s="1">
        <v>44757</v>
      </c>
      <c r="B914">
        <v>42.98</v>
      </c>
      <c r="C914" s="2">
        <f t="shared" si="14"/>
        <v>1.9262986981257585E-2</v>
      </c>
    </row>
    <row r="915" spans="1:3" x14ac:dyDescent="0.2">
      <c r="A915" s="1">
        <v>44756</v>
      </c>
      <c r="B915">
        <v>42.16</v>
      </c>
      <c r="C915" s="2">
        <f t="shared" si="14"/>
        <v>-1.9728211460455568E-2</v>
      </c>
    </row>
    <row r="916" spans="1:3" x14ac:dyDescent="0.2">
      <c r="A916" s="1">
        <v>44755</v>
      </c>
      <c r="B916">
        <v>43</v>
      </c>
      <c r="C916" s="2">
        <f t="shared" si="14"/>
        <v>-4.4088712790472983E-3</v>
      </c>
    </row>
    <row r="917" spans="1:3" x14ac:dyDescent="0.2">
      <c r="A917" s="1">
        <v>44754</v>
      </c>
      <c r="B917">
        <v>43.19</v>
      </c>
      <c r="C917" s="2">
        <f t="shared" si="14"/>
        <v>-1.4253114853197482E-2</v>
      </c>
    </row>
    <row r="918" spans="1:3" x14ac:dyDescent="0.2">
      <c r="A918" s="1">
        <v>44753</v>
      </c>
      <c r="B918">
        <v>43.81</v>
      </c>
      <c r="C918" s="2">
        <f t="shared" si="14"/>
        <v>6.64149927811984E-3</v>
      </c>
    </row>
    <row r="919" spans="1:3" x14ac:dyDescent="0.2">
      <c r="A919" s="1">
        <v>44750</v>
      </c>
      <c r="B919">
        <v>43.52</v>
      </c>
      <c r="C919" s="2">
        <f t="shared" si="14"/>
        <v>2.2980581509848857E-4</v>
      </c>
    </row>
    <row r="920" spans="1:3" x14ac:dyDescent="0.2">
      <c r="A920" s="1">
        <v>44749</v>
      </c>
      <c r="B920">
        <v>43.51</v>
      </c>
      <c r="C920" s="2">
        <f t="shared" si="14"/>
        <v>6.2248039615810467E-3</v>
      </c>
    </row>
    <row r="921" spans="1:3" x14ac:dyDescent="0.2">
      <c r="A921" s="1">
        <v>44748</v>
      </c>
      <c r="B921">
        <v>43.24</v>
      </c>
      <c r="C921" s="2">
        <f t="shared" si="14"/>
        <v>7.6610937675742254E-3</v>
      </c>
    </row>
    <row r="922" spans="1:3" x14ac:dyDescent="0.2">
      <c r="A922" s="1">
        <v>44747</v>
      </c>
      <c r="B922">
        <v>42.91</v>
      </c>
      <c r="C922" s="2">
        <f t="shared" si="14"/>
        <v>-2.5602248361507635E-3</v>
      </c>
    </row>
    <row r="923" spans="1:3" x14ac:dyDescent="0.2">
      <c r="A923" s="1">
        <v>44746</v>
      </c>
      <c r="B923">
        <v>43.02</v>
      </c>
      <c r="C923" s="2">
        <f t="shared" si="14"/>
        <v>-4.6479201394486128E-4</v>
      </c>
    </row>
    <row r="924" spans="1:3" x14ac:dyDescent="0.2">
      <c r="A924" s="1">
        <v>44743</v>
      </c>
      <c r="B924">
        <v>43.04</v>
      </c>
      <c r="C924" s="2">
        <f t="shared" si="14"/>
        <v>3.6195553788581608E-2</v>
      </c>
    </row>
    <row r="925" spans="1:3" x14ac:dyDescent="0.2">
      <c r="A925" s="1">
        <v>44742</v>
      </c>
      <c r="B925">
        <v>41.51</v>
      </c>
      <c r="C925" s="2">
        <f t="shared" si="14"/>
        <v>9.6408780665738713E-4</v>
      </c>
    </row>
    <row r="926" spans="1:3" x14ac:dyDescent="0.2">
      <c r="A926" s="1">
        <v>44741</v>
      </c>
      <c r="B926">
        <v>41.47</v>
      </c>
      <c r="C926" s="2">
        <f t="shared" si="14"/>
        <v>7.0175726586465398E-3</v>
      </c>
    </row>
    <row r="927" spans="1:3" x14ac:dyDescent="0.2">
      <c r="A927" s="1">
        <v>44740</v>
      </c>
      <c r="B927">
        <v>41.18</v>
      </c>
      <c r="C927" s="2">
        <f t="shared" si="14"/>
        <v>1.7013006898562969E-3</v>
      </c>
    </row>
    <row r="928" spans="1:3" x14ac:dyDescent="0.2">
      <c r="A928" s="1">
        <v>44739</v>
      </c>
      <c r="B928">
        <v>41.11</v>
      </c>
      <c r="C928" s="2">
        <f t="shared" si="14"/>
        <v>-1.8079316108066634E-2</v>
      </c>
    </row>
    <row r="929" spans="1:3" x14ac:dyDescent="0.2">
      <c r="A929" s="1">
        <v>44736</v>
      </c>
      <c r="B929">
        <v>41.86</v>
      </c>
      <c r="C929" s="2">
        <f t="shared" si="14"/>
        <v>7.3593568850197688E-2</v>
      </c>
    </row>
    <row r="930" spans="1:3" x14ac:dyDescent="0.2">
      <c r="A930" s="1">
        <v>44735</v>
      </c>
      <c r="B930">
        <v>38.89</v>
      </c>
      <c r="C930" s="2">
        <f t="shared" si="14"/>
        <v>3.612958407385998E-2</v>
      </c>
    </row>
    <row r="931" spans="1:3" x14ac:dyDescent="0.2">
      <c r="A931" s="1">
        <v>44734</v>
      </c>
      <c r="B931">
        <v>37.51</v>
      </c>
      <c r="C931" s="2">
        <f t="shared" si="14"/>
        <v>-1.5606718038859392E-2</v>
      </c>
    </row>
    <row r="932" spans="1:3" x14ac:dyDescent="0.2">
      <c r="A932" s="1">
        <v>44733</v>
      </c>
      <c r="B932">
        <v>38.1</v>
      </c>
      <c r="C932" s="2">
        <f t="shared" si="14"/>
        <v>-3.4566247601779329E-2</v>
      </c>
    </row>
    <row r="933" spans="1:3" x14ac:dyDescent="0.2">
      <c r="A933" s="1">
        <v>44732</v>
      </c>
      <c r="B933">
        <v>39.44</v>
      </c>
      <c r="C933" s="2">
        <f t="shared" si="14"/>
        <v>1.0706194539469376E-2</v>
      </c>
    </row>
    <row r="934" spans="1:3" x14ac:dyDescent="0.2">
      <c r="A934" s="1">
        <v>44729</v>
      </c>
      <c r="B934">
        <v>39.020000000000003</v>
      </c>
      <c r="C934" s="2">
        <f t="shared" si="14"/>
        <v>3.3883877429708539E-2</v>
      </c>
    </row>
    <row r="935" spans="1:3" x14ac:dyDescent="0.2">
      <c r="A935" s="1">
        <v>44728</v>
      </c>
      <c r="B935">
        <v>37.72</v>
      </c>
      <c r="C935" s="2">
        <f t="shared" si="14"/>
        <v>-2.6476054650546826E-3</v>
      </c>
    </row>
    <row r="936" spans="1:3" x14ac:dyDescent="0.2">
      <c r="A936" s="1">
        <v>44727</v>
      </c>
      <c r="B936">
        <v>37.82</v>
      </c>
      <c r="C936" s="2">
        <f t="shared" si="14"/>
        <v>6.3660692449923235E-3</v>
      </c>
    </row>
    <row r="937" spans="1:3" x14ac:dyDescent="0.2">
      <c r="A937" s="1">
        <v>44726</v>
      </c>
      <c r="B937">
        <v>37.58</v>
      </c>
      <c r="C937" s="2">
        <f t="shared" si="14"/>
        <v>2.6613439944176629E-4</v>
      </c>
    </row>
    <row r="938" spans="1:3" x14ac:dyDescent="0.2">
      <c r="A938" s="1">
        <v>44725</v>
      </c>
      <c r="B938">
        <v>37.57</v>
      </c>
      <c r="C938" s="2">
        <f t="shared" si="14"/>
        <v>1.4477464660356284E-2</v>
      </c>
    </row>
    <row r="939" spans="1:3" x14ac:dyDescent="0.2">
      <c r="A939" s="1">
        <v>44722</v>
      </c>
      <c r="B939">
        <v>37.03</v>
      </c>
      <c r="C939" s="2">
        <f t="shared" si="14"/>
        <v>-4.5144263053328484E-2</v>
      </c>
    </row>
    <row r="940" spans="1:3" x14ac:dyDescent="0.2">
      <c r="A940" s="1">
        <v>44721</v>
      </c>
      <c r="B940">
        <v>38.74</v>
      </c>
      <c r="C940" s="2">
        <f t="shared" si="14"/>
        <v>-1.8414842615619428E-2</v>
      </c>
    </row>
    <row r="941" spans="1:3" x14ac:dyDescent="0.2">
      <c r="A941" s="1">
        <v>44720</v>
      </c>
      <c r="B941">
        <v>39.46</v>
      </c>
      <c r="C941" s="2">
        <f t="shared" si="14"/>
        <v>5.5908658973068586E-3</v>
      </c>
    </row>
    <row r="942" spans="1:3" x14ac:dyDescent="0.2">
      <c r="A942" s="1">
        <v>44719</v>
      </c>
      <c r="B942">
        <v>39.24</v>
      </c>
      <c r="C942" s="2">
        <f t="shared" si="14"/>
        <v>-1.5174798019235228E-2</v>
      </c>
    </row>
    <row r="943" spans="1:3" x14ac:dyDescent="0.2">
      <c r="A943" s="1">
        <v>44718</v>
      </c>
      <c r="B943">
        <v>39.840000000000003</v>
      </c>
      <c r="C943" s="2">
        <f t="shared" si="14"/>
        <v>7.5586149739268445E-3</v>
      </c>
    </row>
    <row r="944" spans="1:3" x14ac:dyDescent="0.2">
      <c r="A944" s="1">
        <v>44715</v>
      </c>
      <c r="B944">
        <v>39.54</v>
      </c>
      <c r="C944" s="2">
        <f t="shared" si="14"/>
        <v>-2.9406554499796487E-2</v>
      </c>
    </row>
    <row r="945" spans="1:3" x14ac:dyDescent="0.2">
      <c r="A945" s="1">
        <v>44714</v>
      </c>
      <c r="B945">
        <v>40.72</v>
      </c>
      <c r="C945" s="2">
        <f t="shared" si="14"/>
        <v>-9.818361122567018E-4</v>
      </c>
    </row>
    <row r="946" spans="1:3" x14ac:dyDescent="0.2">
      <c r="A946" s="1">
        <v>44713</v>
      </c>
      <c r="B946">
        <v>40.76</v>
      </c>
      <c r="C946" s="2">
        <f t="shared" si="14"/>
        <v>-2.2320189090587472E-2</v>
      </c>
    </row>
    <row r="947" spans="1:3" x14ac:dyDescent="0.2">
      <c r="A947" s="1">
        <v>44712</v>
      </c>
      <c r="B947">
        <v>41.68</v>
      </c>
      <c r="C947" s="2">
        <f t="shared" si="14"/>
        <v>-2.6283032983613973E-2</v>
      </c>
    </row>
    <row r="948" spans="1:3" x14ac:dyDescent="0.2">
      <c r="A948" s="1">
        <v>44711</v>
      </c>
      <c r="B948">
        <v>42.79</v>
      </c>
      <c r="C948" s="2">
        <f t="shared" si="14"/>
        <v>1.6494247646246081E-2</v>
      </c>
    </row>
    <row r="949" spans="1:3" x14ac:dyDescent="0.2">
      <c r="A949" s="1">
        <v>44708</v>
      </c>
      <c r="B949">
        <v>42.09</v>
      </c>
      <c r="C949" s="2">
        <f t="shared" si="14"/>
        <v>6.674637414005616E-3</v>
      </c>
    </row>
    <row r="950" spans="1:3" x14ac:dyDescent="0.2">
      <c r="A950" s="1">
        <v>44707</v>
      </c>
      <c r="B950">
        <v>41.81</v>
      </c>
      <c r="C950" s="2">
        <f t="shared" si="14"/>
        <v>1.0337873051076739E-2</v>
      </c>
    </row>
    <row r="951" spans="1:3" x14ac:dyDescent="0.2">
      <c r="A951" s="1">
        <v>44706</v>
      </c>
      <c r="B951">
        <v>41.38</v>
      </c>
      <c r="C951" s="2">
        <f t="shared" si="14"/>
        <v>-2.8957549192555536E-3</v>
      </c>
    </row>
    <row r="952" spans="1:3" x14ac:dyDescent="0.2">
      <c r="A952" s="1">
        <v>44705</v>
      </c>
      <c r="B952">
        <v>41.5</v>
      </c>
      <c r="C952" s="2">
        <f t="shared" si="14"/>
        <v>-1.9802627296179643E-2</v>
      </c>
    </row>
    <row r="953" spans="1:3" x14ac:dyDescent="0.2">
      <c r="A953" s="1">
        <v>44704</v>
      </c>
      <c r="B953">
        <v>42.33</v>
      </c>
      <c r="C953" s="2">
        <f t="shared" si="14"/>
        <v>-5.4187905005566922E-3</v>
      </c>
    </row>
    <row r="954" spans="1:3" x14ac:dyDescent="0.2">
      <c r="A954" s="1">
        <v>44701</v>
      </c>
      <c r="B954">
        <v>42.56</v>
      </c>
      <c r="C954" s="2">
        <f t="shared" si="14"/>
        <v>2.4980482968441554E-2</v>
      </c>
    </row>
    <row r="955" spans="1:3" x14ac:dyDescent="0.2">
      <c r="A955" s="1">
        <v>44700</v>
      </c>
      <c r="B955">
        <v>41.51</v>
      </c>
      <c r="C955" s="2">
        <f t="shared" si="14"/>
        <v>3.6201318647736272E-3</v>
      </c>
    </row>
    <row r="956" spans="1:3" x14ac:dyDescent="0.2">
      <c r="A956" s="1">
        <v>44699</v>
      </c>
      <c r="B956">
        <v>41.36</v>
      </c>
      <c r="C956" s="2">
        <f t="shared" si="14"/>
        <v>-1.2255349830878249E-2</v>
      </c>
    </row>
    <row r="957" spans="1:3" x14ac:dyDescent="0.2">
      <c r="A957" s="1">
        <v>44698</v>
      </c>
      <c r="B957">
        <v>41.87</v>
      </c>
      <c r="C957" s="2">
        <f t="shared" si="14"/>
        <v>9.5579457694496689E-4</v>
      </c>
    </row>
    <row r="958" spans="1:3" x14ac:dyDescent="0.2">
      <c r="A958" s="1">
        <v>44697</v>
      </c>
      <c r="B958">
        <v>41.83</v>
      </c>
      <c r="C958" s="2">
        <f t="shared" si="14"/>
        <v>1.1783231200484759E-2</v>
      </c>
    </row>
    <row r="959" spans="1:3" x14ac:dyDescent="0.2">
      <c r="A959" s="1">
        <v>44694</v>
      </c>
      <c r="B959">
        <v>41.34</v>
      </c>
      <c r="C959" s="2">
        <f t="shared" si="14"/>
        <v>3.5454230357804602E-2</v>
      </c>
    </row>
    <row r="960" spans="1:3" x14ac:dyDescent="0.2">
      <c r="A960" s="1">
        <v>44693</v>
      </c>
      <c r="B960">
        <v>39.9</v>
      </c>
      <c r="C960" s="2">
        <f t="shared" si="14"/>
        <v>-5.1531361285472851E-2</v>
      </c>
    </row>
    <row r="961" spans="1:3" x14ac:dyDescent="0.2">
      <c r="A961" s="1">
        <v>44692</v>
      </c>
      <c r="B961">
        <v>42.01</v>
      </c>
      <c r="C961" s="2">
        <f t="shared" si="14"/>
        <v>-9.4764983052086724E-3</v>
      </c>
    </row>
    <row r="962" spans="1:3" x14ac:dyDescent="0.2">
      <c r="A962" s="1">
        <v>44691</v>
      </c>
      <c r="B962">
        <v>42.41</v>
      </c>
      <c r="C962" s="2">
        <f t="shared" si="14"/>
        <v>2.3137585535271721E-2</v>
      </c>
    </row>
    <row r="963" spans="1:3" x14ac:dyDescent="0.2">
      <c r="A963" s="1">
        <v>44690</v>
      </c>
      <c r="B963">
        <v>41.44</v>
      </c>
      <c r="C963" s="2">
        <f t="shared" ref="C963:C1026" si="15">+LN(B963/B964)</f>
        <v>-1.6038644222608877E-2</v>
      </c>
    </row>
    <row r="964" spans="1:3" x14ac:dyDescent="0.2">
      <c r="A964" s="1">
        <v>44687</v>
      </c>
      <c r="B964">
        <v>42.11</v>
      </c>
      <c r="C964" s="2">
        <f t="shared" si="15"/>
        <v>-1.7187003405711665E-2</v>
      </c>
    </row>
    <row r="965" spans="1:3" x14ac:dyDescent="0.2">
      <c r="A965" s="1">
        <v>44686</v>
      </c>
      <c r="B965">
        <v>42.84</v>
      </c>
      <c r="C965" s="2">
        <f t="shared" si="15"/>
        <v>-1.2756754230711207E-2</v>
      </c>
    </row>
    <row r="966" spans="1:3" x14ac:dyDescent="0.2">
      <c r="A966" s="1">
        <v>44685</v>
      </c>
      <c r="B966">
        <v>43.39</v>
      </c>
      <c r="C966" s="2">
        <f t="shared" si="15"/>
        <v>0</v>
      </c>
    </row>
    <row r="967" spans="1:3" x14ac:dyDescent="0.2">
      <c r="A967" s="1">
        <v>44684</v>
      </c>
      <c r="B967">
        <v>43.39</v>
      </c>
      <c r="C967" s="2">
        <f t="shared" si="15"/>
        <v>-2.4585804712345675E-2</v>
      </c>
    </row>
    <row r="968" spans="1:3" x14ac:dyDescent="0.2">
      <c r="A968" s="1">
        <v>44683</v>
      </c>
      <c r="B968">
        <v>44.47</v>
      </c>
      <c r="C968" s="2">
        <f t="shared" si="15"/>
        <v>-3.3609177029227479E-2</v>
      </c>
    </row>
    <row r="969" spans="1:3" x14ac:dyDescent="0.2">
      <c r="A969" s="1">
        <v>44680</v>
      </c>
      <c r="B969">
        <v>45.99</v>
      </c>
      <c r="C969" s="2">
        <f t="shared" si="15"/>
        <v>3.9215736531816436E-3</v>
      </c>
    </row>
    <row r="970" spans="1:3" x14ac:dyDescent="0.2">
      <c r="A970" s="1">
        <v>44679</v>
      </c>
      <c r="B970">
        <v>45.81</v>
      </c>
      <c r="C970" s="2">
        <f t="shared" si="15"/>
        <v>2.3857990453894171E-2</v>
      </c>
    </row>
    <row r="971" spans="1:3" x14ac:dyDescent="0.2">
      <c r="A971" s="1">
        <v>44678</v>
      </c>
      <c r="B971">
        <v>44.73</v>
      </c>
      <c r="C971" s="2">
        <f t="shared" si="15"/>
        <v>-4.90634347287262E-3</v>
      </c>
    </row>
    <row r="972" spans="1:3" x14ac:dyDescent="0.2">
      <c r="A972" s="1">
        <v>44677</v>
      </c>
      <c r="B972">
        <v>44.95</v>
      </c>
      <c r="C972" s="2">
        <f t="shared" si="15"/>
        <v>-1.589086627927825E-2</v>
      </c>
    </row>
    <row r="973" spans="1:3" x14ac:dyDescent="0.2">
      <c r="A973" s="1">
        <v>44676</v>
      </c>
      <c r="B973">
        <v>45.67</v>
      </c>
      <c r="C973" s="2">
        <f t="shared" si="15"/>
        <v>-1.2836029606385479E-2</v>
      </c>
    </row>
    <row r="974" spans="1:3" x14ac:dyDescent="0.2">
      <c r="A974" s="1">
        <v>44673</v>
      </c>
      <c r="B974">
        <v>46.26</v>
      </c>
      <c r="C974" s="2">
        <f t="shared" si="15"/>
        <v>-3.4420223886479417E-2</v>
      </c>
    </row>
    <row r="975" spans="1:3" x14ac:dyDescent="0.2">
      <c r="A975" s="1">
        <v>44672</v>
      </c>
      <c r="B975">
        <v>47.88</v>
      </c>
      <c r="C975" s="2">
        <f t="shared" si="15"/>
        <v>-1.6981149398771701E-2</v>
      </c>
    </row>
    <row r="976" spans="1:3" x14ac:dyDescent="0.2">
      <c r="A976" s="1">
        <v>44671</v>
      </c>
      <c r="B976">
        <v>48.7</v>
      </c>
      <c r="C976" s="2">
        <f t="shared" si="15"/>
        <v>1.1565597733618213E-2</v>
      </c>
    </row>
    <row r="977" spans="1:3" x14ac:dyDescent="0.2">
      <c r="A977" s="1">
        <v>44670</v>
      </c>
      <c r="B977">
        <v>48.14</v>
      </c>
      <c r="C977" s="2">
        <f t="shared" si="15"/>
        <v>-1.0380982973153827E-3</v>
      </c>
    </row>
    <row r="978" spans="1:3" x14ac:dyDescent="0.2">
      <c r="A978" s="1">
        <v>44665</v>
      </c>
      <c r="B978">
        <v>48.19</v>
      </c>
      <c r="C978" s="2">
        <f t="shared" si="15"/>
        <v>1.6614749408789976E-3</v>
      </c>
    </row>
    <row r="979" spans="1:3" x14ac:dyDescent="0.2">
      <c r="A979" s="1">
        <v>44664</v>
      </c>
      <c r="B979">
        <v>48.11</v>
      </c>
      <c r="C979" s="2">
        <f t="shared" si="15"/>
        <v>8.9780329542679584E-3</v>
      </c>
    </row>
    <row r="980" spans="1:3" x14ac:dyDescent="0.2">
      <c r="A980" s="1">
        <v>44663</v>
      </c>
      <c r="B980">
        <v>47.68</v>
      </c>
      <c r="C980" s="2">
        <f t="shared" si="15"/>
        <v>-1.9522946130882974E-2</v>
      </c>
    </row>
    <row r="981" spans="1:3" x14ac:dyDescent="0.2">
      <c r="A981" s="1">
        <v>44662</v>
      </c>
      <c r="B981">
        <v>48.62</v>
      </c>
      <c r="C981" s="2">
        <f t="shared" si="15"/>
        <v>-1.2061885989909598E-2</v>
      </c>
    </row>
    <row r="982" spans="1:3" x14ac:dyDescent="0.2">
      <c r="A982" s="1">
        <v>44659</v>
      </c>
      <c r="B982">
        <v>49.21</v>
      </c>
      <c r="C982" s="2">
        <f t="shared" si="15"/>
        <v>1.8305710389999576E-3</v>
      </c>
    </row>
    <row r="983" spans="1:3" x14ac:dyDescent="0.2">
      <c r="A983" s="1">
        <v>44658</v>
      </c>
      <c r="B983">
        <v>49.12</v>
      </c>
      <c r="C983" s="2">
        <f t="shared" si="15"/>
        <v>2.7659141941223497E-2</v>
      </c>
    </row>
    <row r="984" spans="1:3" x14ac:dyDescent="0.2">
      <c r="A984" s="1">
        <v>44657</v>
      </c>
      <c r="B984">
        <v>47.78</v>
      </c>
      <c r="C984" s="2">
        <f t="shared" si="15"/>
        <v>-2.2761172965676386E-2</v>
      </c>
    </row>
    <row r="985" spans="1:3" x14ac:dyDescent="0.2">
      <c r="A985" s="1">
        <v>44656</v>
      </c>
      <c r="B985">
        <v>48.88</v>
      </c>
      <c r="C985" s="2">
        <f t="shared" si="15"/>
        <v>3.4339030955314161E-2</v>
      </c>
    </row>
    <row r="986" spans="1:3" x14ac:dyDescent="0.2">
      <c r="A986" s="1">
        <v>44655</v>
      </c>
      <c r="B986">
        <v>47.23</v>
      </c>
      <c r="C986" s="2">
        <f t="shared" si="15"/>
        <v>2.3999437689411502E-2</v>
      </c>
    </row>
    <row r="987" spans="1:3" x14ac:dyDescent="0.2">
      <c r="A987" s="1">
        <v>44652</v>
      </c>
      <c r="B987">
        <v>46.11</v>
      </c>
      <c r="C987" s="2">
        <f t="shared" si="15"/>
        <v>1.0245321224739376E-2</v>
      </c>
    </row>
    <row r="988" spans="1:3" x14ac:dyDescent="0.2">
      <c r="A988" s="1">
        <v>44651</v>
      </c>
      <c r="B988">
        <v>45.64</v>
      </c>
      <c r="C988" s="2">
        <f t="shared" si="15"/>
        <v>-2.680662027488229E-2</v>
      </c>
    </row>
    <row r="989" spans="1:3" x14ac:dyDescent="0.2">
      <c r="A989" s="1">
        <v>44650</v>
      </c>
      <c r="B989">
        <v>46.88</v>
      </c>
      <c r="C989" s="2">
        <f t="shared" si="15"/>
        <v>-1.9179547701464856E-3</v>
      </c>
    </row>
    <row r="990" spans="1:3" x14ac:dyDescent="0.2">
      <c r="A990" s="1">
        <v>44649</v>
      </c>
      <c r="B990">
        <v>46.97</v>
      </c>
      <c r="C990" s="2">
        <f t="shared" si="15"/>
        <v>4.2624412734062353E-2</v>
      </c>
    </row>
    <row r="991" spans="1:3" x14ac:dyDescent="0.2">
      <c r="A991" s="1">
        <v>44648</v>
      </c>
      <c r="B991">
        <v>45.01</v>
      </c>
      <c r="C991" s="2">
        <f t="shared" si="15"/>
        <v>-8.6274177424609643E-3</v>
      </c>
    </row>
    <row r="992" spans="1:3" x14ac:dyDescent="0.2">
      <c r="A992" s="1">
        <v>44645</v>
      </c>
      <c r="B992">
        <v>45.4</v>
      </c>
      <c r="C992" s="2">
        <f t="shared" si="15"/>
        <v>-4.4043163011016107E-4</v>
      </c>
    </row>
    <row r="993" spans="1:3" x14ac:dyDescent="0.2">
      <c r="A993" s="1">
        <v>44644</v>
      </c>
      <c r="B993">
        <v>45.42</v>
      </c>
      <c r="C993" s="2">
        <f t="shared" si="15"/>
        <v>-9.858771931668113E-3</v>
      </c>
    </row>
    <row r="994" spans="1:3" x14ac:dyDescent="0.2">
      <c r="A994" s="1">
        <v>44643</v>
      </c>
      <c r="B994">
        <v>45.87</v>
      </c>
      <c r="C994" s="2">
        <f t="shared" si="15"/>
        <v>-6.3023135907634992E-3</v>
      </c>
    </row>
    <row r="995" spans="1:3" x14ac:dyDescent="0.2">
      <c r="A995" s="1">
        <v>44642</v>
      </c>
      <c r="B995">
        <v>46.16</v>
      </c>
      <c r="C995" s="2">
        <f t="shared" si="15"/>
        <v>9.5777832732342472E-3</v>
      </c>
    </row>
    <row r="996" spans="1:3" x14ac:dyDescent="0.2">
      <c r="A996" s="1">
        <v>44641</v>
      </c>
      <c r="B996">
        <v>45.72</v>
      </c>
      <c r="C996" s="2">
        <f t="shared" si="15"/>
        <v>1.5322318856324799E-3</v>
      </c>
    </row>
    <row r="997" spans="1:3" x14ac:dyDescent="0.2">
      <c r="A997" s="1">
        <v>44638</v>
      </c>
      <c r="B997">
        <v>45.65</v>
      </c>
      <c r="C997" s="2">
        <f t="shared" si="15"/>
        <v>-2.1903406067191357E-4</v>
      </c>
    </row>
    <row r="998" spans="1:3" x14ac:dyDescent="0.2">
      <c r="A998" s="1">
        <v>44637</v>
      </c>
      <c r="B998">
        <v>45.66</v>
      </c>
      <c r="C998" s="2">
        <f t="shared" si="15"/>
        <v>5.0499613303375294E-3</v>
      </c>
    </row>
    <row r="999" spans="1:3" x14ac:dyDescent="0.2">
      <c r="A999" s="1">
        <v>44636</v>
      </c>
      <c r="B999">
        <v>45.43</v>
      </c>
      <c r="C999" s="2">
        <f t="shared" si="15"/>
        <v>2.7674160628663316E-2</v>
      </c>
    </row>
    <row r="1000" spans="1:3" x14ac:dyDescent="0.2">
      <c r="A1000" s="1">
        <v>44635</v>
      </c>
      <c r="B1000">
        <v>44.19</v>
      </c>
      <c r="C1000" s="2">
        <f t="shared" si="15"/>
        <v>-1.370962027829092E-2</v>
      </c>
    </row>
    <row r="1001" spans="1:3" x14ac:dyDescent="0.2">
      <c r="A1001" s="1">
        <v>44634</v>
      </c>
      <c r="B1001">
        <v>44.8</v>
      </c>
      <c r="C1001" s="2">
        <f t="shared" si="15"/>
        <v>2.8757783856733127E-2</v>
      </c>
    </row>
    <row r="1002" spans="1:3" x14ac:dyDescent="0.2">
      <c r="A1002" s="1">
        <v>44631</v>
      </c>
      <c r="B1002">
        <v>43.53</v>
      </c>
      <c r="C1002" s="2">
        <f t="shared" si="15"/>
        <v>1.1785231724622126E-2</v>
      </c>
    </row>
    <row r="1003" spans="1:3" x14ac:dyDescent="0.2">
      <c r="A1003" s="1">
        <v>44630</v>
      </c>
      <c r="B1003">
        <v>43.02</v>
      </c>
      <c r="C1003" s="2">
        <f t="shared" si="15"/>
        <v>-2.7964233374495388E-2</v>
      </c>
    </row>
    <row r="1004" spans="1:3" x14ac:dyDescent="0.2">
      <c r="A1004" s="1">
        <v>44629</v>
      </c>
      <c r="B1004">
        <v>44.24</v>
      </c>
      <c r="C1004" s="2">
        <f t="shared" si="15"/>
        <v>9.2037962498121628E-2</v>
      </c>
    </row>
    <row r="1005" spans="1:3" x14ac:dyDescent="0.2">
      <c r="A1005" s="1">
        <v>44628</v>
      </c>
      <c r="B1005">
        <v>40.35</v>
      </c>
      <c r="C1005" s="2">
        <f t="shared" si="15"/>
        <v>-3.650040221952653E-2</v>
      </c>
    </row>
    <row r="1006" spans="1:3" x14ac:dyDescent="0.2">
      <c r="A1006" s="1">
        <v>44627</v>
      </c>
      <c r="B1006">
        <v>41.85</v>
      </c>
      <c r="C1006" s="2">
        <f t="shared" si="15"/>
        <v>-4.7675894834726742E-3</v>
      </c>
    </row>
    <row r="1007" spans="1:3" x14ac:dyDescent="0.2">
      <c r="A1007" s="1">
        <v>44624</v>
      </c>
      <c r="B1007">
        <v>42.05</v>
      </c>
      <c r="C1007" s="2">
        <f t="shared" si="15"/>
        <v>-1.8379405208322572E-2</v>
      </c>
    </row>
    <row r="1008" spans="1:3" x14ac:dyDescent="0.2">
      <c r="A1008" s="1">
        <v>44623</v>
      </c>
      <c r="B1008">
        <v>42.83</v>
      </c>
      <c r="C1008" s="2">
        <f t="shared" si="15"/>
        <v>-7.9070179401066545E-3</v>
      </c>
    </row>
    <row r="1009" spans="1:3" x14ac:dyDescent="0.2">
      <c r="A1009" s="1">
        <v>44622</v>
      </c>
      <c r="B1009">
        <v>43.17</v>
      </c>
      <c r="C1009" s="2">
        <f t="shared" si="15"/>
        <v>1.705449582160384E-2</v>
      </c>
    </row>
    <row r="1010" spans="1:3" x14ac:dyDescent="0.2">
      <c r="A1010" s="1">
        <v>44621</v>
      </c>
      <c r="B1010">
        <v>42.44</v>
      </c>
      <c r="C1010" s="2">
        <f t="shared" si="15"/>
        <v>-3.0628844367943373E-2</v>
      </c>
    </row>
    <row r="1011" spans="1:3" x14ac:dyDescent="0.2">
      <c r="A1011" s="1">
        <v>44620</v>
      </c>
      <c r="B1011">
        <v>43.76</v>
      </c>
      <c r="C1011" s="2">
        <f t="shared" si="15"/>
        <v>-2.0134149208782304E-2</v>
      </c>
    </row>
    <row r="1012" spans="1:3" x14ac:dyDescent="0.2">
      <c r="A1012" s="1">
        <v>44617</v>
      </c>
      <c r="B1012">
        <v>44.65</v>
      </c>
      <c r="C1012" s="2">
        <f t="shared" si="15"/>
        <v>2.9547604095957067E-2</v>
      </c>
    </row>
    <row r="1013" spans="1:3" x14ac:dyDescent="0.2">
      <c r="A1013" s="1">
        <v>44616</v>
      </c>
      <c r="B1013">
        <v>43.35</v>
      </c>
      <c r="C1013" s="2">
        <f t="shared" si="15"/>
        <v>-6.1506246776052029E-2</v>
      </c>
    </row>
    <row r="1014" spans="1:3" x14ac:dyDescent="0.2">
      <c r="A1014" s="1">
        <v>44615</v>
      </c>
      <c r="B1014">
        <v>46.1</v>
      </c>
      <c r="C1014" s="2">
        <f t="shared" si="15"/>
        <v>-4.1130050405762614E-3</v>
      </c>
    </row>
    <row r="1015" spans="1:3" x14ac:dyDescent="0.2">
      <c r="A1015" s="1">
        <v>44614</v>
      </c>
      <c r="B1015">
        <v>46.29</v>
      </c>
      <c r="C1015" s="2">
        <f t="shared" si="15"/>
        <v>3.8961088245648857E-3</v>
      </c>
    </row>
    <row r="1016" spans="1:3" x14ac:dyDescent="0.2">
      <c r="A1016" s="1">
        <v>44613</v>
      </c>
      <c r="B1016">
        <v>46.11</v>
      </c>
      <c r="C1016" s="2">
        <f t="shared" si="15"/>
        <v>-1.9499518690790653E-3</v>
      </c>
    </row>
    <row r="1017" spans="1:3" x14ac:dyDescent="0.2">
      <c r="A1017" s="1">
        <v>44610</v>
      </c>
      <c r="B1017">
        <v>46.2</v>
      </c>
      <c r="C1017" s="2">
        <f t="shared" si="15"/>
        <v>8.477390189042526E-3</v>
      </c>
    </row>
    <row r="1018" spans="1:3" x14ac:dyDescent="0.2">
      <c r="A1018" s="1">
        <v>44609</v>
      </c>
      <c r="B1018">
        <v>45.81</v>
      </c>
      <c r="C1018" s="2">
        <f t="shared" si="15"/>
        <v>6.5703258701003287E-3</v>
      </c>
    </row>
    <row r="1019" spans="1:3" x14ac:dyDescent="0.2">
      <c r="A1019" s="1">
        <v>44608</v>
      </c>
      <c r="B1019">
        <v>45.51</v>
      </c>
      <c r="C1019" s="2">
        <f t="shared" si="15"/>
        <v>-5.2597096929798406E-3</v>
      </c>
    </row>
    <row r="1020" spans="1:3" x14ac:dyDescent="0.2">
      <c r="A1020" s="1">
        <v>44607</v>
      </c>
      <c r="B1020">
        <v>45.75</v>
      </c>
      <c r="C1020" s="2">
        <f t="shared" si="15"/>
        <v>2.1430180550921482E-2</v>
      </c>
    </row>
    <row r="1021" spans="1:3" x14ac:dyDescent="0.2">
      <c r="A1021" s="1">
        <v>44606</v>
      </c>
      <c r="B1021">
        <v>44.78</v>
      </c>
      <c r="C1021" s="2">
        <f t="shared" si="15"/>
        <v>-1.375049387669346E-2</v>
      </c>
    </row>
    <row r="1022" spans="1:3" x14ac:dyDescent="0.2">
      <c r="A1022" s="1">
        <v>44603</v>
      </c>
      <c r="B1022">
        <v>45.4</v>
      </c>
      <c r="C1022" s="2">
        <f t="shared" si="15"/>
        <v>-8.7719860728369941E-3</v>
      </c>
    </row>
    <row r="1023" spans="1:3" x14ac:dyDescent="0.2">
      <c r="A1023" s="1">
        <v>44602</v>
      </c>
      <c r="B1023">
        <v>45.8</v>
      </c>
      <c r="C1023" s="2">
        <f t="shared" si="15"/>
        <v>-1.6242912602936761E-2</v>
      </c>
    </row>
    <row r="1024" spans="1:3" x14ac:dyDescent="0.2">
      <c r="A1024" s="1">
        <v>44601</v>
      </c>
      <c r="B1024">
        <v>46.55</v>
      </c>
      <c r="C1024" s="2">
        <f t="shared" si="15"/>
        <v>9.930996990658995E-3</v>
      </c>
    </row>
    <row r="1025" spans="1:3" x14ac:dyDescent="0.2">
      <c r="A1025" s="1">
        <v>44600</v>
      </c>
      <c r="B1025">
        <v>46.09</v>
      </c>
      <c r="C1025" s="2">
        <f t="shared" si="15"/>
        <v>-1.7634865607949642E-2</v>
      </c>
    </row>
    <row r="1026" spans="1:3" x14ac:dyDescent="0.2">
      <c r="A1026" s="1">
        <v>44599</v>
      </c>
      <c r="B1026">
        <v>46.91</v>
      </c>
      <c r="C1026" s="2">
        <f t="shared" si="15"/>
        <v>-9.3359472917207247E-3</v>
      </c>
    </row>
    <row r="1027" spans="1:3" x14ac:dyDescent="0.2">
      <c r="A1027" s="1">
        <v>44596</v>
      </c>
      <c r="B1027">
        <v>47.35</v>
      </c>
      <c r="C1027" s="2">
        <f t="shared" ref="C1027:C1090" si="16">+LN(B1027/B1028)</f>
        <v>-2.4821380666368062E-2</v>
      </c>
    </row>
    <row r="1028" spans="1:3" x14ac:dyDescent="0.2">
      <c r="A1028" s="1">
        <v>44595</v>
      </c>
      <c r="B1028">
        <v>48.54</v>
      </c>
      <c r="C1028" s="2">
        <f t="shared" si="16"/>
        <v>-2.8834484958921686E-2</v>
      </c>
    </row>
    <row r="1029" spans="1:3" x14ac:dyDescent="0.2">
      <c r="A1029" s="1">
        <v>44594</v>
      </c>
      <c r="B1029">
        <v>49.96</v>
      </c>
      <c r="C1029" s="2">
        <f t="shared" si="16"/>
        <v>4.011236826453048E-3</v>
      </c>
    </row>
    <row r="1030" spans="1:3" x14ac:dyDescent="0.2">
      <c r="A1030" s="1">
        <v>44593</v>
      </c>
      <c r="B1030">
        <v>49.76</v>
      </c>
      <c r="C1030" s="2">
        <f t="shared" si="16"/>
        <v>4.4310243697105204E-3</v>
      </c>
    </row>
    <row r="1031" spans="1:3" x14ac:dyDescent="0.2">
      <c r="A1031" s="1">
        <v>44592</v>
      </c>
      <c r="B1031">
        <v>49.54</v>
      </c>
      <c r="C1031" s="2">
        <f t="shared" si="16"/>
        <v>6.0575468788184514E-4</v>
      </c>
    </row>
    <row r="1032" spans="1:3" x14ac:dyDescent="0.2">
      <c r="A1032" s="1">
        <v>44589</v>
      </c>
      <c r="B1032">
        <v>49.51</v>
      </c>
      <c r="C1032" s="2">
        <f t="shared" si="16"/>
        <v>0</v>
      </c>
    </row>
    <row r="1033" spans="1:3" x14ac:dyDescent="0.2">
      <c r="A1033" s="1">
        <v>44588</v>
      </c>
      <c r="B1033">
        <v>49.51</v>
      </c>
      <c r="C1033" s="2">
        <f t="shared" si="16"/>
        <v>6.0612184904466242E-4</v>
      </c>
    </row>
    <row r="1034" spans="1:3" x14ac:dyDescent="0.2">
      <c r="A1034" s="1">
        <v>44587</v>
      </c>
      <c r="B1034">
        <v>49.48</v>
      </c>
      <c r="C1034" s="2">
        <f t="shared" si="16"/>
        <v>-9.4539575702754525E-3</v>
      </c>
    </row>
    <row r="1035" spans="1:3" x14ac:dyDescent="0.2">
      <c r="A1035" s="1">
        <v>44586</v>
      </c>
      <c r="B1035">
        <v>49.95</v>
      </c>
      <c r="C1035" s="2">
        <f t="shared" si="16"/>
        <v>-1.1346792387727817E-2</v>
      </c>
    </row>
    <row r="1036" spans="1:3" x14ac:dyDescent="0.2">
      <c r="A1036" s="1">
        <v>44585</v>
      </c>
      <c r="B1036">
        <v>50.52</v>
      </c>
      <c r="C1036" s="2">
        <f t="shared" si="16"/>
        <v>-1.9212510187400073E-2</v>
      </c>
    </row>
    <row r="1037" spans="1:3" x14ac:dyDescent="0.2">
      <c r="A1037" s="1">
        <v>44582</v>
      </c>
      <c r="B1037">
        <v>51.5</v>
      </c>
      <c r="C1037" s="2">
        <f t="shared" si="16"/>
        <v>-9.6619109117368589E-3</v>
      </c>
    </row>
    <row r="1038" spans="1:3" x14ac:dyDescent="0.2">
      <c r="A1038" s="1">
        <v>44581</v>
      </c>
      <c r="B1038">
        <v>52</v>
      </c>
      <c r="C1038" s="2">
        <f t="shared" si="16"/>
        <v>1.5504186535965254E-2</v>
      </c>
    </row>
    <row r="1039" spans="1:3" x14ac:dyDescent="0.2">
      <c r="A1039" s="1">
        <v>44580</v>
      </c>
      <c r="B1039">
        <v>51.2</v>
      </c>
      <c r="C1039" s="2">
        <f t="shared" si="16"/>
        <v>-1.9726031225520652E-2</v>
      </c>
    </row>
    <row r="1040" spans="1:3" x14ac:dyDescent="0.2">
      <c r="A1040" s="1">
        <v>44579</v>
      </c>
      <c r="B1040">
        <v>52.22</v>
      </c>
      <c r="C1040" s="2">
        <f t="shared" si="16"/>
        <v>-2.5710300845479841E-2</v>
      </c>
    </row>
    <row r="1041" spans="1:3" x14ac:dyDescent="0.2">
      <c r="A1041" s="1">
        <v>44578</v>
      </c>
      <c r="B1041">
        <v>53.58</v>
      </c>
      <c r="C1041" s="2">
        <f t="shared" si="16"/>
        <v>-6.6964535951211856E-3</v>
      </c>
    </row>
    <row r="1042" spans="1:3" x14ac:dyDescent="0.2">
      <c r="A1042" s="1">
        <v>44575</v>
      </c>
      <c r="B1042">
        <v>53.94</v>
      </c>
      <c r="C1042" s="2">
        <f t="shared" si="16"/>
        <v>-7.7562715713590967E-3</v>
      </c>
    </row>
    <row r="1043" spans="1:3" x14ac:dyDescent="0.2">
      <c r="A1043" s="1">
        <v>44574</v>
      </c>
      <c r="B1043">
        <v>54.36</v>
      </c>
      <c r="C1043" s="2">
        <f t="shared" si="16"/>
        <v>-1.0248991616827326E-2</v>
      </c>
    </row>
    <row r="1044" spans="1:3" x14ac:dyDescent="0.2">
      <c r="A1044" s="1">
        <v>44573</v>
      </c>
      <c r="B1044">
        <v>54.92</v>
      </c>
      <c r="C1044" s="2">
        <f t="shared" si="16"/>
        <v>8.0439190585135465E-3</v>
      </c>
    </row>
    <row r="1045" spans="1:3" x14ac:dyDescent="0.2">
      <c r="A1045" s="1">
        <v>44572</v>
      </c>
      <c r="B1045">
        <v>54.48</v>
      </c>
      <c r="C1045" s="2">
        <f t="shared" si="16"/>
        <v>7.369230106548148E-3</v>
      </c>
    </row>
    <row r="1046" spans="1:3" x14ac:dyDescent="0.2">
      <c r="A1046" s="1">
        <v>44571</v>
      </c>
      <c r="B1046">
        <v>54.08</v>
      </c>
      <c r="C1046" s="2">
        <f t="shared" si="16"/>
        <v>-5.1641575482343745E-3</v>
      </c>
    </row>
    <row r="1047" spans="1:3" x14ac:dyDescent="0.2">
      <c r="A1047" s="1">
        <v>44568</v>
      </c>
      <c r="B1047">
        <v>54.36</v>
      </c>
      <c r="C1047" s="2">
        <f t="shared" si="16"/>
        <v>7.7562715713590646E-3</v>
      </c>
    </row>
    <row r="1048" spans="1:3" x14ac:dyDescent="0.2">
      <c r="A1048" s="1">
        <v>44567</v>
      </c>
      <c r="B1048">
        <v>53.94</v>
      </c>
      <c r="C1048" s="2">
        <f t="shared" si="16"/>
        <v>-1.3259862788338019E-2</v>
      </c>
    </row>
    <row r="1049" spans="1:3" x14ac:dyDescent="0.2">
      <c r="A1049" s="1">
        <v>44566</v>
      </c>
      <c r="B1049">
        <v>54.66</v>
      </c>
      <c r="C1049" s="2">
        <f t="shared" si="16"/>
        <v>7.3206445436300375E-4</v>
      </c>
    </row>
    <row r="1050" spans="1:3" x14ac:dyDescent="0.2">
      <c r="A1050" s="1">
        <v>44565</v>
      </c>
      <c r="B1050">
        <v>54.62</v>
      </c>
      <c r="C1050" s="2">
        <f t="shared" si="16"/>
        <v>-1.6703365833094619E-2</v>
      </c>
    </row>
    <row r="1051" spans="1:3" x14ac:dyDescent="0.2">
      <c r="A1051" s="1">
        <v>44564</v>
      </c>
      <c r="B1051">
        <v>55.54</v>
      </c>
      <c r="C1051" s="2">
        <f t="shared" si="16"/>
        <v>-1.713715627374179E-2</v>
      </c>
    </row>
    <row r="1052" spans="1:3" x14ac:dyDescent="0.2">
      <c r="A1052" s="1">
        <v>44560</v>
      </c>
      <c r="B1052">
        <v>56.5</v>
      </c>
      <c r="C1052" s="2">
        <f t="shared" si="16"/>
        <v>-7.0771411304903218E-4</v>
      </c>
    </row>
    <row r="1053" spans="1:3" x14ac:dyDescent="0.2">
      <c r="A1053" s="1">
        <v>44559</v>
      </c>
      <c r="B1053">
        <v>56.54</v>
      </c>
      <c r="C1053" s="2">
        <f t="shared" si="16"/>
        <v>3.188665234964846E-3</v>
      </c>
    </row>
    <row r="1054" spans="1:3" x14ac:dyDescent="0.2">
      <c r="A1054" s="1">
        <v>44558</v>
      </c>
      <c r="B1054">
        <v>56.36</v>
      </c>
      <c r="C1054" s="2">
        <f t="shared" si="16"/>
        <v>7.4799992566659222E-3</v>
      </c>
    </row>
    <row r="1055" spans="1:3" x14ac:dyDescent="0.2">
      <c r="A1055" s="1">
        <v>44557</v>
      </c>
      <c r="B1055">
        <v>55.94</v>
      </c>
      <c r="C1055" s="2">
        <f t="shared" si="16"/>
        <v>3.2229213215451739E-3</v>
      </c>
    </row>
    <row r="1056" spans="1:3" x14ac:dyDescent="0.2">
      <c r="A1056" s="1">
        <v>44553</v>
      </c>
      <c r="B1056">
        <v>55.76</v>
      </c>
      <c r="C1056" s="2">
        <f t="shared" si="16"/>
        <v>-1.3537791364058319E-2</v>
      </c>
    </row>
    <row r="1057" spans="1:3" x14ac:dyDescent="0.2">
      <c r="A1057" s="1">
        <v>44552</v>
      </c>
      <c r="B1057">
        <v>56.52</v>
      </c>
      <c r="C1057" s="2">
        <f t="shared" si="16"/>
        <v>1.7131039930183774E-2</v>
      </c>
    </row>
    <row r="1058" spans="1:3" x14ac:dyDescent="0.2">
      <c r="A1058" s="1">
        <v>44551</v>
      </c>
      <c r="B1058">
        <v>55.56</v>
      </c>
      <c r="C1058" s="2">
        <f t="shared" si="16"/>
        <v>5.4141983908725412E-3</v>
      </c>
    </row>
    <row r="1059" spans="1:3" x14ac:dyDescent="0.2">
      <c r="A1059" s="1">
        <v>44550</v>
      </c>
      <c r="B1059">
        <v>55.26</v>
      </c>
      <c r="C1059" s="2">
        <f t="shared" si="16"/>
        <v>-4.6939967032786391E-3</v>
      </c>
    </row>
    <row r="1060" spans="1:3" x14ac:dyDescent="0.2">
      <c r="A1060" s="1">
        <v>44547</v>
      </c>
      <c r="B1060">
        <v>55.52</v>
      </c>
      <c r="C1060" s="2">
        <f t="shared" si="16"/>
        <v>6.1427474094090089E-3</v>
      </c>
    </row>
    <row r="1061" spans="1:3" x14ac:dyDescent="0.2">
      <c r="A1061" s="1">
        <v>44546</v>
      </c>
      <c r="B1061">
        <v>55.18</v>
      </c>
      <c r="C1061" s="2">
        <f t="shared" si="16"/>
        <v>5.8160832796828443E-3</v>
      </c>
    </row>
    <row r="1062" spans="1:3" x14ac:dyDescent="0.2">
      <c r="A1062" s="1">
        <v>44545</v>
      </c>
      <c r="B1062">
        <v>54.86</v>
      </c>
      <c r="C1062" s="2">
        <f t="shared" si="16"/>
        <v>2.5850774798684115E-2</v>
      </c>
    </row>
    <row r="1063" spans="1:3" x14ac:dyDescent="0.2">
      <c r="A1063" s="1">
        <v>44544</v>
      </c>
      <c r="B1063">
        <v>53.46</v>
      </c>
      <c r="C1063" s="2">
        <f t="shared" si="16"/>
        <v>-1.6326893287428781E-2</v>
      </c>
    </row>
    <row r="1064" spans="1:3" x14ac:dyDescent="0.2">
      <c r="A1064" s="1">
        <v>44543</v>
      </c>
      <c r="B1064">
        <v>54.34</v>
      </c>
      <c r="C1064" s="2">
        <f t="shared" si="16"/>
        <v>1.4458083175229917E-2</v>
      </c>
    </row>
    <row r="1065" spans="1:3" x14ac:dyDescent="0.2">
      <c r="A1065" s="1">
        <v>44540</v>
      </c>
      <c r="B1065">
        <v>53.56</v>
      </c>
      <c r="C1065" s="2">
        <f t="shared" si="16"/>
        <v>-6.6989457810798731E-3</v>
      </c>
    </row>
    <row r="1066" spans="1:3" x14ac:dyDescent="0.2">
      <c r="A1066" s="1">
        <v>44539</v>
      </c>
      <c r="B1066">
        <v>53.92</v>
      </c>
      <c r="C1066" s="2">
        <f t="shared" si="16"/>
        <v>-3.7085110753225399E-4</v>
      </c>
    </row>
    <row r="1067" spans="1:3" x14ac:dyDescent="0.2">
      <c r="A1067" s="1">
        <v>44538</v>
      </c>
      <c r="B1067">
        <v>53.94</v>
      </c>
      <c r="C1067" s="2">
        <f t="shared" si="16"/>
        <v>-2.4177001783686584E-2</v>
      </c>
    </row>
    <row r="1068" spans="1:3" x14ac:dyDescent="0.2">
      <c r="A1068" s="1">
        <v>44537</v>
      </c>
      <c r="B1068">
        <v>55.26</v>
      </c>
      <c r="C1068" s="2">
        <f t="shared" si="16"/>
        <v>2.6404174196510709E-2</v>
      </c>
    </row>
    <row r="1069" spans="1:3" x14ac:dyDescent="0.2">
      <c r="A1069" s="1">
        <v>44536</v>
      </c>
      <c r="B1069">
        <v>53.82</v>
      </c>
      <c r="C1069" s="2">
        <f t="shared" si="16"/>
        <v>7.0856160703696098E-3</v>
      </c>
    </row>
    <row r="1070" spans="1:3" x14ac:dyDescent="0.2">
      <c r="A1070" s="1">
        <v>44533</v>
      </c>
      <c r="B1070">
        <v>53.44</v>
      </c>
      <c r="C1070" s="2">
        <f t="shared" si="16"/>
        <v>-5.2258424266465467E-3</v>
      </c>
    </row>
    <row r="1071" spans="1:3" x14ac:dyDescent="0.2">
      <c r="A1071" s="1">
        <v>44532</v>
      </c>
      <c r="B1071">
        <v>53.72</v>
      </c>
      <c r="C1071" s="2">
        <f t="shared" si="16"/>
        <v>-2.3911383841391687E-2</v>
      </c>
    </row>
    <row r="1072" spans="1:3" x14ac:dyDescent="0.2">
      <c r="A1072" s="1">
        <v>44531</v>
      </c>
      <c r="B1072">
        <v>55.02</v>
      </c>
      <c r="C1072" s="2">
        <f t="shared" si="16"/>
        <v>-7.6045993852191917E-3</v>
      </c>
    </row>
    <row r="1073" spans="1:3" x14ac:dyDescent="0.2">
      <c r="A1073" s="1">
        <v>44530</v>
      </c>
      <c r="B1073">
        <v>55.44</v>
      </c>
      <c r="C1073" s="2">
        <f t="shared" si="16"/>
        <v>8.695706967553913E-3</v>
      </c>
    </row>
    <row r="1074" spans="1:3" x14ac:dyDescent="0.2">
      <c r="A1074" s="1">
        <v>44529</v>
      </c>
      <c r="B1074">
        <v>54.96</v>
      </c>
      <c r="C1074" s="2">
        <f t="shared" si="16"/>
        <v>3.645647493845855E-3</v>
      </c>
    </row>
    <row r="1075" spans="1:3" x14ac:dyDescent="0.2">
      <c r="A1075" s="1">
        <v>44526</v>
      </c>
      <c r="B1075">
        <v>54.76</v>
      </c>
      <c r="C1075" s="2">
        <f t="shared" si="16"/>
        <v>-2.2391690314901083E-2</v>
      </c>
    </row>
    <row r="1076" spans="1:3" x14ac:dyDescent="0.2">
      <c r="A1076" s="1">
        <v>44525</v>
      </c>
      <c r="B1076">
        <v>56</v>
      </c>
      <c r="C1076" s="2">
        <f t="shared" si="16"/>
        <v>7.5282664207915878E-3</v>
      </c>
    </row>
    <row r="1077" spans="1:3" x14ac:dyDescent="0.2">
      <c r="A1077" s="1">
        <v>44524</v>
      </c>
      <c r="B1077">
        <v>55.58</v>
      </c>
      <c r="C1077" s="2">
        <f t="shared" si="16"/>
        <v>3.2438305611195801E-3</v>
      </c>
    </row>
    <row r="1078" spans="1:3" x14ac:dyDescent="0.2">
      <c r="A1078" s="1">
        <v>44523</v>
      </c>
      <c r="B1078">
        <v>55.4</v>
      </c>
      <c r="C1078" s="2">
        <f t="shared" si="16"/>
        <v>-1.5759638492950204E-2</v>
      </c>
    </row>
    <row r="1079" spans="1:3" x14ac:dyDescent="0.2">
      <c r="A1079" s="1">
        <v>44522</v>
      </c>
      <c r="B1079">
        <v>56.28</v>
      </c>
      <c r="C1079" s="2">
        <f t="shared" si="16"/>
        <v>-4.2553255701383835E-3</v>
      </c>
    </row>
    <row r="1080" spans="1:3" x14ac:dyDescent="0.2">
      <c r="A1080" s="1">
        <v>44519</v>
      </c>
      <c r="B1080">
        <v>56.52</v>
      </c>
      <c r="C1080" s="2">
        <f t="shared" si="16"/>
        <v>2.6534364191238571E-2</v>
      </c>
    </row>
    <row r="1081" spans="1:3" x14ac:dyDescent="0.2">
      <c r="A1081" s="1">
        <v>44518</v>
      </c>
      <c r="B1081">
        <v>55.04</v>
      </c>
      <c r="C1081" s="2">
        <f t="shared" si="16"/>
        <v>-1.9075618903562436E-2</v>
      </c>
    </row>
    <row r="1082" spans="1:3" x14ac:dyDescent="0.2">
      <c r="A1082" s="1">
        <v>44517</v>
      </c>
      <c r="B1082">
        <v>56.1</v>
      </c>
      <c r="C1082" s="2">
        <f t="shared" si="16"/>
        <v>-1.0638398205055754E-2</v>
      </c>
    </row>
    <row r="1083" spans="1:3" x14ac:dyDescent="0.2">
      <c r="A1083" s="1">
        <v>44516</v>
      </c>
      <c r="B1083">
        <v>56.7</v>
      </c>
      <c r="C1083" s="2">
        <f t="shared" si="16"/>
        <v>-8.4299761604592644E-3</v>
      </c>
    </row>
    <row r="1084" spans="1:3" x14ac:dyDescent="0.2">
      <c r="A1084" s="1">
        <v>44515</v>
      </c>
      <c r="B1084">
        <v>57.18</v>
      </c>
      <c r="C1084" s="2">
        <f t="shared" si="16"/>
        <v>1.2671764068822491E-2</v>
      </c>
    </row>
    <row r="1085" spans="1:3" x14ac:dyDescent="0.2">
      <c r="A1085" s="1">
        <v>44512</v>
      </c>
      <c r="B1085">
        <v>56.46</v>
      </c>
      <c r="C1085" s="2">
        <f t="shared" si="16"/>
        <v>2.1276603771166066E-3</v>
      </c>
    </row>
    <row r="1086" spans="1:3" x14ac:dyDescent="0.2">
      <c r="A1086" s="1">
        <v>44511</v>
      </c>
      <c r="B1086">
        <v>56.34</v>
      </c>
      <c r="C1086" s="2">
        <f t="shared" si="16"/>
        <v>2.132196969840862E-3</v>
      </c>
    </row>
    <row r="1087" spans="1:3" x14ac:dyDescent="0.2">
      <c r="A1087" s="1">
        <v>44510</v>
      </c>
      <c r="B1087">
        <v>56.22</v>
      </c>
      <c r="C1087" s="2">
        <f t="shared" si="16"/>
        <v>3.9208747432366619E-3</v>
      </c>
    </row>
    <row r="1088" spans="1:3" x14ac:dyDescent="0.2">
      <c r="A1088" s="1">
        <v>44509</v>
      </c>
      <c r="B1088">
        <v>56</v>
      </c>
      <c r="C1088" s="2">
        <f t="shared" si="16"/>
        <v>-6.0530717130774115E-3</v>
      </c>
    </row>
    <row r="1089" spans="1:3" x14ac:dyDescent="0.2">
      <c r="A1089" s="1">
        <v>44508</v>
      </c>
      <c r="B1089">
        <v>56.34</v>
      </c>
      <c r="C1089" s="2">
        <f t="shared" si="16"/>
        <v>-3.5435898172176696E-3</v>
      </c>
    </row>
    <row r="1090" spans="1:3" x14ac:dyDescent="0.2">
      <c r="A1090" s="1">
        <v>44505</v>
      </c>
      <c r="B1090">
        <v>56.54</v>
      </c>
      <c r="C1090" s="2">
        <f t="shared" si="16"/>
        <v>7.0771411304891921E-4</v>
      </c>
    </row>
    <row r="1091" spans="1:3" x14ac:dyDescent="0.2">
      <c r="A1091" s="1">
        <v>44504</v>
      </c>
      <c r="B1091">
        <v>56.5</v>
      </c>
      <c r="C1091" s="2">
        <f t="shared" ref="C1091:C1154" si="17">+LN(B1091/B1092)</f>
        <v>3.1909263026082785E-3</v>
      </c>
    </row>
    <row r="1092" spans="1:3" x14ac:dyDescent="0.2">
      <c r="A1092" s="1">
        <v>44503</v>
      </c>
      <c r="B1092">
        <v>56.32</v>
      </c>
      <c r="C1092" s="2">
        <f t="shared" si="17"/>
        <v>2.488890173689405E-3</v>
      </c>
    </row>
    <row r="1093" spans="1:3" x14ac:dyDescent="0.2">
      <c r="A1093" s="1">
        <v>44502</v>
      </c>
      <c r="B1093">
        <v>56.18</v>
      </c>
      <c r="C1093" s="2">
        <f t="shared" si="17"/>
        <v>1.9774147815643614E-2</v>
      </c>
    </row>
    <row r="1094" spans="1:3" x14ac:dyDescent="0.2">
      <c r="A1094" s="1">
        <v>44501</v>
      </c>
      <c r="B1094">
        <v>55.08</v>
      </c>
      <c r="C1094" s="2">
        <f t="shared" si="17"/>
        <v>1.7582870557866882E-2</v>
      </c>
    </row>
    <row r="1095" spans="1:3" x14ac:dyDescent="0.2">
      <c r="A1095" s="1">
        <v>44498</v>
      </c>
      <c r="B1095">
        <v>54.12</v>
      </c>
      <c r="C1095" s="2">
        <f t="shared" si="17"/>
        <v>2.3556894126444065E-2</v>
      </c>
    </row>
    <row r="1096" spans="1:3" x14ac:dyDescent="0.2">
      <c r="A1096" s="1">
        <v>44497</v>
      </c>
      <c r="B1096">
        <v>52.86</v>
      </c>
      <c r="C1096" s="2">
        <f t="shared" si="17"/>
        <v>3.790755107979828E-3</v>
      </c>
    </row>
    <row r="1097" spans="1:3" x14ac:dyDescent="0.2">
      <c r="A1097" s="1">
        <v>44496</v>
      </c>
      <c r="B1097">
        <v>52.66</v>
      </c>
      <c r="C1097" s="2">
        <f t="shared" si="17"/>
        <v>4.5679561729029504E-3</v>
      </c>
    </row>
    <row r="1098" spans="1:3" x14ac:dyDescent="0.2">
      <c r="A1098" s="1">
        <v>44495</v>
      </c>
      <c r="B1098">
        <v>52.42</v>
      </c>
      <c r="C1098" s="2">
        <f t="shared" si="17"/>
        <v>-5.7066922989914342E-3</v>
      </c>
    </row>
    <row r="1099" spans="1:3" x14ac:dyDescent="0.2">
      <c r="A1099" s="1">
        <v>44494</v>
      </c>
      <c r="B1099">
        <v>52.72</v>
      </c>
      <c r="C1099" s="2">
        <f t="shared" si="17"/>
        <v>4.562745558418237E-3</v>
      </c>
    </row>
    <row r="1100" spans="1:3" x14ac:dyDescent="0.2">
      <c r="A1100" s="1">
        <v>44491</v>
      </c>
      <c r="B1100">
        <v>52.48</v>
      </c>
      <c r="C1100" s="2">
        <f t="shared" si="17"/>
        <v>8.4194909915289353E-3</v>
      </c>
    </row>
    <row r="1101" spans="1:3" x14ac:dyDescent="0.2">
      <c r="A1101" s="1">
        <v>44490</v>
      </c>
      <c r="B1101">
        <v>52.04</v>
      </c>
      <c r="C1101" s="2">
        <f t="shared" si="17"/>
        <v>6.5548721299209375E-3</v>
      </c>
    </row>
    <row r="1102" spans="1:3" x14ac:dyDescent="0.2">
      <c r="A1102" s="1">
        <v>44489</v>
      </c>
      <c r="B1102">
        <v>51.7</v>
      </c>
      <c r="C1102" s="2">
        <f t="shared" si="17"/>
        <v>5.8196090532640025E-3</v>
      </c>
    </row>
    <row r="1103" spans="1:3" x14ac:dyDescent="0.2">
      <c r="A1103" s="1">
        <v>44488</v>
      </c>
      <c r="B1103">
        <v>51.4</v>
      </c>
      <c r="C1103" s="2">
        <f t="shared" si="17"/>
        <v>6.6367606477816549E-3</v>
      </c>
    </row>
    <row r="1104" spans="1:3" x14ac:dyDescent="0.2">
      <c r="A1104" s="1">
        <v>44487</v>
      </c>
      <c r="B1104">
        <v>51.06</v>
      </c>
      <c r="C1104" s="2">
        <f t="shared" si="17"/>
        <v>-3.9161935100074589E-4</v>
      </c>
    </row>
    <row r="1105" spans="1:3" x14ac:dyDescent="0.2">
      <c r="A1105" s="1">
        <v>44484</v>
      </c>
      <c r="B1105">
        <v>51.08</v>
      </c>
      <c r="C1105" s="2">
        <f t="shared" si="17"/>
        <v>-1.1739386987020671E-3</v>
      </c>
    </row>
    <row r="1106" spans="1:3" x14ac:dyDescent="0.2">
      <c r="A1106" s="1">
        <v>44483</v>
      </c>
      <c r="B1106">
        <v>51.14</v>
      </c>
      <c r="C1106" s="2">
        <f t="shared" si="17"/>
        <v>5.8835235417872226E-3</v>
      </c>
    </row>
    <row r="1107" spans="1:3" x14ac:dyDescent="0.2">
      <c r="A1107" s="1">
        <v>44482</v>
      </c>
      <c r="B1107">
        <v>50.84</v>
      </c>
      <c r="C1107" s="2">
        <f t="shared" si="17"/>
        <v>2.5499389560311649E-2</v>
      </c>
    </row>
    <row r="1108" spans="1:3" x14ac:dyDescent="0.2">
      <c r="A1108" s="1">
        <v>44481</v>
      </c>
      <c r="B1108">
        <v>49.56</v>
      </c>
      <c r="C1108" s="2">
        <f t="shared" si="17"/>
        <v>3.0312239032830794E-3</v>
      </c>
    </row>
    <row r="1109" spans="1:3" x14ac:dyDescent="0.2">
      <c r="A1109" s="1">
        <v>44480</v>
      </c>
      <c r="B1109">
        <v>49.41</v>
      </c>
      <c r="C1109" s="2">
        <f t="shared" si="17"/>
        <v>1.0579956267104389E-2</v>
      </c>
    </row>
    <row r="1110" spans="1:3" x14ac:dyDescent="0.2">
      <c r="A1110" s="1">
        <v>44477</v>
      </c>
      <c r="B1110">
        <v>48.89</v>
      </c>
      <c r="C1110" s="2">
        <f t="shared" si="17"/>
        <v>-1.6349891236718281E-3</v>
      </c>
    </row>
    <row r="1111" spans="1:3" x14ac:dyDescent="0.2">
      <c r="A1111" s="1">
        <v>44476</v>
      </c>
      <c r="B1111">
        <v>48.97</v>
      </c>
      <c r="C1111" s="2">
        <f t="shared" si="17"/>
        <v>-4.482485093022414E-3</v>
      </c>
    </row>
    <row r="1112" spans="1:3" x14ac:dyDescent="0.2">
      <c r="A1112" s="1">
        <v>44475</v>
      </c>
      <c r="B1112">
        <v>49.19</v>
      </c>
      <c r="C1112" s="2">
        <f t="shared" si="17"/>
        <v>0</v>
      </c>
    </row>
    <row r="1113" spans="1:3" x14ac:dyDescent="0.2">
      <c r="A1113" s="1">
        <v>44474</v>
      </c>
      <c r="B1113">
        <v>49.19</v>
      </c>
      <c r="C1113" s="2">
        <f t="shared" si="17"/>
        <v>5.7084762559826401E-3</v>
      </c>
    </row>
    <row r="1114" spans="1:3" x14ac:dyDescent="0.2">
      <c r="A1114" s="1">
        <v>44473</v>
      </c>
      <c r="B1114">
        <v>48.91</v>
      </c>
      <c r="C1114" s="2">
        <f t="shared" si="17"/>
        <v>-9.3610777195057334E-3</v>
      </c>
    </row>
    <row r="1115" spans="1:3" x14ac:dyDescent="0.2">
      <c r="A1115" s="1">
        <v>44470</v>
      </c>
      <c r="B1115">
        <v>49.37</v>
      </c>
      <c r="C1115" s="2">
        <f t="shared" si="17"/>
        <v>-1.8264431451275282E-2</v>
      </c>
    </row>
    <row r="1116" spans="1:3" x14ac:dyDescent="0.2">
      <c r="A1116" s="1">
        <v>44469</v>
      </c>
      <c r="B1116">
        <v>50.28</v>
      </c>
      <c r="C1116" s="2">
        <f t="shared" si="17"/>
        <v>2.5991188071563271E-2</v>
      </c>
    </row>
    <row r="1117" spans="1:3" x14ac:dyDescent="0.2">
      <c r="A1117" s="1">
        <v>44468</v>
      </c>
      <c r="B1117">
        <v>48.99</v>
      </c>
      <c r="C1117" s="2">
        <f t="shared" si="17"/>
        <v>1.4298848315117863E-3</v>
      </c>
    </row>
    <row r="1118" spans="1:3" x14ac:dyDescent="0.2">
      <c r="A1118" s="1">
        <v>44467</v>
      </c>
      <c r="B1118">
        <v>48.92</v>
      </c>
      <c r="C1118" s="2">
        <f t="shared" si="17"/>
        <v>-2.5828715878711928E-2</v>
      </c>
    </row>
    <row r="1119" spans="1:3" x14ac:dyDescent="0.2">
      <c r="A1119" s="1">
        <v>44466</v>
      </c>
      <c r="B1119">
        <v>50.2</v>
      </c>
      <c r="C1119" s="2">
        <f t="shared" si="17"/>
        <v>-1.3061733296289993E-2</v>
      </c>
    </row>
    <row r="1120" spans="1:3" x14ac:dyDescent="0.2">
      <c r="A1120" s="1">
        <v>44463</v>
      </c>
      <c r="B1120">
        <v>50.86</v>
      </c>
      <c r="C1120" s="2">
        <f t="shared" si="17"/>
        <v>-6.2720707376691656E-3</v>
      </c>
    </row>
    <row r="1121" spans="1:3" x14ac:dyDescent="0.2">
      <c r="A1121" s="1">
        <v>44462</v>
      </c>
      <c r="B1121">
        <v>51.18</v>
      </c>
      <c r="C1121" s="2">
        <f t="shared" si="17"/>
        <v>1.1792589489823624E-2</v>
      </c>
    </row>
    <row r="1122" spans="1:3" x14ac:dyDescent="0.2">
      <c r="A1122" s="1">
        <v>44461</v>
      </c>
      <c r="B1122">
        <v>50.58</v>
      </c>
      <c r="C1122" s="2">
        <f t="shared" si="17"/>
        <v>-9.4451705715187569E-3</v>
      </c>
    </row>
    <row r="1123" spans="1:3" x14ac:dyDescent="0.2">
      <c r="A1123" s="1">
        <v>44460</v>
      </c>
      <c r="B1123">
        <v>51.06</v>
      </c>
      <c r="C1123" s="2">
        <f t="shared" si="17"/>
        <v>2.0578486363864695E-2</v>
      </c>
    </row>
    <row r="1124" spans="1:3" x14ac:dyDescent="0.2">
      <c r="A1124" s="1">
        <v>44459</v>
      </c>
      <c r="B1124">
        <v>50.02</v>
      </c>
      <c r="C1124" s="2">
        <f t="shared" si="17"/>
        <v>-1.1528650843946799E-2</v>
      </c>
    </row>
    <row r="1125" spans="1:3" x14ac:dyDescent="0.2">
      <c r="A1125" s="1">
        <v>44456</v>
      </c>
      <c r="B1125">
        <v>50.6</v>
      </c>
      <c r="C1125" s="2">
        <f t="shared" si="17"/>
        <v>-2.4596203817098431E-2</v>
      </c>
    </row>
    <row r="1126" spans="1:3" x14ac:dyDescent="0.2">
      <c r="A1126" s="1">
        <v>44455</v>
      </c>
      <c r="B1126">
        <v>51.86</v>
      </c>
      <c r="C1126" s="2">
        <f t="shared" si="17"/>
        <v>1.4763282900859641E-2</v>
      </c>
    </row>
    <row r="1127" spans="1:3" x14ac:dyDescent="0.2">
      <c r="A1127" s="1">
        <v>44454</v>
      </c>
      <c r="B1127">
        <v>51.1</v>
      </c>
      <c r="C1127" s="2">
        <f t="shared" si="17"/>
        <v>-2.6647647426174804E-2</v>
      </c>
    </row>
    <row r="1128" spans="1:3" x14ac:dyDescent="0.2">
      <c r="A1128" s="1">
        <v>44453</v>
      </c>
      <c r="B1128">
        <v>52.48</v>
      </c>
      <c r="C1128" s="2">
        <f t="shared" si="17"/>
        <v>-1.5232295405215258E-3</v>
      </c>
    </row>
    <row r="1129" spans="1:3" x14ac:dyDescent="0.2">
      <c r="A1129" s="1">
        <v>44452</v>
      </c>
      <c r="B1129">
        <v>52.56</v>
      </c>
      <c r="C1129" s="2">
        <f t="shared" si="17"/>
        <v>-6.4479646878985979E-3</v>
      </c>
    </row>
    <row r="1130" spans="1:3" x14ac:dyDescent="0.2">
      <c r="A1130" s="1">
        <v>44449</v>
      </c>
      <c r="B1130">
        <v>52.9</v>
      </c>
      <c r="C1130" s="2">
        <f t="shared" si="17"/>
        <v>-7.5329923075451478E-3</v>
      </c>
    </row>
    <row r="1131" spans="1:3" x14ac:dyDescent="0.2">
      <c r="A1131" s="1">
        <v>44448</v>
      </c>
      <c r="B1131">
        <v>53.3</v>
      </c>
      <c r="C1131" s="2">
        <f t="shared" si="17"/>
        <v>-1.0451756211654077E-2</v>
      </c>
    </row>
    <row r="1132" spans="1:3" x14ac:dyDescent="0.2">
      <c r="A1132" s="1">
        <v>44447</v>
      </c>
      <c r="B1132">
        <v>53.86</v>
      </c>
      <c r="C1132" s="2">
        <f t="shared" si="17"/>
        <v>-1.4744093116469072E-2</v>
      </c>
    </row>
    <row r="1133" spans="1:3" x14ac:dyDescent="0.2">
      <c r="A1133" s="1">
        <v>44446</v>
      </c>
      <c r="B1133">
        <v>54.66</v>
      </c>
      <c r="C1133" s="2">
        <f t="shared" si="17"/>
        <v>-2.2789917425632931E-2</v>
      </c>
    </row>
    <row r="1134" spans="1:3" x14ac:dyDescent="0.2">
      <c r="A1134" s="1">
        <v>44445</v>
      </c>
      <c r="B1134">
        <v>55.92</v>
      </c>
      <c r="C1134" s="2">
        <f t="shared" si="17"/>
        <v>8.2600577379228629E-3</v>
      </c>
    </row>
    <row r="1135" spans="1:3" x14ac:dyDescent="0.2">
      <c r="A1135" s="1">
        <v>44442</v>
      </c>
      <c r="B1135">
        <v>55.46</v>
      </c>
      <c r="C1135" s="2">
        <f t="shared" si="17"/>
        <v>-7.1865203293986438E-3</v>
      </c>
    </row>
    <row r="1136" spans="1:3" x14ac:dyDescent="0.2">
      <c r="A1136" s="1">
        <v>44441</v>
      </c>
      <c r="B1136">
        <v>55.86</v>
      </c>
      <c r="C1136" s="2">
        <f t="shared" si="17"/>
        <v>2.8684135837922075E-3</v>
      </c>
    </row>
    <row r="1137" spans="1:3" x14ac:dyDescent="0.2">
      <c r="A1137" s="1">
        <v>44440</v>
      </c>
      <c r="B1137">
        <v>55.7</v>
      </c>
      <c r="C1137" s="2">
        <f t="shared" si="17"/>
        <v>2.5166290470953179E-3</v>
      </c>
    </row>
    <row r="1138" spans="1:3" x14ac:dyDescent="0.2">
      <c r="A1138" s="1">
        <v>44439</v>
      </c>
      <c r="B1138">
        <v>55.56</v>
      </c>
      <c r="C1138" s="2">
        <f t="shared" si="17"/>
        <v>-5.3850426308875987E-3</v>
      </c>
    </row>
    <row r="1139" spans="1:3" x14ac:dyDescent="0.2">
      <c r="A1139" s="1">
        <v>44438</v>
      </c>
      <c r="B1139">
        <v>55.86</v>
      </c>
      <c r="C1139" s="2">
        <f t="shared" si="17"/>
        <v>-5.0000104167057515E-3</v>
      </c>
    </row>
    <row r="1140" spans="1:3" x14ac:dyDescent="0.2">
      <c r="A1140" s="1">
        <v>44435</v>
      </c>
      <c r="B1140">
        <v>56.14</v>
      </c>
      <c r="C1140" s="2">
        <f t="shared" si="17"/>
        <v>1.1465550181347709E-2</v>
      </c>
    </row>
    <row r="1141" spans="1:3" x14ac:dyDescent="0.2">
      <c r="A1141" s="1">
        <v>44434</v>
      </c>
      <c r="B1141">
        <v>55.5</v>
      </c>
      <c r="C1141" s="2">
        <f t="shared" si="17"/>
        <v>-8.2541290448916518E-3</v>
      </c>
    </row>
    <row r="1142" spans="1:3" x14ac:dyDescent="0.2">
      <c r="A1142" s="1">
        <v>44433</v>
      </c>
      <c r="B1142">
        <v>55.96</v>
      </c>
      <c r="C1142" s="2">
        <f t="shared" si="17"/>
        <v>-1.3489732426591612E-2</v>
      </c>
    </row>
    <row r="1143" spans="1:3" x14ac:dyDescent="0.2">
      <c r="A1143" s="1">
        <v>44432</v>
      </c>
      <c r="B1143">
        <v>56.72</v>
      </c>
      <c r="C1143" s="2">
        <f t="shared" si="17"/>
        <v>-5.9764635614819161E-3</v>
      </c>
    </row>
    <row r="1144" spans="1:3" x14ac:dyDescent="0.2">
      <c r="A1144" s="1">
        <v>44431</v>
      </c>
      <c r="B1144">
        <v>57.06</v>
      </c>
      <c r="C1144" s="2">
        <f t="shared" si="17"/>
        <v>-6.637578954614704E-3</v>
      </c>
    </row>
    <row r="1145" spans="1:3" x14ac:dyDescent="0.2">
      <c r="A1145" s="1">
        <v>44428</v>
      </c>
      <c r="B1145">
        <v>57.44</v>
      </c>
      <c r="C1145" s="2">
        <f t="shared" si="17"/>
        <v>6.6375789546146893E-3</v>
      </c>
    </row>
    <row r="1146" spans="1:3" x14ac:dyDescent="0.2">
      <c r="A1146" s="1">
        <v>44427</v>
      </c>
      <c r="B1146">
        <v>57.06</v>
      </c>
      <c r="C1146" s="2">
        <f t="shared" si="17"/>
        <v>3.5112395625001699E-3</v>
      </c>
    </row>
    <row r="1147" spans="1:3" x14ac:dyDescent="0.2">
      <c r="A1147" s="1">
        <v>44426</v>
      </c>
      <c r="B1147">
        <v>56.86</v>
      </c>
      <c r="C1147" s="2">
        <f t="shared" si="17"/>
        <v>5.6437539574095011E-3</v>
      </c>
    </row>
    <row r="1148" spans="1:3" x14ac:dyDescent="0.2">
      <c r="A1148" s="1">
        <v>44425</v>
      </c>
      <c r="B1148">
        <v>56.54</v>
      </c>
      <c r="C1148" s="2">
        <f t="shared" si="17"/>
        <v>-1.0906000796222285E-2</v>
      </c>
    </row>
    <row r="1149" spans="1:3" x14ac:dyDescent="0.2">
      <c r="A1149" s="1">
        <v>44424</v>
      </c>
      <c r="B1149">
        <v>57.16</v>
      </c>
      <c r="C1149" s="2">
        <f t="shared" si="17"/>
        <v>5.6140498327666988E-3</v>
      </c>
    </row>
    <row r="1150" spans="1:3" x14ac:dyDescent="0.2">
      <c r="A1150" s="1">
        <v>44421</v>
      </c>
      <c r="B1150">
        <v>56.84</v>
      </c>
      <c r="C1150" s="2">
        <f t="shared" si="17"/>
        <v>7.06217624428676E-3</v>
      </c>
    </row>
    <row r="1151" spans="1:3" x14ac:dyDescent="0.2">
      <c r="A1151" s="1">
        <v>44420</v>
      </c>
      <c r="B1151">
        <v>56.44</v>
      </c>
      <c r="C1151" s="2">
        <f t="shared" si="17"/>
        <v>4.6173053085156813E-3</v>
      </c>
    </row>
    <row r="1152" spans="1:3" x14ac:dyDescent="0.2">
      <c r="A1152" s="1">
        <v>44419</v>
      </c>
      <c r="B1152">
        <v>56.18</v>
      </c>
      <c r="C1152" s="2">
        <f t="shared" si="17"/>
        <v>2.3047473160612716E-2</v>
      </c>
    </row>
    <row r="1153" spans="1:3" x14ac:dyDescent="0.2">
      <c r="A1153" s="1">
        <v>44418</v>
      </c>
      <c r="B1153">
        <v>54.9</v>
      </c>
      <c r="C1153" s="2">
        <f t="shared" si="17"/>
        <v>-7.2833215164282161E-4</v>
      </c>
    </row>
    <row r="1154" spans="1:3" x14ac:dyDescent="0.2">
      <c r="A1154" s="1">
        <v>44417</v>
      </c>
      <c r="B1154">
        <v>54.94</v>
      </c>
      <c r="C1154" s="2">
        <f t="shared" si="17"/>
        <v>2.0968213499388998E-2</v>
      </c>
    </row>
    <row r="1155" spans="1:3" x14ac:dyDescent="0.2">
      <c r="A1155" s="1">
        <v>44414</v>
      </c>
      <c r="B1155">
        <v>53.8</v>
      </c>
      <c r="C1155" s="2">
        <f t="shared" ref="C1155:C1218" si="18">+LN(B1155/B1156)</f>
        <v>-1.8570107472127711E-3</v>
      </c>
    </row>
    <row r="1156" spans="1:3" x14ac:dyDescent="0.2">
      <c r="A1156" s="1">
        <v>44413</v>
      </c>
      <c r="B1156">
        <v>53.9</v>
      </c>
      <c r="C1156" s="2">
        <f t="shared" si="18"/>
        <v>1.1194146743152708E-2</v>
      </c>
    </row>
    <row r="1157" spans="1:3" x14ac:dyDescent="0.2">
      <c r="A1157" s="1">
        <v>44412</v>
      </c>
      <c r="B1157">
        <v>53.3</v>
      </c>
      <c r="C1157" s="2">
        <f t="shared" si="18"/>
        <v>1.3220211428134518E-2</v>
      </c>
    </row>
    <row r="1158" spans="1:3" x14ac:dyDescent="0.2">
      <c r="A1158" s="1">
        <v>44411</v>
      </c>
      <c r="B1158">
        <v>52.6</v>
      </c>
      <c r="C1158" s="2">
        <f t="shared" si="18"/>
        <v>-1.1400343244990874E-3</v>
      </c>
    </row>
    <row r="1159" spans="1:3" x14ac:dyDescent="0.2">
      <c r="A1159" s="1">
        <v>44410</v>
      </c>
      <c r="B1159">
        <v>52.66</v>
      </c>
      <c r="C1159" s="2">
        <f t="shared" si="18"/>
        <v>9.156874359580864E-3</v>
      </c>
    </row>
    <row r="1160" spans="1:3" x14ac:dyDescent="0.2">
      <c r="A1160" s="1">
        <v>44407</v>
      </c>
      <c r="B1160">
        <v>52.18</v>
      </c>
      <c r="C1160" s="2">
        <f t="shared" si="18"/>
        <v>1.3505896980656571E-2</v>
      </c>
    </row>
    <row r="1161" spans="1:3" x14ac:dyDescent="0.2">
      <c r="A1161" s="1">
        <v>44406</v>
      </c>
      <c r="B1161">
        <v>51.48</v>
      </c>
      <c r="C1161" s="2">
        <f t="shared" si="18"/>
        <v>-1.0050335853501451E-2</v>
      </c>
    </row>
    <row r="1162" spans="1:3" x14ac:dyDescent="0.2">
      <c r="A1162" s="1">
        <v>44405</v>
      </c>
      <c r="B1162">
        <v>52</v>
      </c>
      <c r="C1162" s="2">
        <f t="shared" si="18"/>
        <v>1.9418085857101516E-2</v>
      </c>
    </row>
    <row r="1163" spans="1:3" x14ac:dyDescent="0.2">
      <c r="A1163" s="1">
        <v>44404</v>
      </c>
      <c r="B1163">
        <v>51</v>
      </c>
      <c r="C1163" s="2">
        <f t="shared" si="18"/>
        <v>5.899722127188322E-3</v>
      </c>
    </row>
    <row r="1164" spans="1:3" x14ac:dyDescent="0.2">
      <c r="A1164" s="1">
        <v>44403</v>
      </c>
      <c r="B1164">
        <v>50.7</v>
      </c>
      <c r="C1164" s="2">
        <f t="shared" si="18"/>
        <v>-1.0594566431396028E-2</v>
      </c>
    </row>
    <row r="1165" spans="1:3" x14ac:dyDescent="0.2">
      <c r="A1165" s="1">
        <v>44400</v>
      </c>
      <c r="B1165">
        <v>51.24</v>
      </c>
      <c r="C1165" s="2">
        <f t="shared" si="18"/>
        <v>9.8059228573976493E-3</v>
      </c>
    </row>
    <row r="1166" spans="1:3" x14ac:dyDescent="0.2">
      <c r="A1166" s="1">
        <v>44399</v>
      </c>
      <c r="B1166">
        <v>50.74</v>
      </c>
      <c r="C1166" s="2">
        <f t="shared" si="18"/>
        <v>2.3677990541579839E-3</v>
      </c>
    </row>
    <row r="1167" spans="1:3" x14ac:dyDescent="0.2">
      <c r="A1167" s="1">
        <v>44398</v>
      </c>
      <c r="B1167">
        <v>50.62</v>
      </c>
      <c r="C1167" s="2">
        <f t="shared" si="18"/>
        <v>1.6532594462886525E-2</v>
      </c>
    </row>
    <row r="1168" spans="1:3" x14ac:dyDescent="0.2">
      <c r="A1168" s="1">
        <v>44397</v>
      </c>
      <c r="B1168">
        <v>49.79</v>
      </c>
      <c r="C1168" s="2">
        <f t="shared" si="18"/>
        <v>-3.4085246032855535E-3</v>
      </c>
    </row>
    <row r="1169" spans="1:3" x14ac:dyDescent="0.2">
      <c r="A1169" s="1">
        <v>44396</v>
      </c>
      <c r="B1169">
        <v>49.96</v>
      </c>
      <c r="C1169" s="2">
        <f t="shared" si="18"/>
        <v>-1.1542416702671178E-2</v>
      </c>
    </row>
    <row r="1170" spans="1:3" x14ac:dyDescent="0.2">
      <c r="A1170" s="1">
        <v>44393</v>
      </c>
      <c r="B1170">
        <v>50.54</v>
      </c>
      <c r="C1170" s="2">
        <f t="shared" si="18"/>
        <v>3.9580447775777104E-4</v>
      </c>
    </row>
    <row r="1171" spans="1:3" x14ac:dyDescent="0.2">
      <c r="A1171" s="1">
        <v>44392</v>
      </c>
      <c r="B1171">
        <v>50.52</v>
      </c>
      <c r="C1171" s="2">
        <f t="shared" si="18"/>
        <v>-1.649036189941535E-2</v>
      </c>
    </row>
    <row r="1172" spans="1:3" x14ac:dyDescent="0.2">
      <c r="A1172" s="1">
        <v>44391</v>
      </c>
      <c r="B1172">
        <v>51.36</v>
      </c>
      <c r="C1172" s="2">
        <f t="shared" si="18"/>
        <v>-8.1443149416858627E-3</v>
      </c>
    </row>
    <row r="1173" spans="1:3" x14ac:dyDescent="0.2">
      <c r="A1173" s="1">
        <v>44390</v>
      </c>
      <c r="B1173">
        <v>51.78</v>
      </c>
      <c r="C1173" s="2">
        <f t="shared" si="18"/>
        <v>-1.5712145420272588E-2</v>
      </c>
    </row>
    <row r="1174" spans="1:3" x14ac:dyDescent="0.2">
      <c r="A1174" s="1">
        <v>44389</v>
      </c>
      <c r="B1174">
        <v>52.6</v>
      </c>
      <c r="C1174" s="2">
        <f t="shared" si="18"/>
        <v>4.6701093045980621E-2</v>
      </c>
    </row>
    <row r="1175" spans="1:3" x14ac:dyDescent="0.2">
      <c r="A1175" s="1">
        <v>44386</v>
      </c>
      <c r="B1175">
        <v>50.2</v>
      </c>
      <c r="C1175" s="2">
        <f t="shared" si="18"/>
        <v>1.9940186068644495E-3</v>
      </c>
    </row>
    <row r="1176" spans="1:3" x14ac:dyDescent="0.2">
      <c r="A1176" s="1">
        <v>44385</v>
      </c>
      <c r="B1176">
        <v>50.1</v>
      </c>
      <c r="C1176" s="2">
        <f t="shared" si="18"/>
        <v>-3.2210168667063929E-2</v>
      </c>
    </row>
    <row r="1177" spans="1:3" x14ac:dyDescent="0.2">
      <c r="A1177" s="1">
        <v>44384</v>
      </c>
      <c r="B1177">
        <v>51.74</v>
      </c>
      <c r="C1177" s="2">
        <f t="shared" si="18"/>
        <v>3.2210168667063936E-2</v>
      </c>
    </row>
    <row r="1178" spans="1:3" x14ac:dyDescent="0.2">
      <c r="A1178" s="1">
        <v>44383</v>
      </c>
      <c r="B1178">
        <v>50.1</v>
      </c>
      <c r="C1178" s="2">
        <f t="shared" si="18"/>
        <v>2.9369199458805142E-2</v>
      </c>
    </row>
    <row r="1179" spans="1:3" x14ac:dyDescent="0.2">
      <c r="A1179" s="1">
        <v>44382</v>
      </c>
      <c r="B1179">
        <v>48.65</v>
      </c>
      <c r="C1179" s="2">
        <f t="shared" si="18"/>
        <v>-4.1101521334895594E-4</v>
      </c>
    </row>
    <row r="1180" spans="1:3" x14ac:dyDescent="0.2">
      <c r="A1180" s="1">
        <v>44379</v>
      </c>
      <c r="B1180">
        <v>48.67</v>
      </c>
      <c r="C1180" s="2">
        <f t="shared" si="18"/>
        <v>-1.4372243516972492E-3</v>
      </c>
    </row>
    <row r="1181" spans="1:3" x14ac:dyDescent="0.2">
      <c r="A1181" s="1">
        <v>44378</v>
      </c>
      <c r="B1181">
        <v>48.74</v>
      </c>
      <c r="C1181" s="2">
        <f t="shared" si="18"/>
        <v>1.1141027140505506E-2</v>
      </c>
    </row>
    <row r="1182" spans="1:3" x14ac:dyDescent="0.2">
      <c r="A1182" s="1">
        <v>44377</v>
      </c>
      <c r="B1182">
        <v>48.2</v>
      </c>
      <c r="C1182" s="2">
        <f t="shared" si="18"/>
        <v>-4.5539304533577744E-3</v>
      </c>
    </row>
    <row r="1183" spans="1:3" x14ac:dyDescent="0.2">
      <c r="A1183" s="1">
        <v>44376</v>
      </c>
      <c r="B1183">
        <v>48.42</v>
      </c>
      <c r="C1183" s="2">
        <f t="shared" si="18"/>
        <v>-2.0650490522530318E-4</v>
      </c>
    </row>
    <row r="1184" spans="1:3" x14ac:dyDescent="0.2">
      <c r="A1184" s="1">
        <v>44375</v>
      </c>
      <c r="B1184">
        <v>48.43</v>
      </c>
      <c r="C1184" s="2">
        <f t="shared" si="18"/>
        <v>3.3092067427361706E-3</v>
      </c>
    </row>
    <row r="1185" spans="1:3" x14ac:dyDescent="0.2">
      <c r="A1185" s="1">
        <v>44372</v>
      </c>
      <c r="B1185">
        <v>48.27</v>
      </c>
      <c r="C1185" s="2">
        <f t="shared" si="18"/>
        <v>4.1442188740666328E-4</v>
      </c>
    </row>
    <row r="1186" spans="1:3" x14ac:dyDescent="0.2">
      <c r="A1186" s="1">
        <v>44371</v>
      </c>
      <c r="B1186">
        <v>48.25</v>
      </c>
      <c r="C1186" s="2">
        <f t="shared" si="18"/>
        <v>1.4403755962413714E-2</v>
      </c>
    </row>
    <row r="1187" spans="1:3" x14ac:dyDescent="0.2">
      <c r="A1187" s="1">
        <v>44370</v>
      </c>
      <c r="B1187">
        <v>47.56</v>
      </c>
      <c r="C1187" s="2">
        <f t="shared" si="18"/>
        <v>-1.0874218404370936E-2</v>
      </c>
    </row>
    <row r="1188" spans="1:3" x14ac:dyDescent="0.2">
      <c r="A1188" s="1">
        <v>44369</v>
      </c>
      <c r="B1188">
        <v>48.08</v>
      </c>
      <c r="C1188" s="2">
        <f t="shared" si="18"/>
        <v>-1.8701304151773428E-3</v>
      </c>
    </row>
    <row r="1189" spans="1:3" x14ac:dyDescent="0.2">
      <c r="A1189" s="1">
        <v>44368</v>
      </c>
      <c r="B1189">
        <v>48.17</v>
      </c>
      <c r="C1189" s="2">
        <f t="shared" si="18"/>
        <v>0</v>
      </c>
    </row>
    <row r="1190" spans="1:3" x14ac:dyDescent="0.2">
      <c r="A1190" s="1">
        <v>44365</v>
      </c>
      <c r="B1190">
        <v>48.17</v>
      </c>
      <c r="C1190" s="2">
        <f t="shared" si="18"/>
        <v>-6.8273773013080886E-3</v>
      </c>
    </row>
    <row r="1191" spans="1:3" x14ac:dyDescent="0.2">
      <c r="A1191" s="1">
        <v>44364</v>
      </c>
      <c r="B1191">
        <v>48.5</v>
      </c>
      <c r="C1191" s="2">
        <f t="shared" si="18"/>
        <v>1.8573939918346731E-3</v>
      </c>
    </row>
    <row r="1192" spans="1:3" x14ac:dyDescent="0.2">
      <c r="A1192" s="1">
        <v>44363</v>
      </c>
      <c r="B1192">
        <v>48.41</v>
      </c>
      <c r="C1192" s="2">
        <f t="shared" si="18"/>
        <v>9.1305884376303489E-3</v>
      </c>
    </row>
    <row r="1193" spans="1:3" x14ac:dyDescent="0.2">
      <c r="A1193" s="1">
        <v>44362</v>
      </c>
      <c r="B1193">
        <v>47.97</v>
      </c>
      <c r="C1193" s="2">
        <f t="shared" si="18"/>
        <v>5.4347959859567746E-3</v>
      </c>
    </row>
    <row r="1194" spans="1:3" x14ac:dyDescent="0.2">
      <c r="A1194" s="1">
        <v>44361</v>
      </c>
      <c r="B1194">
        <v>47.71</v>
      </c>
      <c r="C1194" s="2">
        <f t="shared" si="18"/>
        <v>2.098196321588214E-3</v>
      </c>
    </row>
    <row r="1195" spans="1:3" x14ac:dyDescent="0.2">
      <c r="A1195" s="1">
        <v>44358</v>
      </c>
      <c r="B1195">
        <v>47.61</v>
      </c>
      <c r="C1195" s="2">
        <f t="shared" si="18"/>
        <v>5.0537062707669382E-3</v>
      </c>
    </row>
    <row r="1196" spans="1:3" x14ac:dyDescent="0.2">
      <c r="A1196" s="1">
        <v>44357</v>
      </c>
      <c r="B1196">
        <v>47.37</v>
      </c>
      <c r="C1196" s="2">
        <f t="shared" si="18"/>
        <v>-9.0365225617498272E-3</v>
      </c>
    </row>
    <row r="1197" spans="1:3" x14ac:dyDescent="0.2">
      <c r="A1197" s="1">
        <v>44356</v>
      </c>
      <c r="B1197">
        <v>47.8</v>
      </c>
      <c r="C1197" s="2">
        <f t="shared" si="18"/>
        <v>9.6700354115721934E-3</v>
      </c>
    </row>
    <row r="1198" spans="1:3" x14ac:dyDescent="0.2">
      <c r="A1198" s="1">
        <v>44355</v>
      </c>
      <c r="B1198">
        <v>47.34</v>
      </c>
      <c r="C1198" s="2">
        <f t="shared" si="18"/>
        <v>8.0594285659969008E-3</v>
      </c>
    </row>
    <row r="1199" spans="1:3" x14ac:dyDescent="0.2">
      <c r="A1199" s="1">
        <v>44354</v>
      </c>
      <c r="B1199">
        <v>46.96</v>
      </c>
      <c r="C1199" s="2">
        <f t="shared" si="18"/>
        <v>1.8049480118982796E-2</v>
      </c>
    </row>
    <row r="1200" spans="1:3" x14ac:dyDescent="0.2">
      <c r="A1200" s="1">
        <v>44351</v>
      </c>
      <c r="B1200">
        <v>46.12</v>
      </c>
      <c r="C1200" s="2">
        <f t="shared" si="18"/>
        <v>8.2735068062230292E-3</v>
      </c>
    </row>
    <row r="1201" spans="1:3" x14ac:dyDescent="0.2">
      <c r="A1201" s="1">
        <v>44350</v>
      </c>
      <c r="B1201">
        <v>45.74</v>
      </c>
      <c r="C1201" s="2">
        <f t="shared" si="18"/>
        <v>1.1212605104883516E-2</v>
      </c>
    </row>
    <row r="1202" spans="1:3" x14ac:dyDescent="0.2">
      <c r="A1202" s="1">
        <v>44349</v>
      </c>
      <c r="B1202">
        <v>45.23</v>
      </c>
      <c r="C1202" s="2">
        <f t="shared" si="18"/>
        <v>-4.8522371337361937E-3</v>
      </c>
    </row>
    <row r="1203" spans="1:3" x14ac:dyDescent="0.2">
      <c r="A1203" s="1">
        <v>44348</v>
      </c>
      <c r="B1203">
        <v>45.45</v>
      </c>
      <c r="C1203" s="2">
        <f t="shared" si="18"/>
        <v>-8.7970095842482114E-4</v>
      </c>
    </row>
    <row r="1204" spans="1:3" x14ac:dyDescent="0.2">
      <c r="A1204" s="1">
        <v>44347</v>
      </c>
      <c r="B1204">
        <v>45.49</v>
      </c>
      <c r="C1204" s="2">
        <f t="shared" si="18"/>
        <v>-6.5732050870912573E-3</v>
      </c>
    </row>
    <row r="1205" spans="1:3" x14ac:dyDescent="0.2">
      <c r="A1205" s="1">
        <v>44344</v>
      </c>
      <c r="B1205">
        <v>45.79</v>
      </c>
      <c r="C1205" s="2">
        <f t="shared" si="18"/>
        <v>1.0317290509198428E-2</v>
      </c>
    </row>
    <row r="1206" spans="1:3" x14ac:dyDescent="0.2">
      <c r="A1206" s="1">
        <v>44343</v>
      </c>
      <c r="B1206">
        <v>45.32</v>
      </c>
      <c r="C1206" s="2">
        <f t="shared" si="18"/>
        <v>-1.3587761101146536E-2</v>
      </c>
    </row>
    <row r="1207" spans="1:3" x14ac:dyDescent="0.2">
      <c r="A1207" s="1">
        <v>44342</v>
      </c>
      <c r="B1207">
        <v>45.94</v>
      </c>
      <c r="C1207" s="2">
        <f t="shared" si="18"/>
        <v>-8.2376360037877145E-3</v>
      </c>
    </row>
    <row r="1208" spans="1:3" x14ac:dyDescent="0.2">
      <c r="A1208" s="1">
        <v>44341</v>
      </c>
      <c r="B1208">
        <v>46.32</v>
      </c>
      <c r="C1208" s="2">
        <f t="shared" si="18"/>
        <v>6.0632494110579383E-3</v>
      </c>
    </row>
    <row r="1209" spans="1:3" x14ac:dyDescent="0.2">
      <c r="A1209" s="1">
        <v>44340</v>
      </c>
      <c r="B1209">
        <v>46.04</v>
      </c>
      <c r="C1209" s="2">
        <f t="shared" si="18"/>
        <v>-9.7266518488114961E-3</v>
      </c>
    </row>
    <row r="1210" spans="1:3" x14ac:dyDescent="0.2">
      <c r="A1210" s="1">
        <v>44337</v>
      </c>
      <c r="B1210">
        <v>46.49</v>
      </c>
      <c r="C1210" s="2">
        <f t="shared" si="18"/>
        <v>1.7357780127313333E-2</v>
      </c>
    </row>
    <row r="1211" spans="1:3" x14ac:dyDescent="0.2">
      <c r="A1211" s="1">
        <v>44336</v>
      </c>
      <c r="B1211">
        <v>45.69</v>
      </c>
      <c r="C1211" s="2">
        <f t="shared" si="18"/>
        <v>8.1310194153745557E-3</v>
      </c>
    </row>
    <row r="1212" spans="1:3" x14ac:dyDescent="0.2">
      <c r="A1212" s="1">
        <v>44335</v>
      </c>
      <c r="B1212">
        <v>45.32</v>
      </c>
      <c r="C1212" s="2">
        <f t="shared" si="18"/>
        <v>2.4301348532916691E-3</v>
      </c>
    </row>
    <row r="1213" spans="1:3" x14ac:dyDescent="0.2">
      <c r="A1213" s="1">
        <v>44334</v>
      </c>
      <c r="B1213">
        <v>45.21</v>
      </c>
      <c r="C1213" s="2">
        <f t="shared" si="18"/>
        <v>5.3227005238978874E-3</v>
      </c>
    </row>
    <row r="1214" spans="1:3" x14ac:dyDescent="0.2">
      <c r="A1214" s="1">
        <v>44333</v>
      </c>
      <c r="B1214">
        <v>44.97</v>
      </c>
      <c r="C1214" s="2">
        <f t="shared" si="18"/>
        <v>1.7270811698963526E-2</v>
      </c>
    </row>
    <row r="1215" spans="1:3" x14ac:dyDescent="0.2">
      <c r="A1215" s="1">
        <v>44330</v>
      </c>
      <c r="B1215">
        <v>44.2</v>
      </c>
      <c r="C1215" s="2">
        <f t="shared" si="18"/>
        <v>3.1724477094554862E-3</v>
      </c>
    </row>
    <row r="1216" spans="1:3" x14ac:dyDescent="0.2">
      <c r="A1216" s="1">
        <v>44329</v>
      </c>
      <c r="B1216">
        <v>44.06</v>
      </c>
      <c r="C1216" s="2">
        <f t="shared" si="18"/>
        <v>8.4330984108527442E-3</v>
      </c>
    </row>
    <row r="1217" spans="1:3" x14ac:dyDescent="0.2">
      <c r="A1217" s="1">
        <v>44328</v>
      </c>
      <c r="B1217">
        <v>43.69</v>
      </c>
      <c r="C1217" s="2">
        <f t="shared" si="18"/>
        <v>-2.057849131372465E-3</v>
      </c>
    </row>
    <row r="1218" spans="1:3" x14ac:dyDescent="0.2">
      <c r="A1218" s="1">
        <v>44327</v>
      </c>
      <c r="B1218">
        <v>43.78</v>
      </c>
      <c r="C1218" s="2">
        <f t="shared" si="18"/>
        <v>-2.3031047326222458E-2</v>
      </c>
    </row>
    <row r="1219" spans="1:3" x14ac:dyDescent="0.2">
      <c r="A1219" s="1">
        <v>44326</v>
      </c>
      <c r="B1219">
        <v>44.8</v>
      </c>
      <c r="C1219" s="2">
        <f t="shared" ref="C1219:C1282" si="19">+LN(B1219/B1220)</f>
        <v>-4.8986960576468137E-3</v>
      </c>
    </row>
    <row r="1220" spans="1:3" x14ac:dyDescent="0.2">
      <c r="A1220" s="1">
        <v>44323</v>
      </c>
      <c r="B1220">
        <v>45.02</v>
      </c>
      <c r="C1220" s="2">
        <f t="shared" si="19"/>
        <v>1.2292030955981149E-2</v>
      </c>
    </row>
    <row r="1221" spans="1:3" x14ac:dyDescent="0.2">
      <c r="A1221" s="1">
        <v>44322</v>
      </c>
      <c r="B1221">
        <v>44.47</v>
      </c>
      <c r="C1221" s="2">
        <f t="shared" si="19"/>
        <v>-3.0778472907153329E-2</v>
      </c>
    </row>
    <row r="1222" spans="1:3" x14ac:dyDescent="0.2">
      <c r="A1222" s="1">
        <v>44321</v>
      </c>
      <c r="B1222">
        <v>45.86</v>
      </c>
      <c r="C1222" s="2">
        <f t="shared" si="19"/>
        <v>1.3091863096192109E-3</v>
      </c>
    </row>
    <row r="1223" spans="1:3" x14ac:dyDescent="0.2">
      <c r="A1223" s="1">
        <v>44320</v>
      </c>
      <c r="B1223">
        <v>45.8</v>
      </c>
      <c r="C1223" s="2">
        <f t="shared" si="19"/>
        <v>-1.4307636222123872E-2</v>
      </c>
    </row>
    <row r="1224" spans="1:3" x14ac:dyDescent="0.2">
      <c r="A1224" s="1">
        <v>44319</v>
      </c>
      <c r="B1224">
        <v>46.46</v>
      </c>
      <c r="C1224" s="2">
        <f t="shared" si="19"/>
        <v>1.3434654935778886E-2</v>
      </c>
    </row>
    <row r="1225" spans="1:3" x14ac:dyDescent="0.2">
      <c r="A1225" s="1">
        <v>44316</v>
      </c>
      <c r="B1225">
        <v>45.84</v>
      </c>
      <c r="C1225" s="2">
        <f t="shared" si="19"/>
        <v>2.4025347365205156E-3</v>
      </c>
    </row>
    <row r="1226" spans="1:3" x14ac:dyDescent="0.2">
      <c r="A1226" s="1">
        <v>44315</v>
      </c>
      <c r="B1226">
        <v>45.73</v>
      </c>
      <c r="C1226" s="2">
        <f t="shared" si="19"/>
        <v>-6.9732250313519917E-3</v>
      </c>
    </row>
    <row r="1227" spans="1:3" x14ac:dyDescent="0.2">
      <c r="A1227" s="1">
        <v>44314</v>
      </c>
      <c r="B1227">
        <v>46.05</v>
      </c>
      <c r="C1227" s="2">
        <f t="shared" si="19"/>
        <v>-2.6024738175818084E-3</v>
      </c>
    </row>
    <row r="1228" spans="1:3" x14ac:dyDescent="0.2">
      <c r="A1228" s="1">
        <v>44313</v>
      </c>
      <c r="B1228">
        <v>46.17</v>
      </c>
      <c r="C1228" s="2">
        <f t="shared" si="19"/>
        <v>-6.2614908233655543E-3</v>
      </c>
    </row>
    <row r="1229" spans="1:3" x14ac:dyDescent="0.2">
      <c r="A1229" s="1">
        <v>44312</v>
      </c>
      <c r="B1229">
        <v>46.46</v>
      </c>
      <c r="C1229" s="2">
        <f t="shared" si="19"/>
        <v>-1.7204305318825118E-3</v>
      </c>
    </row>
    <row r="1230" spans="1:3" x14ac:dyDescent="0.2">
      <c r="A1230" s="1">
        <v>44309</v>
      </c>
      <c r="B1230">
        <v>46.54</v>
      </c>
      <c r="C1230" s="2">
        <f t="shared" si="19"/>
        <v>-1.0260885237777817E-2</v>
      </c>
    </row>
    <row r="1231" spans="1:3" x14ac:dyDescent="0.2">
      <c r="A1231" s="1">
        <v>44308</v>
      </c>
      <c r="B1231">
        <v>47.02</v>
      </c>
      <c r="C1231" s="2">
        <f t="shared" si="19"/>
        <v>-2.3366978237160402E-3</v>
      </c>
    </row>
    <row r="1232" spans="1:3" x14ac:dyDescent="0.2">
      <c r="A1232" s="1">
        <v>44307</v>
      </c>
      <c r="B1232">
        <v>47.13</v>
      </c>
      <c r="C1232" s="2">
        <f t="shared" si="19"/>
        <v>2.5355892133943323E-2</v>
      </c>
    </row>
    <row r="1233" spans="1:3" x14ac:dyDescent="0.2">
      <c r="A1233" s="1">
        <v>44306</v>
      </c>
      <c r="B1233">
        <v>45.95</v>
      </c>
      <c r="C1233" s="2">
        <f t="shared" si="19"/>
        <v>1.3066203949540461E-3</v>
      </c>
    </row>
    <row r="1234" spans="1:3" x14ac:dyDescent="0.2">
      <c r="A1234" s="1">
        <v>44305</v>
      </c>
      <c r="B1234">
        <v>45.89</v>
      </c>
      <c r="C1234" s="2">
        <f t="shared" si="19"/>
        <v>3.7113894801322714E-3</v>
      </c>
    </row>
    <row r="1235" spans="1:3" x14ac:dyDescent="0.2">
      <c r="A1235" s="1">
        <v>44302</v>
      </c>
      <c r="B1235">
        <v>45.72</v>
      </c>
      <c r="C1235" s="2">
        <f t="shared" si="19"/>
        <v>5.7030205022127606E-3</v>
      </c>
    </row>
    <row r="1236" spans="1:3" x14ac:dyDescent="0.2">
      <c r="A1236" s="1">
        <v>44301</v>
      </c>
      <c r="B1236">
        <v>45.46</v>
      </c>
      <c r="C1236" s="2">
        <f t="shared" si="19"/>
        <v>-1.7582422111963897E-3</v>
      </c>
    </row>
    <row r="1237" spans="1:3" x14ac:dyDescent="0.2">
      <c r="A1237" s="1">
        <v>44300</v>
      </c>
      <c r="B1237">
        <v>45.54</v>
      </c>
      <c r="C1237" s="2">
        <f t="shared" si="19"/>
        <v>-4.3907794338791137E-4</v>
      </c>
    </row>
    <row r="1238" spans="1:3" x14ac:dyDescent="0.2">
      <c r="A1238" s="1">
        <v>44299</v>
      </c>
      <c r="B1238">
        <v>45.56</v>
      </c>
      <c r="C1238" s="2">
        <f t="shared" si="19"/>
        <v>4.1790449031089876E-3</v>
      </c>
    </row>
    <row r="1239" spans="1:3" x14ac:dyDescent="0.2">
      <c r="A1239" s="1">
        <v>44298</v>
      </c>
      <c r="B1239">
        <v>45.37</v>
      </c>
      <c r="C1239" s="2">
        <f t="shared" si="19"/>
        <v>-1.9817247485246501E-3</v>
      </c>
    </row>
    <row r="1240" spans="1:3" x14ac:dyDescent="0.2">
      <c r="A1240" s="1">
        <v>44295</v>
      </c>
      <c r="B1240">
        <v>45.46</v>
      </c>
      <c r="C1240" s="2">
        <f t="shared" si="19"/>
        <v>0</v>
      </c>
    </row>
    <row r="1241" spans="1:3" x14ac:dyDescent="0.2">
      <c r="A1241" s="1">
        <v>44294</v>
      </c>
      <c r="B1241">
        <v>45.46</v>
      </c>
      <c r="C1241" s="2">
        <f t="shared" si="19"/>
        <v>-1.0067933586913888E-2</v>
      </c>
    </row>
    <row r="1242" spans="1:3" x14ac:dyDescent="0.2">
      <c r="A1242" s="1">
        <v>44293</v>
      </c>
      <c r="B1242">
        <v>45.92</v>
      </c>
      <c r="C1242" s="2">
        <f t="shared" si="19"/>
        <v>-5.2128701885329875E-3</v>
      </c>
    </row>
    <row r="1243" spans="1:3" x14ac:dyDescent="0.2">
      <c r="A1243" s="1">
        <v>44292</v>
      </c>
      <c r="B1243">
        <v>46.16</v>
      </c>
      <c r="C1243" s="2">
        <f t="shared" si="19"/>
        <v>-1.5477523068913174E-2</v>
      </c>
    </row>
    <row r="1244" spans="1:3" x14ac:dyDescent="0.2">
      <c r="A1244" s="1">
        <v>44287</v>
      </c>
      <c r="B1244">
        <v>46.88</v>
      </c>
      <c r="C1244" s="2">
        <f t="shared" si="19"/>
        <v>2.1779836659676557E-2</v>
      </c>
    </row>
    <row r="1245" spans="1:3" x14ac:dyDescent="0.2">
      <c r="A1245" s="1">
        <v>44286</v>
      </c>
      <c r="B1245">
        <v>45.87</v>
      </c>
      <c r="C1245" s="2">
        <f t="shared" si="19"/>
        <v>8.5386397267454266E-3</v>
      </c>
    </row>
    <row r="1246" spans="1:3" x14ac:dyDescent="0.2">
      <c r="A1246" s="1">
        <v>44285</v>
      </c>
      <c r="B1246">
        <v>45.48</v>
      </c>
      <c r="C1246" s="2">
        <f t="shared" si="19"/>
        <v>-3.5118561115396593E-3</v>
      </c>
    </row>
    <row r="1247" spans="1:3" x14ac:dyDescent="0.2">
      <c r="A1247" s="1">
        <v>44284</v>
      </c>
      <c r="B1247">
        <v>45.64</v>
      </c>
      <c r="C1247" s="2">
        <f t="shared" si="19"/>
        <v>1.0351375327362036E-2</v>
      </c>
    </row>
    <row r="1248" spans="1:3" x14ac:dyDescent="0.2">
      <c r="A1248" s="1">
        <v>44281</v>
      </c>
      <c r="B1248">
        <v>45.17</v>
      </c>
      <c r="C1248" s="2">
        <f t="shared" si="19"/>
        <v>-2.6531079016096364E-3</v>
      </c>
    </row>
    <row r="1249" spans="1:3" x14ac:dyDescent="0.2">
      <c r="A1249" s="1">
        <v>44280</v>
      </c>
      <c r="B1249">
        <v>45.29</v>
      </c>
      <c r="C1249" s="2">
        <f t="shared" si="19"/>
        <v>2.2104341449341895E-3</v>
      </c>
    </row>
    <row r="1250" spans="1:3" x14ac:dyDescent="0.2">
      <c r="A1250" s="1">
        <v>44279</v>
      </c>
      <c r="B1250">
        <v>45.19</v>
      </c>
      <c r="C1250" s="2">
        <f t="shared" si="19"/>
        <v>-6.3968454591469817E-3</v>
      </c>
    </row>
    <row r="1251" spans="1:3" x14ac:dyDescent="0.2">
      <c r="A1251" s="1">
        <v>44278</v>
      </c>
      <c r="B1251">
        <v>45.48</v>
      </c>
      <c r="C1251" s="2">
        <f t="shared" si="19"/>
        <v>3.3036039295772984E-3</v>
      </c>
    </row>
    <row r="1252" spans="1:3" x14ac:dyDescent="0.2">
      <c r="A1252" s="1">
        <v>44277</v>
      </c>
      <c r="B1252">
        <v>45.33</v>
      </c>
      <c r="C1252" s="2">
        <f t="shared" si="19"/>
        <v>2.6507636462440864E-3</v>
      </c>
    </row>
    <row r="1253" spans="1:3" x14ac:dyDescent="0.2">
      <c r="A1253" s="1">
        <v>44274</v>
      </c>
      <c r="B1253">
        <v>45.21</v>
      </c>
      <c r="C1253" s="2">
        <f t="shared" si="19"/>
        <v>1.0450345244530267E-2</v>
      </c>
    </row>
    <row r="1254" spans="1:3" x14ac:dyDescent="0.2">
      <c r="A1254" s="1">
        <v>44273</v>
      </c>
      <c r="B1254">
        <v>44.74</v>
      </c>
      <c r="C1254" s="2">
        <f t="shared" si="19"/>
        <v>-4.237767020085036E-3</v>
      </c>
    </row>
    <row r="1255" spans="1:3" x14ac:dyDescent="0.2">
      <c r="A1255" s="1">
        <v>44272</v>
      </c>
      <c r="B1255">
        <v>44.93</v>
      </c>
      <c r="C1255" s="2">
        <f t="shared" si="19"/>
        <v>-2.2254367511445865E-4</v>
      </c>
    </row>
    <row r="1256" spans="1:3" x14ac:dyDescent="0.2">
      <c r="A1256" s="1">
        <v>44271</v>
      </c>
      <c r="B1256">
        <v>44.94</v>
      </c>
      <c r="C1256" s="2">
        <f t="shared" si="19"/>
        <v>-6.2112000926407476E-3</v>
      </c>
    </row>
    <row r="1257" spans="1:3" x14ac:dyDescent="0.2">
      <c r="A1257" s="1">
        <v>44270</v>
      </c>
      <c r="B1257">
        <v>45.22</v>
      </c>
      <c r="C1257" s="2">
        <f t="shared" si="19"/>
        <v>1.5376347516212734E-2</v>
      </c>
    </row>
    <row r="1258" spans="1:3" x14ac:dyDescent="0.2">
      <c r="A1258" s="1">
        <v>44267</v>
      </c>
      <c r="B1258">
        <v>44.53</v>
      </c>
      <c r="C1258" s="2">
        <f t="shared" si="19"/>
        <v>-1.3384094505298826E-2</v>
      </c>
    </row>
    <row r="1259" spans="1:3" x14ac:dyDescent="0.2">
      <c r="A1259" s="1">
        <v>44266</v>
      </c>
      <c r="B1259">
        <v>45.13</v>
      </c>
      <c r="C1259" s="2">
        <f t="shared" si="19"/>
        <v>1.7885565081947729E-2</v>
      </c>
    </row>
    <row r="1260" spans="1:3" x14ac:dyDescent="0.2">
      <c r="A1260" s="1">
        <v>44265</v>
      </c>
      <c r="B1260">
        <v>44.33</v>
      </c>
      <c r="C1260" s="2">
        <f t="shared" si="19"/>
        <v>-1.8328631106032223E-2</v>
      </c>
    </row>
    <row r="1261" spans="1:3" x14ac:dyDescent="0.2">
      <c r="A1261" s="1">
        <v>44264</v>
      </c>
      <c r="B1261">
        <v>45.15</v>
      </c>
      <c r="C1261" s="2">
        <f t="shared" si="19"/>
        <v>8.2286686923856763E-3</v>
      </c>
    </row>
    <row r="1262" spans="1:3" x14ac:dyDescent="0.2">
      <c r="A1262" s="1">
        <v>44263</v>
      </c>
      <c r="B1262">
        <v>44.78</v>
      </c>
      <c r="C1262" s="2">
        <f t="shared" si="19"/>
        <v>3.2454907944057899E-2</v>
      </c>
    </row>
    <row r="1263" spans="1:3" x14ac:dyDescent="0.2">
      <c r="A1263" s="1">
        <v>44260</v>
      </c>
      <c r="B1263">
        <v>43.35</v>
      </c>
      <c r="C1263" s="2">
        <f t="shared" si="19"/>
        <v>-8.0413988749936383E-3</v>
      </c>
    </row>
    <row r="1264" spans="1:3" x14ac:dyDescent="0.2">
      <c r="A1264" s="1">
        <v>44259</v>
      </c>
      <c r="B1264">
        <v>43.7</v>
      </c>
      <c r="C1264" s="2">
        <f t="shared" si="19"/>
        <v>1.5915455305899582E-2</v>
      </c>
    </row>
    <row r="1265" spans="1:3" x14ac:dyDescent="0.2">
      <c r="A1265" s="1">
        <v>44258</v>
      </c>
      <c r="B1265">
        <v>43.01</v>
      </c>
      <c r="C1265" s="2">
        <f t="shared" si="19"/>
        <v>7.9365495957363415E-3</v>
      </c>
    </row>
    <row r="1266" spans="1:3" x14ac:dyDescent="0.2">
      <c r="A1266" s="1">
        <v>44257</v>
      </c>
      <c r="B1266">
        <v>42.67</v>
      </c>
      <c r="C1266" s="2">
        <f t="shared" si="19"/>
        <v>5.4047834541264116E-3</v>
      </c>
    </row>
    <row r="1267" spans="1:3" x14ac:dyDescent="0.2">
      <c r="A1267" s="1">
        <v>44256</v>
      </c>
      <c r="B1267">
        <v>42.44</v>
      </c>
      <c r="C1267" s="2">
        <f t="shared" si="19"/>
        <v>7.093905369739347E-3</v>
      </c>
    </row>
    <row r="1268" spans="1:3" x14ac:dyDescent="0.2">
      <c r="A1268" s="1">
        <v>44253</v>
      </c>
      <c r="B1268">
        <v>42.14</v>
      </c>
      <c r="C1268" s="2">
        <f t="shared" si="19"/>
        <v>-1.5540694211708094E-2</v>
      </c>
    </row>
    <row r="1269" spans="1:3" x14ac:dyDescent="0.2">
      <c r="A1269" s="1">
        <v>44252</v>
      </c>
      <c r="B1269">
        <v>42.8</v>
      </c>
      <c r="C1269" s="2">
        <f t="shared" si="19"/>
        <v>-1.6341780221346229E-3</v>
      </c>
    </row>
    <row r="1270" spans="1:3" x14ac:dyDescent="0.2">
      <c r="A1270" s="1">
        <v>44251</v>
      </c>
      <c r="B1270">
        <v>42.87</v>
      </c>
      <c r="C1270" s="2">
        <f t="shared" si="19"/>
        <v>9.8453678525293013E-3</v>
      </c>
    </row>
    <row r="1271" spans="1:3" x14ac:dyDescent="0.2">
      <c r="A1271" s="1">
        <v>44250</v>
      </c>
      <c r="B1271">
        <v>42.45</v>
      </c>
      <c r="C1271" s="2">
        <f t="shared" si="19"/>
        <v>3.0671252073124376E-3</v>
      </c>
    </row>
    <row r="1272" spans="1:3" x14ac:dyDescent="0.2">
      <c r="A1272" s="1">
        <v>44249</v>
      </c>
      <c r="B1272">
        <v>42.32</v>
      </c>
      <c r="C1272" s="2">
        <f t="shared" si="19"/>
        <v>-3.4374029832356399E-2</v>
      </c>
    </row>
    <row r="1273" spans="1:3" x14ac:dyDescent="0.2">
      <c r="A1273" s="1">
        <v>44246</v>
      </c>
      <c r="B1273">
        <v>43.8</v>
      </c>
      <c r="C1273" s="2">
        <f t="shared" si="19"/>
        <v>1.3708021337786216E-3</v>
      </c>
    </row>
    <row r="1274" spans="1:3" x14ac:dyDescent="0.2">
      <c r="A1274" s="1">
        <v>44245</v>
      </c>
      <c r="B1274">
        <v>43.74</v>
      </c>
      <c r="C1274" s="2">
        <f t="shared" si="19"/>
        <v>-5.926618669639336E-3</v>
      </c>
    </row>
    <row r="1275" spans="1:3" x14ac:dyDescent="0.2">
      <c r="A1275" s="1">
        <v>44244</v>
      </c>
      <c r="B1275">
        <v>44</v>
      </c>
      <c r="C1275" s="2">
        <f t="shared" si="19"/>
        <v>-5.6657375356773077E-3</v>
      </c>
    </row>
    <row r="1276" spans="1:3" x14ac:dyDescent="0.2">
      <c r="A1276" s="1">
        <v>44243</v>
      </c>
      <c r="B1276">
        <v>44.25</v>
      </c>
      <c r="C1276" s="2">
        <f t="shared" si="19"/>
        <v>-1.324522675002068E-2</v>
      </c>
    </row>
    <row r="1277" spans="1:3" x14ac:dyDescent="0.2">
      <c r="A1277" s="1">
        <v>44242</v>
      </c>
      <c r="B1277">
        <v>44.84</v>
      </c>
      <c r="C1277" s="2">
        <f t="shared" si="19"/>
        <v>4.6943195627807428E-3</v>
      </c>
    </row>
    <row r="1278" spans="1:3" x14ac:dyDescent="0.2">
      <c r="A1278" s="1">
        <v>44239</v>
      </c>
      <c r="B1278">
        <v>44.63</v>
      </c>
      <c r="C1278" s="2">
        <f t="shared" si="19"/>
        <v>-1.4679978926943841E-2</v>
      </c>
    </row>
    <row r="1279" spans="1:3" x14ac:dyDescent="0.2">
      <c r="A1279" s="1">
        <v>44238</v>
      </c>
      <c r="B1279">
        <v>45.29</v>
      </c>
      <c r="C1279" s="2">
        <f t="shared" si="19"/>
        <v>8.8358742218738924E-4</v>
      </c>
    </row>
    <row r="1280" spans="1:3" x14ac:dyDescent="0.2">
      <c r="A1280" s="1">
        <v>44237</v>
      </c>
      <c r="B1280">
        <v>45.25</v>
      </c>
      <c r="C1280" s="2">
        <f t="shared" si="19"/>
        <v>-7.2663536716030463E-3</v>
      </c>
    </row>
    <row r="1281" spans="1:3" x14ac:dyDescent="0.2">
      <c r="A1281" s="1">
        <v>44236</v>
      </c>
      <c r="B1281">
        <v>45.58</v>
      </c>
      <c r="C1281" s="2">
        <f t="shared" si="19"/>
        <v>3.9569187702359959E-3</v>
      </c>
    </row>
    <row r="1282" spans="1:3" x14ac:dyDescent="0.2">
      <c r="A1282" s="1">
        <v>44235</v>
      </c>
      <c r="B1282">
        <v>45.4</v>
      </c>
      <c r="C1282" s="2">
        <f t="shared" si="19"/>
        <v>1.1519843832861323E-2</v>
      </c>
    </row>
    <row r="1283" spans="1:3" x14ac:dyDescent="0.2">
      <c r="A1283" s="1">
        <v>44232</v>
      </c>
      <c r="B1283">
        <v>44.88</v>
      </c>
      <c r="C1283" s="2">
        <f t="shared" ref="C1283:C1346" si="20">+LN(B1283/B1284)</f>
        <v>3.2381409503039783E-2</v>
      </c>
    </row>
    <row r="1284" spans="1:3" x14ac:dyDescent="0.2">
      <c r="A1284" s="1">
        <v>44231</v>
      </c>
      <c r="B1284">
        <v>43.45</v>
      </c>
      <c r="C1284" s="2">
        <f t="shared" si="20"/>
        <v>-1.1214215245062973E-2</v>
      </c>
    </row>
    <row r="1285" spans="1:3" x14ac:dyDescent="0.2">
      <c r="A1285" s="1">
        <v>44230</v>
      </c>
      <c r="B1285">
        <v>43.94</v>
      </c>
      <c r="C1285" s="2">
        <f t="shared" si="20"/>
        <v>-2.9542118974315201E-3</v>
      </c>
    </row>
    <row r="1286" spans="1:3" x14ac:dyDescent="0.2">
      <c r="A1286" s="1">
        <v>44229</v>
      </c>
      <c r="B1286">
        <v>44.07</v>
      </c>
      <c r="C1286" s="2">
        <f t="shared" si="20"/>
        <v>1.3478216600886904E-2</v>
      </c>
    </row>
    <row r="1287" spans="1:3" x14ac:dyDescent="0.2">
      <c r="A1287" s="1">
        <v>44228</v>
      </c>
      <c r="B1287">
        <v>43.48</v>
      </c>
      <c r="C1287" s="2">
        <f t="shared" si="20"/>
        <v>1.7633867601069175E-2</v>
      </c>
    </row>
    <row r="1288" spans="1:3" x14ac:dyDescent="0.2">
      <c r="A1288" s="1">
        <v>44225</v>
      </c>
      <c r="B1288">
        <v>42.72</v>
      </c>
      <c r="C1288" s="2">
        <f t="shared" si="20"/>
        <v>1.3907118661014153E-2</v>
      </c>
    </row>
    <row r="1289" spans="1:3" x14ac:dyDescent="0.2">
      <c r="A1289" s="1">
        <v>44224</v>
      </c>
      <c r="B1289">
        <v>42.13</v>
      </c>
      <c r="C1289" s="2">
        <f t="shared" si="20"/>
        <v>-8.7439999394459209E-3</v>
      </c>
    </row>
    <row r="1290" spans="1:3" x14ac:dyDescent="0.2">
      <c r="A1290" s="1">
        <v>44223</v>
      </c>
      <c r="B1290">
        <v>42.5</v>
      </c>
      <c r="C1290" s="2">
        <f t="shared" si="20"/>
        <v>-2.3526644032752182E-4</v>
      </c>
    </row>
    <row r="1291" spans="1:3" x14ac:dyDescent="0.2">
      <c r="A1291" s="1">
        <v>44222</v>
      </c>
      <c r="B1291">
        <v>42.51</v>
      </c>
      <c r="C1291" s="2">
        <f t="shared" si="20"/>
        <v>2.1193932341622779E-3</v>
      </c>
    </row>
    <row r="1292" spans="1:3" x14ac:dyDescent="0.2">
      <c r="A1292" s="1">
        <v>44221</v>
      </c>
      <c r="B1292">
        <v>42.42</v>
      </c>
      <c r="C1292" s="2">
        <f t="shared" si="20"/>
        <v>-1.195093309993279E-2</v>
      </c>
    </row>
    <row r="1293" spans="1:3" x14ac:dyDescent="0.2">
      <c r="A1293" s="1">
        <v>44218</v>
      </c>
      <c r="B1293">
        <v>42.93</v>
      </c>
      <c r="C1293" s="2">
        <f t="shared" si="20"/>
        <v>6.5436082987812205E-3</v>
      </c>
    </row>
    <row r="1294" spans="1:3" x14ac:dyDescent="0.2">
      <c r="A1294" s="1">
        <v>44217</v>
      </c>
      <c r="B1294">
        <v>42.65</v>
      </c>
      <c r="C1294" s="2">
        <f t="shared" si="20"/>
        <v>2.3474189183051129E-3</v>
      </c>
    </row>
    <row r="1295" spans="1:3" x14ac:dyDescent="0.2">
      <c r="A1295" s="1">
        <v>44216</v>
      </c>
      <c r="B1295">
        <v>42.55</v>
      </c>
      <c r="C1295" s="2">
        <f t="shared" si="20"/>
        <v>-2.2540747528304206E-2</v>
      </c>
    </row>
    <row r="1296" spans="1:3" x14ac:dyDescent="0.2">
      <c r="A1296" s="1">
        <v>44215</v>
      </c>
      <c r="B1296">
        <v>43.52</v>
      </c>
      <c r="C1296" s="2">
        <f t="shared" si="20"/>
        <v>-4.3563063275359097E-3</v>
      </c>
    </row>
    <row r="1297" spans="1:3" x14ac:dyDescent="0.2">
      <c r="A1297" s="1">
        <v>44214</v>
      </c>
      <c r="B1297">
        <v>43.71</v>
      </c>
      <c r="C1297" s="2">
        <f t="shared" si="20"/>
        <v>9.1554137775365612E-4</v>
      </c>
    </row>
    <row r="1298" spans="1:3" x14ac:dyDescent="0.2">
      <c r="A1298" s="1">
        <v>44211</v>
      </c>
      <c r="B1298">
        <v>43.67</v>
      </c>
      <c r="C1298" s="2">
        <f t="shared" si="20"/>
        <v>-3.4289666698508153E-3</v>
      </c>
    </row>
    <row r="1299" spans="1:3" x14ac:dyDescent="0.2">
      <c r="A1299" s="1">
        <v>44210</v>
      </c>
      <c r="B1299">
        <v>43.82</v>
      </c>
      <c r="C1299" s="2">
        <f t="shared" si="20"/>
        <v>4.5745733938374784E-3</v>
      </c>
    </row>
    <row r="1300" spans="1:3" x14ac:dyDescent="0.2">
      <c r="A1300" s="1">
        <v>44209</v>
      </c>
      <c r="B1300">
        <v>43.62</v>
      </c>
      <c r="C1300" s="2">
        <f t="shared" si="20"/>
        <v>1.757677072805203E-2</v>
      </c>
    </row>
    <row r="1301" spans="1:3" x14ac:dyDescent="0.2">
      <c r="A1301" s="1">
        <v>44208</v>
      </c>
      <c r="B1301">
        <v>42.86</v>
      </c>
      <c r="C1301" s="2">
        <f t="shared" si="20"/>
        <v>4.6674446588293867E-4</v>
      </c>
    </row>
    <row r="1302" spans="1:3" x14ac:dyDescent="0.2">
      <c r="A1302" s="1">
        <v>44207</v>
      </c>
      <c r="B1302">
        <v>42.84</v>
      </c>
      <c r="C1302" s="2">
        <f t="shared" si="20"/>
        <v>1.1678151508227532E-3</v>
      </c>
    </row>
    <row r="1303" spans="1:3" x14ac:dyDescent="0.2">
      <c r="A1303" s="1">
        <v>44204</v>
      </c>
      <c r="B1303">
        <v>42.79</v>
      </c>
      <c r="C1303" s="2">
        <f t="shared" si="20"/>
        <v>2.0541390415938606E-2</v>
      </c>
    </row>
    <row r="1304" spans="1:3" x14ac:dyDescent="0.2">
      <c r="A1304" s="1">
        <v>44203</v>
      </c>
      <c r="B1304">
        <v>41.92</v>
      </c>
      <c r="C1304" s="2">
        <f t="shared" si="20"/>
        <v>-3.8376258051973013E-2</v>
      </c>
    </row>
    <row r="1305" spans="1:3" x14ac:dyDescent="0.2">
      <c r="A1305" s="1">
        <v>44202</v>
      </c>
      <c r="B1305">
        <v>43.56</v>
      </c>
      <c r="C1305" s="2">
        <f t="shared" si="20"/>
        <v>-3.6072441216701397E-2</v>
      </c>
    </row>
    <row r="1306" spans="1:3" x14ac:dyDescent="0.2">
      <c r="A1306" s="1">
        <v>44201</v>
      </c>
      <c r="B1306">
        <v>45.16</v>
      </c>
      <c r="C1306" s="2">
        <f t="shared" si="20"/>
        <v>6.6652101893990194E-3</v>
      </c>
    </row>
    <row r="1307" spans="1:3" x14ac:dyDescent="0.2">
      <c r="A1307" s="1">
        <v>44200</v>
      </c>
      <c r="B1307">
        <v>44.86</v>
      </c>
      <c r="C1307" s="2">
        <f t="shared" si="20"/>
        <v>-1.0422535860695581E-2</v>
      </c>
    </row>
    <row r="1308" spans="1:3" x14ac:dyDescent="0.2">
      <c r="A1308" s="1">
        <v>44195</v>
      </c>
      <c r="B1308">
        <v>45.33</v>
      </c>
      <c r="C1308" s="2">
        <f t="shared" si="20"/>
        <v>7.3065751824379944E-3</v>
      </c>
    </row>
    <row r="1309" spans="1:3" x14ac:dyDescent="0.2">
      <c r="A1309" s="1">
        <v>44194</v>
      </c>
      <c r="B1309">
        <v>45</v>
      </c>
      <c r="C1309" s="2">
        <f t="shared" si="20"/>
        <v>6.2416609234761337E-3</v>
      </c>
    </row>
    <row r="1310" spans="1:3" x14ac:dyDescent="0.2">
      <c r="A1310" s="1">
        <v>44193</v>
      </c>
      <c r="B1310">
        <v>44.72</v>
      </c>
      <c r="C1310" s="2">
        <f t="shared" si="20"/>
        <v>9.6619109117368901E-3</v>
      </c>
    </row>
    <row r="1311" spans="1:3" x14ac:dyDescent="0.2">
      <c r="A1311" s="1">
        <v>44188</v>
      </c>
      <c r="B1311">
        <v>44.29</v>
      </c>
      <c r="C1311" s="2">
        <f t="shared" si="20"/>
        <v>-4.0558865874982791E-3</v>
      </c>
    </row>
    <row r="1312" spans="1:3" x14ac:dyDescent="0.2">
      <c r="A1312" s="1">
        <v>44187</v>
      </c>
      <c r="B1312">
        <v>44.47</v>
      </c>
      <c r="C1312" s="2">
        <f t="shared" si="20"/>
        <v>1.0397923699605061E-2</v>
      </c>
    </row>
    <row r="1313" spans="1:3" x14ac:dyDescent="0.2">
      <c r="A1313" s="1">
        <v>44186</v>
      </c>
      <c r="B1313">
        <v>44.01</v>
      </c>
      <c r="C1313" s="2">
        <f t="shared" si="20"/>
        <v>-1.7121391429874278E-2</v>
      </c>
    </row>
    <row r="1314" spans="1:3" x14ac:dyDescent="0.2">
      <c r="A1314" s="1">
        <v>44183</v>
      </c>
      <c r="B1314">
        <v>44.77</v>
      </c>
      <c r="C1314" s="2">
        <f t="shared" si="20"/>
        <v>7.8484537865927094E-3</v>
      </c>
    </row>
    <row r="1315" spans="1:3" x14ac:dyDescent="0.2">
      <c r="A1315" s="1">
        <v>44182</v>
      </c>
      <c r="B1315">
        <v>44.42</v>
      </c>
      <c r="C1315" s="2">
        <f t="shared" si="20"/>
        <v>6.7559962033759871E-4</v>
      </c>
    </row>
    <row r="1316" spans="1:3" x14ac:dyDescent="0.2">
      <c r="A1316" s="1">
        <v>44181</v>
      </c>
      <c r="B1316">
        <v>44.39</v>
      </c>
      <c r="C1316" s="2">
        <f t="shared" si="20"/>
        <v>2.1633543220263916E-2</v>
      </c>
    </row>
    <row r="1317" spans="1:3" x14ac:dyDescent="0.2">
      <c r="A1317" s="1">
        <v>44180</v>
      </c>
      <c r="B1317">
        <v>43.44</v>
      </c>
      <c r="C1317" s="2">
        <f t="shared" si="20"/>
        <v>-3.0157596627194236E-2</v>
      </c>
    </row>
    <row r="1318" spans="1:3" x14ac:dyDescent="0.2">
      <c r="A1318" s="1">
        <v>44179</v>
      </c>
      <c r="B1318">
        <v>44.77</v>
      </c>
      <c r="C1318" s="2">
        <f t="shared" si="20"/>
        <v>1.6894196154558519E-2</v>
      </c>
    </row>
    <row r="1319" spans="1:3" x14ac:dyDescent="0.2">
      <c r="A1319" s="1">
        <v>44176</v>
      </c>
      <c r="B1319">
        <v>44.02</v>
      </c>
      <c r="C1319" s="2">
        <f t="shared" si="20"/>
        <v>1.1364929055968887E-3</v>
      </c>
    </row>
    <row r="1320" spans="1:3" x14ac:dyDescent="0.2">
      <c r="A1320" s="1">
        <v>44175</v>
      </c>
      <c r="B1320">
        <v>43.97</v>
      </c>
      <c r="C1320" s="2">
        <f t="shared" si="20"/>
        <v>-3.4056111925829151E-3</v>
      </c>
    </row>
    <row r="1321" spans="1:3" x14ac:dyDescent="0.2">
      <c r="A1321" s="1">
        <v>44174</v>
      </c>
      <c r="B1321">
        <v>44.12</v>
      </c>
      <c r="C1321" s="2">
        <f t="shared" si="20"/>
        <v>1.0480843263504005E-2</v>
      </c>
    </row>
    <row r="1322" spans="1:3" x14ac:dyDescent="0.2">
      <c r="A1322" s="1">
        <v>44173</v>
      </c>
      <c r="B1322">
        <v>43.66</v>
      </c>
      <c r="C1322" s="2">
        <f t="shared" si="20"/>
        <v>1.0823364149188018E-2</v>
      </c>
    </row>
    <row r="1323" spans="1:3" x14ac:dyDescent="0.2">
      <c r="A1323" s="1">
        <v>44172</v>
      </c>
      <c r="B1323">
        <v>43.19</v>
      </c>
      <c r="C1323" s="2">
        <f t="shared" si="20"/>
        <v>-1.3796493840697234E-2</v>
      </c>
    </row>
    <row r="1324" spans="1:3" x14ac:dyDescent="0.2">
      <c r="A1324" s="1">
        <v>44169</v>
      </c>
      <c r="B1324">
        <v>43.79</v>
      </c>
      <c r="C1324" s="2">
        <f t="shared" si="20"/>
        <v>1.9601688362672124E-2</v>
      </c>
    </row>
    <row r="1325" spans="1:3" x14ac:dyDescent="0.2">
      <c r="A1325" s="1">
        <v>44168</v>
      </c>
      <c r="B1325">
        <v>42.94</v>
      </c>
      <c r="C1325" s="2">
        <f t="shared" si="20"/>
        <v>-2.3261234028940552E-3</v>
      </c>
    </row>
    <row r="1326" spans="1:3" x14ac:dyDescent="0.2">
      <c r="A1326" s="1">
        <v>44167</v>
      </c>
      <c r="B1326">
        <v>43.04</v>
      </c>
      <c r="C1326" s="2">
        <f t="shared" si="20"/>
        <v>-1.727556495977798E-2</v>
      </c>
    </row>
    <row r="1327" spans="1:3" x14ac:dyDescent="0.2">
      <c r="A1327" s="1">
        <v>44166</v>
      </c>
      <c r="B1327">
        <v>43.79</v>
      </c>
      <c r="C1327" s="2">
        <f t="shared" si="20"/>
        <v>-1.9000797827871594E-2</v>
      </c>
    </row>
    <row r="1328" spans="1:3" x14ac:dyDescent="0.2">
      <c r="A1328" s="1">
        <v>44165</v>
      </c>
      <c r="B1328">
        <v>44.63</v>
      </c>
      <c r="C1328" s="2">
        <f t="shared" si="20"/>
        <v>-1.5121480037868331E-2</v>
      </c>
    </row>
    <row r="1329" spans="1:3" x14ac:dyDescent="0.2">
      <c r="A1329" s="1">
        <v>44162</v>
      </c>
      <c r="B1329">
        <v>45.31</v>
      </c>
      <c r="C1329" s="2">
        <f t="shared" si="20"/>
        <v>9.9812295869845871E-3</v>
      </c>
    </row>
    <row r="1330" spans="1:3" x14ac:dyDescent="0.2">
      <c r="A1330" s="1">
        <v>44161</v>
      </c>
      <c r="B1330">
        <v>44.86</v>
      </c>
      <c r="C1330" s="2">
        <f t="shared" si="20"/>
        <v>9.8567106257808866E-3</v>
      </c>
    </row>
    <row r="1331" spans="1:3" x14ac:dyDescent="0.2">
      <c r="A1331" s="1">
        <v>44160</v>
      </c>
      <c r="B1331">
        <v>44.42</v>
      </c>
      <c r="C1331" s="2">
        <f t="shared" si="20"/>
        <v>1.3371304035563563E-2</v>
      </c>
    </row>
    <row r="1332" spans="1:3" x14ac:dyDescent="0.2">
      <c r="A1332" s="1">
        <v>44159</v>
      </c>
      <c r="B1332">
        <v>43.83</v>
      </c>
      <c r="C1332" s="2">
        <f t="shared" si="20"/>
        <v>-2.6121728422363238E-2</v>
      </c>
    </row>
    <row r="1333" spans="1:3" x14ac:dyDescent="0.2">
      <c r="A1333" s="1">
        <v>44158</v>
      </c>
      <c r="B1333">
        <v>44.99</v>
      </c>
      <c r="C1333" s="2">
        <f t="shared" si="20"/>
        <v>-2.7837413950212102E-2</v>
      </c>
    </row>
    <row r="1334" spans="1:3" x14ac:dyDescent="0.2">
      <c r="A1334" s="1">
        <v>44155</v>
      </c>
      <c r="B1334">
        <v>46.26</v>
      </c>
      <c r="C1334" s="2">
        <f t="shared" si="20"/>
        <v>1.0211930134288918E-2</v>
      </c>
    </row>
    <row r="1335" spans="1:3" x14ac:dyDescent="0.2">
      <c r="A1335" s="1">
        <v>44154</v>
      </c>
      <c r="B1335">
        <v>45.79</v>
      </c>
      <c r="C1335" s="2">
        <f t="shared" si="20"/>
        <v>-8.4810772573452337E-3</v>
      </c>
    </row>
    <row r="1336" spans="1:3" x14ac:dyDescent="0.2">
      <c r="A1336" s="1">
        <v>44153</v>
      </c>
      <c r="B1336">
        <v>46.18</v>
      </c>
      <c r="C1336" s="2">
        <f t="shared" si="20"/>
        <v>-1.1625534593622323E-2</v>
      </c>
    </row>
    <row r="1337" spans="1:3" x14ac:dyDescent="0.2">
      <c r="A1337" s="1">
        <v>44152</v>
      </c>
      <c r="B1337">
        <v>46.72</v>
      </c>
      <c r="C1337" s="2">
        <f t="shared" si="20"/>
        <v>-1.2126518135812796E-2</v>
      </c>
    </row>
    <row r="1338" spans="1:3" x14ac:dyDescent="0.2">
      <c r="A1338" s="1">
        <v>44151</v>
      </c>
      <c r="B1338">
        <v>47.29</v>
      </c>
      <c r="C1338" s="2">
        <f t="shared" si="20"/>
        <v>2.961589839465379E-2</v>
      </c>
    </row>
    <row r="1339" spans="1:3" x14ac:dyDescent="0.2">
      <c r="A1339" s="1">
        <v>44148</v>
      </c>
      <c r="B1339">
        <v>45.91</v>
      </c>
      <c r="C1339" s="2">
        <f t="shared" si="20"/>
        <v>-1.9584382279644093E-3</v>
      </c>
    </row>
    <row r="1340" spans="1:3" x14ac:dyDescent="0.2">
      <c r="A1340" s="1">
        <v>44147</v>
      </c>
      <c r="B1340">
        <v>46</v>
      </c>
      <c r="C1340" s="2">
        <f t="shared" si="20"/>
        <v>8.5144057654859759E-3</v>
      </c>
    </row>
    <row r="1341" spans="1:3" x14ac:dyDescent="0.2">
      <c r="A1341" s="1">
        <v>44146</v>
      </c>
      <c r="B1341">
        <v>45.61</v>
      </c>
      <c r="C1341" s="2">
        <f t="shared" si="20"/>
        <v>2.5087340781282108E-2</v>
      </c>
    </row>
    <row r="1342" spans="1:3" x14ac:dyDescent="0.2">
      <c r="A1342" s="1">
        <v>44145</v>
      </c>
      <c r="B1342">
        <v>44.48</v>
      </c>
      <c r="C1342" s="2">
        <f t="shared" si="20"/>
        <v>-3.1861102068984119E-2</v>
      </c>
    </row>
    <row r="1343" spans="1:3" x14ac:dyDescent="0.2">
      <c r="A1343" s="1">
        <v>44144</v>
      </c>
      <c r="B1343">
        <v>45.92</v>
      </c>
      <c r="C1343" s="2">
        <f t="shared" si="20"/>
        <v>-8.4571684813496539E-3</v>
      </c>
    </row>
    <row r="1344" spans="1:3" x14ac:dyDescent="0.2">
      <c r="A1344" s="1">
        <v>44141</v>
      </c>
      <c r="B1344">
        <v>46.31</v>
      </c>
      <c r="C1344" s="2">
        <f t="shared" si="20"/>
        <v>1.7289824925266564E-3</v>
      </c>
    </row>
    <row r="1345" spans="1:3" x14ac:dyDescent="0.2">
      <c r="A1345" s="1">
        <v>44140</v>
      </c>
      <c r="B1345">
        <v>46.23</v>
      </c>
      <c r="C1345" s="2">
        <f t="shared" si="20"/>
        <v>2.5855953945787057E-2</v>
      </c>
    </row>
    <row r="1346" spans="1:3" x14ac:dyDescent="0.2">
      <c r="A1346" s="1">
        <v>44139</v>
      </c>
      <c r="B1346">
        <v>45.05</v>
      </c>
      <c r="C1346" s="2">
        <f t="shared" si="20"/>
        <v>1.8369692174111555E-2</v>
      </c>
    </row>
    <row r="1347" spans="1:3" x14ac:dyDescent="0.2">
      <c r="A1347" s="1">
        <v>44138</v>
      </c>
      <c r="B1347">
        <v>44.23</v>
      </c>
      <c r="C1347" s="2">
        <f t="shared" ref="C1347:C1410" si="21">+LN(B1347/B1348)</f>
        <v>3.3332588225975721E-2</v>
      </c>
    </row>
    <row r="1348" spans="1:3" x14ac:dyDescent="0.2">
      <c r="A1348" s="1">
        <v>44137</v>
      </c>
      <c r="B1348">
        <v>42.78</v>
      </c>
      <c r="C1348" s="2">
        <f t="shared" si="21"/>
        <v>-3.9193741163690871E-2</v>
      </c>
    </row>
    <row r="1349" spans="1:3" x14ac:dyDescent="0.2">
      <c r="A1349" s="1">
        <v>44134</v>
      </c>
      <c r="B1349">
        <v>44.49</v>
      </c>
      <c r="C1349" s="2">
        <f t="shared" si="21"/>
        <v>-4.0525254610606451E-2</v>
      </c>
    </row>
    <row r="1350" spans="1:3" x14ac:dyDescent="0.2">
      <c r="A1350" s="1">
        <v>44133</v>
      </c>
      <c r="B1350">
        <v>46.33</v>
      </c>
      <c r="C1350" s="2">
        <f t="shared" si="21"/>
        <v>-1.2227976023676684E-2</v>
      </c>
    </row>
    <row r="1351" spans="1:3" x14ac:dyDescent="0.2">
      <c r="A1351" s="1">
        <v>44132</v>
      </c>
      <c r="B1351">
        <v>46.9</v>
      </c>
      <c r="C1351" s="2">
        <f t="shared" si="21"/>
        <v>-1.7332921777481736E-2</v>
      </c>
    </row>
    <row r="1352" spans="1:3" x14ac:dyDescent="0.2">
      <c r="A1352" s="1">
        <v>44131</v>
      </c>
      <c r="B1352">
        <v>47.72</v>
      </c>
      <c r="C1352" s="2">
        <f t="shared" si="21"/>
        <v>-2.0953378808980964E-4</v>
      </c>
    </row>
    <row r="1353" spans="1:3" x14ac:dyDescent="0.2">
      <c r="A1353" s="1">
        <v>44130</v>
      </c>
      <c r="B1353">
        <v>47.73</v>
      </c>
      <c r="C1353" s="2">
        <f t="shared" si="21"/>
        <v>-4.1893590893413878E-4</v>
      </c>
    </row>
    <row r="1354" spans="1:3" x14ac:dyDescent="0.2">
      <c r="A1354" s="1">
        <v>44127</v>
      </c>
      <c r="B1354">
        <v>47.75</v>
      </c>
      <c r="C1354" s="2">
        <f t="shared" si="21"/>
        <v>1.3493774214789464E-2</v>
      </c>
    </row>
    <row r="1355" spans="1:3" x14ac:dyDescent="0.2">
      <c r="A1355" s="1">
        <v>44126</v>
      </c>
      <c r="B1355">
        <v>47.11</v>
      </c>
      <c r="C1355" s="2">
        <f t="shared" si="21"/>
        <v>3.8281629056235362E-3</v>
      </c>
    </row>
    <row r="1356" spans="1:3" x14ac:dyDescent="0.2">
      <c r="A1356" s="1">
        <v>44125</v>
      </c>
      <c r="B1356">
        <v>46.93</v>
      </c>
      <c r="C1356" s="2">
        <f t="shared" si="21"/>
        <v>-7.8531656915609063E-3</v>
      </c>
    </row>
    <row r="1357" spans="1:3" x14ac:dyDescent="0.2">
      <c r="A1357" s="1">
        <v>44124</v>
      </c>
      <c r="B1357">
        <v>47.3</v>
      </c>
      <c r="C1357" s="2">
        <f t="shared" si="21"/>
        <v>1.4695185113237717E-2</v>
      </c>
    </row>
    <row r="1358" spans="1:3" x14ac:dyDescent="0.2">
      <c r="A1358" s="1">
        <v>44123</v>
      </c>
      <c r="B1358">
        <v>46.61</v>
      </c>
      <c r="C1358" s="2">
        <f t="shared" si="21"/>
        <v>-1.3637543555102164E-2</v>
      </c>
    </row>
    <row r="1359" spans="1:3" x14ac:dyDescent="0.2">
      <c r="A1359" s="1">
        <v>44120</v>
      </c>
      <c r="B1359">
        <v>47.25</v>
      </c>
      <c r="C1359" s="2">
        <f t="shared" si="21"/>
        <v>2.4422807721137654E-2</v>
      </c>
    </row>
    <row r="1360" spans="1:3" x14ac:dyDescent="0.2">
      <c r="A1360" s="1">
        <v>44119</v>
      </c>
      <c r="B1360">
        <v>46.11</v>
      </c>
      <c r="C1360" s="2">
        <f t="shared" si="21"/>
        <v>-6.7005546276768203E-3</v>
      </c>
    </row>
    <row r="1361" spans="1:3" x14ac:dyDescent="0.2">
      <c r="A1361" s="1">
        <v>44118</v>
      </c>
      <c r="B1361">
        <v>46.42</v>
      </c>
      <c r="C1361" s="2">
        <f t="shared" si="21"/>
        <v>-1.7219117470196363E-3</v>
      </c>
    </row>
    <row r="1362" spans="1:3" x14ac:dyDescent="0.2">
      <c r="A1362" s="1">
        <v>44117</v>
      </c>
      <c r="B1362">
        <v>46.5</v>
      </c>
      <c r="C1362" s="2">
        <f t="shared" si="21"/>
        <v>3.0152941217597359E-3</v>
      </c>
    </row>
    <row r="1363" spans="1:3" x14ac:dyDescent="0.2">
      <c r="A1363" s="1">
        <v>44116</v>
      </c>
      <c r="B1363">
        <v>46.36</v>
      </c>
      <c r="C1363" s="2">
        <f t="shared" si="21"/>
        <v>-7.5212560424657371E-3</v>
      </c>
    </row>
    <row r="1364" spans="1:3" x14ac:dyDescent="0.2">
      <c r="A1364" s="1">
        <v>44113</v>
      </c>
      <c r="B1364">
        <v>46.71</v>
      </c>
      <c r="C1364" s="2">
        <f t="shared" si="21"/>
        <v>1.9237597488667223E-2</v>
      </c>
    </row>
    <row r="1365" spans="1:3" x14ac:dyDescent="0.2">
      <c r="A1365" s="1">
        <v>44112</v>
      </c>
      <c r="B1365">
        <v>45.82</v>
      </c>
      <c r="C1365" s="2">
        <f t="shared" si="21"/>
        <v>3.9361520314744871E-3</v>
      </c>
    </row>
    <row r="1366" spans="1:3" x14ac:dyDescent="0.2">
      <c r="A1366" s="1">
        <v>44111</v>
      </c>
      <c r="B1366">
        <v>45.64</v>
      </c>
      <c r="C1366" s="2">
        <f t="shared" si="21"/>
        <v>4.8319883164623916E-3</v>
      </c>
    </row>
    <row r="1367" spans="1:3" x14ac:dyDescent="0.2">
      <c r="A1367" s="1">
        <v>44110</v>
      </c>
      <c r="B1367">
        <v>45.42</v>
      </c>
      <c r="C1367" s="2">
        <f t="shared" si="21"/>
        <v>-5.4890905194952232E-3</v>
      </c>
    </row>
    <row r="1368" spans="1:3" x14ac:dyDescent="0.2">
      <c r="A1368" s="1">
        <v>44109</v>
      </c>
      <c r="B1368">
        <v>45.67</v>
      </c>
      <c r="C1368" s="2">
        <f t="shared" si="21"/>
        <v>3.4981844744107322E-2</v>
      </c>
    </row>
    <row r="1369" spans="1:3" x14ac:dyDescent="0.2">
      <c r="A1369" s="1">
        <v>44106</v>
      </c>
      <c r="B1369">
        <v>44.1</v>
      </c>
      <c r="C1369" s="2">
        <f t="shared" si="21"/>
        <v>4.7732787526575905E-3</v>
      </c>
    </row>
    <row r="1370" spans="1:3" x14ac:dyDescent="0.2">
      <c r="A1370" s="1">
        <v>44105</v>
      </c>
      <c r="B1370">
        <v>43.89</v>
      </c>
      <c r="C1370" s="2">
        <f t="shared" si="21"/>
        <v>3.4234884515207437E-3</v>
      </c>
    </row>
    <row r="1371" spans="1:3" x14ac:dyDescent="0.2">
      <c r="A1371" s="1">
        <v>44104</v>
      </c>
      <c r="B1371">
        <v>43.74</v>
      </c>
      <c r="C1371" s="2">
        <f t="shared" si="21"/>
        <v>-2.0143263392556812E-2</v>
      </c>
    </row>
    <row r="1372" spans="1:3" x14ac:dyDescent="0.2">
      <c r="A1372" s="1">
        <v>44103</v>
      </c>
      <c r="B1372">
        <v>44.63</v>
      </c>
      <c r="C1372" s="2">
        <f t="shared" si="21"/>
        <v>-8.0339642119024186E-3</v>
      </c>
    </row>
    <row r="1373" spans="1:3" x14ac:dyDescent="0.2">
      <c r="A1373" s="1">
        <v>44102</v>
      </c>
      <c r="B1373">
        <v>44.99</v>
      </c>
      <c r="C1373" s="2">
        <f t="shared" si="21"/>
        <v>3.1166543482758244E-3</v>
      </c>
    </row>
    <row r="1374" spans="1:3" x14ac:dyDescent="0.2">
      <c r="A1374" s="1">
        <v>44099</v>
      </c>
      <c r="B1374">
        <v>44.85</v>
      </c>
      <c r="C1374" s="2">
        <f t="shared" si="21"/>
        <v>1.7853162519308944E-3</v>
      </c>
    </row>
    <row r="1375" spans="1:3" x14ac:dyDescent="0.2">
      <c r="A1375" s="1">
        <v>44098</v>
      </c>
      <c r="B1375">
        <v>44.77</v>
      </c>
      <c r="C1375" s="2">
        <f t="shared" si="21"/>
        <v>-1.562325951084981E-3</v>
      </c>
    </row>
    <row r="1376" spans="1:3" x14ac:dyDescent="0.2">
      <c r="A1376" s="1">
        <v>44097</v>
      </c>
      <c r="B1376">
        <v>44.84</v>
      </c>
      <c r="C1376" s="2">
        <f t="shared" si="21"/>
        <v>-1.11445458988155E-3</v>
      </c>
    </row>
    <row r="1377" spans="1:3" x14ac:dyDescent="0.2">
      <c r="A1377" s="1">
        <v>44096</v>
      </c>
      <c r="B1377">
        <v>44.89</v>
      </c>
      <c r="C1377" s="2">
        <f t="shared" si="21"/>
        <v>1.1876890311674397E-2</v>
      </c>
    </row>
    <row r="1378" spans="1:3" x14ac:dyDescent="0.2">
      <c r="A1378" s="1">
        <v>44095</v>
      </c>
      <c r="B1378">
        <v>44.36</v>
      </c>
      <c r="C1378" s="2">
        <f t="shared" si="21"/>
        <v>-1.4324327288153497E-2</v>
      </c>
    </row>
    <row r="1379" spans="1:3" x14ac:dyDescent="0.2">
      <c r="A1379" s="1">
        <v>44092</v>
      </c>
      <c r="B1379">
        <v>45</v>
      </c>
      <c r="C1379" s="2">
        <f t="shared" si="21"/>
        <v>6.018072325563166E-3</v>
      </c>
    </row>
    <row r="1380" spans="1:3" x14ac:dyDescent="0.2">
      <c r="A1380" s="1">
        <v>44091</v>
      </c>
      <c r="B1380">
        <v>44.73</v>
      </c>
      <c r="C1380" s="2">
        <f t="shared" si="21"/>
        <v>-2.0100509280242228E-3</v>
      </c>
    </row>
    <row r="1381" spans="1:3" x14ac:dyDescent="0.2">
      <c r="A1381" s="1">
        <v>44090</v>
      </c>
      <c r="B1381">
        <v>44.82</v>
      </c>
      <c r="C1381" s="2">
        <f t="shared" si="21"/>
        <v>-9.1061151169708095E-3</v>
      </c>
    </row>
    <row r="1382" spans="1:3" x14ac:dyDescent="0.2">
      <c r="A1382" s="1">
        <v>44089</v>
      </c>
      <c r="B1382">
        <v>45.23</v>
      </c>
      <c r="C1382" s="2">
        <f t="shared" si="21"/>
        <v>1.9918121003620558E-3</v>
      </c>
    </row>
    <row r="1383" spans="1:3" x14ac:dyDescent="0.2">
      <c r="A1383" s="1">
        <v>44088</v>
      </c>
      <c r="B1383">
        <v>45.14</v>
      </c>
      <c r="C1383" s="2">
        <f t="shared" si="21"/>
        <v>6.4451828845845348E-3</v>
      </c>
    </row>
    <row r="1384" spans="1:3" x14ac:dyDescent="0.2">
      <c r="A1384" s="1">
        <v>44085</v>
      </c>
      <c r="B1384">
        <v>44.85</v>
      </c>
      <c r="C1384" s="2">
        <f t="shared" si="21"/>
        <v>5.1413995004186523E-3</v>
      </c>
    </row>
    <row r="1385" spans="1:3" x14ac:dyDescent="0.2">
      <c r="A1385" s="1">
        <v>44084</v>
      </c>
      <c r="B1385">
        <v>44.62</v>
      </c>
      <c r="C1385" s="2">
        <f t="shared" si="21"/>
        <v>-1.247232203547082E-2</v>
      </c>
    </row>
    <row r="1386" spans="1:3" x14ac:dyDescent="0.2">
      <c r="A1386" s="1">
        <v>44083</v>
      </c>
      <c r="B1386">
        <v>45.18</v>
      </c>
      <c r="C1386" s="2">
        <f t="shared" si="21"/>
        <v>2.7829444083393051E-2</v>
      </c>
    </row>
    <row r="1387" spans="1:3" x14ac:dyDescent="0.2">
      <c r="A1387" s="1">
        <v>44082</v>
      </c>
      <c r="B1387">
        <v>43.94</v>
      </c>
      <c r="C1387" s="2">
        <f t="shared" si="21"/>
        <v>-2.8272019881721479E-2</v>
      </c>
    </row>
    <row r="1388" spans="1:3" x14ac:dyDescent="0.2">
      <c r="A1388" s="1">
        <v>44081</v>
      </c>
      <c r="B1388">
        <v>45.2</v>
      </c>
      <c r="C1388" s="2">
        <f t="shared" si="21"/>
        <v>1.8308169333737561E-2</v>
      </c>
    </row>
    <row r="1389" spans="1:3" x14ac:dyDescent="0.2">
      <c r="A1389" s="1">
        <v>44078</v>
      </c>
      <c r="B1389">
        <v>44.38</v>
      </c>
      <c r="C1389" s="2">
        <f t="shared" si="21"/>
        <v>-1.253934925273514E-2</v>
      </c>
    </row>
    <row r="1390" spans="1:3" x14ac:dyDescent="0.2">
      <c r="A1390" s="1">
        <v>44077</v>
      </c>
      <c r="B1390">
        <v>44.94</v>
      </c>
      <c r="C1390" s="2">
        <f t="shared" si="21"/>
        <v>-1.8737459911821051E-2</v>
      </c>
    </row>
    <row r="1391" spans="1:3" x14ac:dyDescent="0.2">
      <c r="A1391" s="1">
        <v>44076</v>
      </c>
      <c r="B1391">
        <v>45.79</v>
      </c>
      <c r="C1391" s="2">
        <f t="shared" si="21"/>
        <v>9.8760815896210968E-3</v>
      </c>
    </row>
    <row r="1392" spans="1:3" x14ac:dyDescent="0.2">
      <c r="A1392" s="1">
        <v>44075</v>
      </c>
      <c r="B1392">
        <v>45.34</v>
      </c>
      <c r="C1392" s="2">
        <f t="shared" si="21"/>
        <v>-7.2519821175246772E-3</v>
      </c>
    </row>
    <row r="1393" spans="1:3" x14ac:dyDescent="0.2">
      <c r="A1393" s="1">
        <v>44074</v>
      </c>
      <c r="B1393">
        <v>45.67</v>
      </c>
      <c r="C1393" s="2">
        <f t="shared" si="21"/>
        <v>5.9295221496054422E-3</v>
      </c>
    </row>
    <row r="1394" spans="1:3" x14ac:dyDescent="0.2">
      <c r="A1394" s="1">
        <v>44071</v>
      </c>
      <c r="B1394">
        <v>45.4</v>
      </c>
      <c r="C1394" s="2">
        <f t="shared" si="21"/>
        <v>0</v>
      </c>
    </row>
    <row r="1395" spans="1:3" x14ac:dyDescent="0.2">
      <c r="A1395" s="1">
        <v>44070</v>
      </c>
      <c r="B1395">
        <v>45.4</v>
      </c>
      <c r="C1395" s="2">
        <f t="shared" si="21"/>
        <v>-2.3940207546008351E-2</v>
      </c>
    </row>
    <row r="1396" spans="1:3" x14ac:dyDescent="0.2">
      <c r="A1396" s="1">
        <v>44069</v>
      </c>
      <c r="B1396">
        <v>46.5</v>
      </c>
      <c r="C1396" s="2">
        <f t="shared" si="21"/>
        <v>7.7720598477031095E-3</v>
      </c>
    </row>
    <row r="1397" spans="1:3" x14ac:dyDescent="0.2">
      <c r="A1397" s="1">
        <v>44068</v>
      </c>
      <c r="B1397">
        <v>46.14</v>
      </c>
      <c r="C1397" s="2">
        <f t="shared" si="21"/>
        <v>8.6730274300466878E-4</v>
      </c>
    </row>
    <row r="1398" spans="1:3" x14ac:dyDescent="0.2">
      <c r="A1398" s="1">
        <v>44067</v>
      </c>
      <c r="B1398">
        <v>46.1</v>
      </c>
      <c r="C1398" s="2">
        <f t="shared" si="21"/>
        <v>1.7505917513614588E-2</v>
      </c>
    </row>
    <row r="1399" spans="1:3" x14ac:dyDescent="0.2">
      <c r="A1399" s="1">
        <v>44064</v>
      </c>
      <c r="B1399">
        <v>45.3</v>
      </c>
      <c r="C1399" s="2">
        <f t="shared" si="21"/>
        <v>-8.3535328587665374E-3</v>
      </c>
    </row>
    <row r="1400" spans="1:3" x14ac:dyDescent="0.2">
      <c r="A1400" s="1">
        <v>44063</v>
      </c>
      <c r="B1400">
        <v>45.68</v>
      </c>
      <c r="C1400" s="2">
        <f t="shared" si="21"/>
        <v>1.3143484915127681E-3</v>
      </c>
    </row>
    <row r="1401" spans="1:3" x14ac:dyDescent="0.2">
      <c r="A1401" s="1">
        <v>44062</v>
      </c>
      <c r="B1401">
        <v>45.62</v>
      </c>
      <c r="C1401" s="2">
        <f t="shared" si="21"/>
        <v>4.6138717463823156E-3</v>
      </c>
    </row>
    <row r="1402" spans="1:3" x14ac:dyDescent="0.2">
      <c r="A1402" s="1">
        <v>44061</v>
      </c>
      <c r="B1402">
        <v>45.41</v>
      </c>
      <c r="C1402" s="2">
        <f t="shared" si="21"/>
        <v>-1.0514883296882493E-2</v>
      </c>
    </row>
    <row r="1403" spans="1:3" x14ac:dyDescent="0.2">
      <c r="A1403" s="1">
        <v>44060</v>
      </c>
      <c r="B1403">
        <v>45.89</v>
      </c>
      <c r="C1403" s="2">
        <f t="shared" si="21"/>
        <v>1.8030391704185189E-2</v>
      </c>
    </row>
    <row r="1404" spans="1:3" x14ac:dyDescent="0.2">
      <c r="A1404" s="1">
        <v>44057</v>
      </c>
      <c r="B1404">
        <v>45.07</v>
      </c>
      <c r="C1404" s="2">
        <f t="shared" si="21"/>
        <v>-1.6940235703927251E-2</v>
      </c>
    </row>
    <row r="1405" spans="1:3" x14ac:dyDescent="0.2">
      <c r="A1405" s="1">
        <v>44056</v>
      </c>
      <c r="B1405">
        <v>45.84</v>
      </c>
      <c r="C1405" s="2">
        <f t="shared" si="21"/>
        <v>-7.8227256812090449E-3</v>
      </c>
    </row>
    <row r="1406" spans="1:3" x14ac:dyDescent="0.2">
      <c r="A1406" s="1">
        <v>44055</v>
      </c>
      <c r="B1406">
        <v>46.2</v>
      </c>
      <c r="C1406" s="2">
        <f t="shared" si="21"/>
        <v>1.3072081567352701E-2</v>
      </c>
    </row>
    <row r="1407" spans="1:3" x14ac:dyDescent="0.2">
      <c r="A1407" s="1">
        <v>44054</v>
      </c>
      <c r="B1407">
        <v>45.6</v>
      </c>
      <c r="C1407" s="2">
        <f t="shared" si="21"/>
        <v>2.3520054691118838E-2</v>
      </c>
    </row>
    <row r="1408" spans="1:3" x14ac:dyDescent="0.2">
      <c r="A1408" s="1">
        <v>44053</v>
      </c>
      <c r="B1408">
        <v>44.54</v>
      </c>
      <c r="C1408" s="2">
        <f t="shared" si="21"/>
        <v>-6.266806543559377E-3</v>
      </c>
    </row>
    <row r="1409" spans="1:3" x14ac:dyDescent="0.2">
      <c r="A1409" s="1">
        <v>44050</v>
      </c>
      <c r="B1409">
        <v>44.82</v>
      </c>
      <c r="C1409" s="2">
        <f t="shared" si="21"/>
        <v>4.4722793683944981E-3</v>
      </c>
    </row>
    <row r="1410" spans="1:3" x14ac:dyDescent="0.2">
      <c r="A1410" s="1">
        <v>44049</v>
      </c>
      <c r="B1410">
        <v>44.62</v>
      </c>
      <c r="C1410" s="2">
        <f t="shared" si="21"/>
        <v>-8.9605740762535222E-4</v>
      </c>
    </row>
    <row r="1411" spans="1:3" x14ac:dyDescent="0.2">
      <c r="A1411" s="1">
        <v>44048</v>
      </c>
      <c r="B1411">
        <v>44.66</v>
      </c>
      <c r="C1411" s="2">
        <f t="shared" ref="C1411:C1474" si="22">+LN(B1411/B1412)</f>
        <v>-1.3425824348319386E-3</v>
      </c>
    </row>
    <row r="1412" spans="1:3" x14ac:dyDescent="0.2">
      <c r="A1412" s="1">
        <v>44047</v>
      </c>
      <c r="B1412">
        <v>44.72</v>
      </c>
      <c r="C1412" s="2">
        <f t="shared" si="22"/>
        <v>-2.408157905180712E-2</v>
      </c>
    </row>
    <row r="1413" spans="1:3" x14ac:dyDescent="0.2">
      <c r="A1413" s="1">
        <v>44046</v>
      </c>
      <c r="B1413">
        <v>45.81</v>
      </c>
      <c r="C1413" s="2">
        <f t="shared" si="22"/>
        <v>1.2520756650731031E-2</v>
      </c>
    </row>
    <row r="1414" spans="1:3" x14ac:dyDescent="0.2">
      <c r="A1414" s="1">
        <v>44043</v>
      </c>
      <c r="B1414">
        <v>45.24</v>
      </c>
      <c r="C1414" s="2">
        <f t="shared" si="22"/>
        <v>-9.6789140998350121E-3</v>
      </c>
    </row>
    <row r="1415" spans="1:3" x14ac:dyDescent="0.2">
      <c r="A1415" s="1">
        <v>44042</v>
      </c>
      <c r="B1415">
        <v>45.68</v>
      </c>
      <c r="C1415" s="2">
        <f t="shared" si="22"/>
        <v>-3.0824727364194969E-2</v>
      </c>
    </row>
    <row r="1416" spans="1:3" x14ac:dyDescent="0.2">
      <c r="A1416" s="1">
        <v>44041</v>
      </c>
      <c r="B1416">
        <v>47.11</v>
      </c>
      <c r="C1416" s="2">
        <f t="shared" si="22"/>
        <v>-4.6590512062069066E-3</v>
      </c>
    </row>
    <row r="1417" spans="1:3" x14ac:dyDescent="0.2">
      <c r="A1417" s="1">
        <v>44040</v>
      </c>
      <c r="B1417">
        <v>47.33</v>
      </c>
      <c r="C1417" s="2">
        <f t="shared" si="22"/>
        <v>2.1130480797050237E-4</v>
      </c>
    </row>
    <row r="1418" spans="1:3" x14ac:dyDescent="0.2">
      <c r="A1418" s="1">
        <v>44039</v>
      </c>
      <c r="B1418">
        <v>47.32</v>
      </c>
      <c r="C1418" s="2">
        <f t="shared" si="22"/>
        <v>7.6368635903449706E-3</v>
      </c>
    </row>
    <row r="1419" spans="1:3" x14ac:dyDescent="0.2">
      <c r="A1419" s="1">
        <v>44036</v>
      </c>
      <c r="B1419">
        <v>46.96</v>
      </c>
      <c r="C1419" s="2">
        <f t="shared" si="22"/>
        <v>-2.4817256835084889E-2</v>
      </c>
    </row>
    <row r="1420" spans="1:3" x14ac:dyDescent="0.2">
      <c r="A1420" s="1">
        <v>44035</v>
      </c>
      <c r="B1420">
        <v>48.14</v>
      </c>
      <c r="C1420" s="2">
        <f t="shared" si="22"/>
        <v>1.0020960684329849E-2</v>
      </c>
    </row>
    <row r="1421" spans="1:3" x14ac:dyDescent="0.2">
      <c r="A1421" s="1">
        <v>44034</v>
      </c>
      <c r="B1421">
        <v>47.66</v>
      </c>
      <c r="C1421" s="2">
        <f t="shared" si="22"/>
        <v>-1.3960014186396643E-2</v>
      </c>
    </row>
    <row r="1422" spans="1:3" x14ac:dyDescent="0.2">
      <c r="A1422" s="1">
        <v>44033</v>
      </c>
      <c r="B1422">
        <v>48.33</v>
      </c>
      <c r="C1422" s="2">
        <f t="shared" si="22"/>
        <v>-8.8578187560780491E-3</v>
      </c>
    </row>
    <row r="1423" spans="1:3" x14ac:dyDescent="0.2">
      <c r="A1423" s="1">
        <v>44032</v>
      </c>
      <c r="B1423">
        <v>48.76</v>
      </c>
      <c r="C1423" s="2">
        <f t="shared" si="22"/>
        <v>9.064750986511232E-3</v>
      </c>
    </row>
    <row r="1424" spans="1:3" x14ac:dyDescent="0.2">
      <c r="A1424" s="1">
        <v>44029</v>
      </c>
      <c r="B1424">
        <v>48.32</v>
      </c>
      <c r="C1424" s="2">
        <f t="shared" si="22"/>
        <v>1.4802730420132082E-2</v>
      </c>
    </row>
    <row r="1425" spans="1:3" x14ac:dyDescent="0.2">
      <c r="A1425" s="1">
        <v>44028</v>
      </c>
      <c r="B1425">
        <v>47.61</v>
      </c>
      <c r="C1425" s="2">
        <f t="shared" si="22"/>
        <v>4.420594505396609E-3</v>
      </c>
    </row>
    <row r="1426" spans="1:3" x14ac:dyDescent="0.2">
      <c r="A1426" s="1">
        <v>44027</v>
      </c>
      <c r="B1426">
        <v>47.4</v>
      </c>
      <c r="C1426" s="2">
        <f t="shared" si="22"/>
        <v>8.0491855891073015E-3</v>
      </c>
    </row>
    <row r="1427" spans="1:3" x14ac:dyDescent="0.2">
      <c r="A1427" s="1">
        <v>44026</v>
      </c>
      <c r="B1427">
        <v>47.02</v>
      </c>
      <c r="C1427" s="2">
        <f t="shared" si="22"/>
        <v>7.2572356935682696E-3</v>
      </c>
    </row>
    <row r="1428" spans="1:3" x14ac:dyDescent="0.2">
      <c r="A1428" s="1">
        <v>44025</v>
      </c>
      <c r="B1428">
        <v>46.68</v>
      </c>
      <c r="C1428" s="2">
        <f t="shared" si="22"/>
        <v>2.3408090898014804E-2</v>
      </c>
    </row>
    <row r="1429" spans="1:3" x14ac:dyDescent="0.2">
      <c r="A1429" s="1">
        <v>44022</v>
      </c>
      <c r="B1429">
        <v>45.6</v>
      </c>
      <c r="C1429" s="2">
        <f t="shared" si="22"/>
        <v>-1.1989244428520734E-2</v>
      </c>
    </row>
    <row r="1430" spans="1:3" x14ac:dyDescent="0.2">
      <c r="A1430" s="1">
        <v>44021</v>
      </c>
      <c r="B1430">
        <v>46.15</v>
      </c>
      <c r="C1430" s="2">
        <f t="shared" si="22"/>
        <v>3.2555644597662002E-3</v>
      </c>
    </row>
    <row r="1431" spans="1:3" x14ac:dyDescent="0.2">
      <c r="A1431" s="1">
        <v>44020</v>
      </c>
      <c r="B1431">
        <v>46</v>
      </c>
      <c r="C1431" s="2">
        <f t="shared" si="22"/>
        <v>2.1741493726249575E-4</v>
      </c>
    </row>
    <row r="1432" spans="1:3" x14ac:dyDescent="0.2">
      <c r="A1432" s="1">
        <v>44019</v>
      </c>
      <c r="B1432">
        <v>45.99</v>
      </c>
      <c r="C1432" s="2">
        <f t="shared" si="22"/>
        <v>-1.4034560490404469E-2</v>
      </c>
    </row>
    <row r="1433" spans="1:3" x14ac:dyDescent="0.2">
      <c r="A1433" s="1">
        <v>44018</v>
      </c>
      <c r="B1433">
        <v>46.64</v>
      </c>
      <c r="C1433" s="2">
        <f t="shared" si="22"/>
        <v>1.7301469635752652E-2</v>
      </c>
    </row>
    <row r="1434" spans="1:3" x14ac:dyDescent="0.2">
      <c r="A1434" s="1">
        <v>44015</v>
      </c>
      <c r="B1434">
        <v>45.84</v>
      </c>
      <c r="C1434" s="2">
        <f t="shared" si="22"/>
        <v>2.4025347365205156E-3</v>
      </c>
    </row>
    <row r="1435" spans="1:3" x14ac:dyDescent="0.2">
      <c r="A1435" s="1">
        <v>44014</v>
      </c>
      <c r="B1435">
        <v>45.73</v>
      </c>
      <c r="C1435" s="2">
        <f t="shared" si="22"/>
        <v>6.8020009925513344E-3</v>
      </c>
    </row>
    <row r="1436" spans="1:3" x14ac:dyDescent="0.2">
      <c r="A1436" s="1">
        <v>44013</v>
      </c>
      <c r="B1436">
        <v>45.42</v>
      </c>
      <c r="C1436" s="2">
        <f t="shared" si="22"/>
        <v>2.1587574717498705E-2</v>
      </c>
    </row>
    <row r="1437" spans="1:3" x14ac:dyDescent="0.2">
      <c r="A1437" s="1">
        <v>44012</v>
      </c>
      <c r="B1437">
        <v>44.45</v>
      </c>
      <c r="C1437" s="2">
        <f t="shared" si="22"/>
        <v>-1.2297527810406083E-2</v>
      </c>
    </row>
    <row r="1438" spans="1:3" x14ac:dyDescent="0.2">
      <c r="A1438" s="1">
        <v>44011</v>
      </c>
      <c r="B1438">
        <v>45</v>
      </c>
      <c r="C1438" s="2">
        <f t="shared" si="22"/>
        <v>2.0020026706731903E-3</v>
      </c>
    </row>
    <row r="1439" spans="1:3" x14ac:dyDescent="0.2">
      <c r="A1439" s="1">
        <v>44008</v>
      </c>
      <c r="B1439">
        <v>44.91</v>
      </c>
      <c r="C1439" s="2">
        <f t="shared" si="22"/>
        <v>-6.2153363235416884E-3</v>
      </c>
    </row>
    <row r="1440" spans="1:3" x14ac:dyDescent="0.2">
      <c r="A1440" s="1">
        <v>44007</v>
      </c>
      <c r="B1440">
        <v>45.19</v>
      </c>
      <c r="C1440" s="2">
        <f t="shared" si="22"/>
        <v>4.2133336528684638E-3</v>
      </c>
    </row>
    <row r="1441" spans="1:3" x14ac:dyDescent="0.2">
      <c r="A1441" s="1">
        <v>44006</v>
      </c>
      <c r="B1441">
        <v>45</v>
      </c>
      <c r="C1441" s="2">
        <f t="shared" si="22"/>
        <v>-2.5017762975287874E-2</v>
      </c>
    </row>
    <row r="1442" spans="1:3" x14ac:dyDescent="0.2">
      <c r="A1442" s="1">
        <v>44005</v>
      </c>
      <c r="B1442">
        <v>46.14</v>
      </c>
      <c r="C1442" s="2">
        <f t="shared" si="22"/>
        <v>1.5947907635748E-2</v>
      </c>
    </row>
    <row r="1443" spans="1:3" x14ac:dyDescent="0.2">
      <c r="A1443" s="1">
        <v>44004</v>
      </c>
      <c r="B1443">
        <v>45.41</v>
      </c>
      <c r="C1443" s="2">
        <f t="shared" si="22"/>
        <v>4.4052864148534838E-4</v>
      </c>
    </row>
    <row r="1444" spans="1:3" x14ac:dyDescent="0.2">
      <c r="A1444" s="1">
        <v>44001</v>
      </c>
      <c r="B1444">
        <v>45.39</v>
      </c>
      <c r="C1444" s="2">
        <f t="shared" si="22"/>
        <v>2.588852458813894E-2</v>
      </c>
    </row>
    <row r="1445" spans="1:3" x14ac:dyDescent="0.2">
      <c r="A1445" s="1">
        <v>44000</v>
      </c>
      <c r="B1445">
        <v>44.23</v>
      </c>
      <c r="C1445" s="2">
        <f t="shared" si="22"/>
        <v>-2.2799378265699801E-2</v>
      </c>
    </row>
    <row r="1446" spans="1:3" x14ac:dyDescent="0.2">
      <c r="A1446" s="1">
        <v>43999</v>
      </c>
      <c r="B1446">
        <v>45.25</v>
      </c>
      <c r="C1446" s="2">
        <f t="shared" si="22"/>
        <v>6.0818010680601775E-2</v>
      </c>
    </row>
    <row r="1447" spans="1:3" x14ac:dyDescent="0.2">
      <c r="A1447" s="1">
        <v>43998</v>
      </c>
      <c r="B1447">
        <v>42.58</v>
      </c>
      <c r="C1447" s="2">
        <f t="shared" si="22"/>
        <v>2.4487138163876269E-2</v>
      </c>
    </row>
    <row r="1448" spans="1:3" x14ac:dyDescent="0.2">
      <c r="A1448" s="1">
        <v>43997</v>
      </c>
      <c r="B1448">
        <v>41.55</v>
      </c>
      <c r="C1448" s="2">
        <f t="shared" si="22"/>
        <v>2.4115162018529406E-2</v>
      </c>
    </row>
    <row r="1449" spans="1:3" x14ac:dyDescent="0.2">
      <c r="A1449" s="1">
        <v>43994</v>
      </c>
      <c r="B1449">
        <v>40.56</v>
      </c>
      <c r="C1449" s="2">
        <f t="shared" si="22"/>
        <v>4.9321825907375054E-4</v>
      </c>
    </row>
    <row r="1450" spans="1:3" x14ac:dyDescent="0.2">
      <c r="A1450" s="1">
        <v>43993</v>
      </c>
      <c r="B1450">
        <v>40.54</v>
      </c>
      <c r="C1450" s="2">
        <f t="shared" si="22"/>
        <v>-3.275799393508956E-2</v>
      </c>
    </row>
    <row r="1451" spans="1:3" x14ac:dyDescent="0.2">
      <c r="A1451" s="1">
        <v>43992</v>
      </c>
      <c r="B1451">
        <v>41.89</v>
      </c>
      <c r="C1451" s="2">
        <f t="shared" si="22"/>
        <v>9.8357515976171123E-3</v>
      </c>
    </row>
    <row r="1452" spans="1:3" x14ac:dyDescent="0.2">
      <c r="A1452" s="1">
        <v>43991</v>
      </c>
      <c r="B1452">
        <v>41.48</v>
      </c>
      <c r="C1452" s="2">
        <f t="shared" si="22"/>
        <v>6.2878078990136338E-3</v>
      </c>
    </row>
    <row r="1453" spans="1:3" x14ac:dyDescent="0.2">
      <c r="A1453" s="1">
        <v>43990</v>
      </c>
      <c r="B1453">
        <v>41.22</v>
      </c>
      <c r="C1453" s="2">
        <f t="shared" si="22"/>
        <v>-3.1488460073873714E-3</v>
      </c>
    </row>
    <row r="1454" spans="1:3" x14ac:dyDescent="0.2">
      <c r="A1454" s="1">
        <v>43987</v>
      </c>
      <c r="B1454">
        <v>41.35</v>
      </c>
      <c r="C1454" s="2">
        <f t="shared" si="22"/>
        <v>-7.9489759754111274E-3</v>
      </c>
    </row>
    <row r="1455" spans="1:3" x14ac:dyDescent="0.2">
      <c r="A1455" s="1">
        <v>43986</v>
      </c>
      <c r="B1455">
        <v>41.68</v>
      </c>
      <c r="C1455" s="2">
        <f t="shared" si="22"/>
        <v>1.5717890991016632E-2</v>
      </c>
    </row>
    <row r="1456" spans="1:3" x14ac:dyDescent="0.2">
      <c r="A1456" s="1">
        <v>43985</v>
      </c>
      <c r="B1456">
        <v>41.03</v>
      </c>
      <c r="C1456" s="2">
        <f t="shared" si="22"/>
        <v>-2.1911146928148316E-3</v>
      </c>
    </row>
    <row r="1457" spans="1:3" x14ac:dyDescent="0.2">
      <c r="A1457" s="1">
        <v>43984</v>
      </c>
      <c r="B1457">
        <v>41.12</v>
      </c>
      <c r="C1457" s="2">
        <f t="shared" si="22"/>
        <v>1.1495785153090134E-2</v>
      </c>
    </row>
    <row r="1458" spans="1:3" x14ac:dyDescent="0.2">
      <c r="A1458" s="1">
        <v>43983</v>
      </c>
      <c r="B1458">
        <v>40.65</v>
      </c>
      <c r="C1458" s="2">
        <f t="shared" si="22"/>
        <v>-6.6201050896062402E-3</v>
      </c>
    </row>
    <row r="1459" spans="1:3" x14ac:dyDescent="0.2">
      <c r="A1459" s="1">
        <v>43980</v>
      </c>
      <c r="B1459">
        <v>40.92</v>
      </c>
      <c r="C1459" s="2">
        <f t="shared" si="22"/>
        <v>-2.0798815044993948E-2</v>
      </c>
    </row>
    <row r="1460" spans="1:3" x14ac:dyDescent="0.2">
      <c r="A1460" s="1">
        <v>43979</v>
      </c>
      <c r="B1460">
        <v>41.78</v>
      </c>
      <c r="C1460" s="2">
        <f t="shared" si="22"/>
        <v>1.0829127604778718E-2</v>
      </c>
    </row>
    <row r="1461" spans="1:3" x14ac:dyDescent="0.2">
      <c r="A1461" s="1">
        <v>43978</v>
      </c>
      <c r="B1461">
        <v>41.33</v>
      </c>
      <c r="C1461" s="2">
        <f t="shared" si="22"/>
        <v>-2.4143637183078239E-2</v>
      </c>
    </row>
    <row r="1462" spans="1:3" x14ac:dyDescent="0.2">
      <c r="A1462" s="1">
        <v>43977</v>
      </c>
      <c r="B1462">
        <v>42.34</v>
      </c>
      <c r="C1462" s="2">
        <f t="shared" si="22"/>
        <v>5.6845250183835154E-3</v>
      </c>
    </row>
    <row r="1463" spans="1:3" x14ac:dyDescent="0.2">
      <c r="A1463" s="1">
        <v>43976</v>
      </c>
      <c r="B1463">
        <v>42.1</v>
      </c>
      <c r="C1463" s="2">
        <f t="shared" si="22"/>
        <v>-1.4241635447710796E-3</v>
      </c>
    </row>
    <row r="1464" spans="1:3" x14ac:dyDescent="0.2">
      <c r="A1464" s="1">
        <v>43973</v>
      </c>
      <c r="B1464">
        <v>42.16</v>
      </c>
      <c r="C1464" s="2">
        <f t="shared" si="22"/>
        <v>2.3519202633463489E-2</v>
      </c>
    </row>
    <row r="1465" spans="1:3" x14ac:dyDescent="0.2">
      <c r="A1465" s="1">
        <v>43972</v>
      </c>
      <c r="B1465">
        <v>41.18</v>
      </c>
      <c r="C1465" s="2">
        <f t="shared" si="22"/>
        <v>-9.1854646313832763E-3</v>
      </c>
    </row>
    <row r="1466" spans="1:3" x14ac:dyDescent="0.2">
      <c r="A1466" s="1">
        <v>43971</v>
      </c>
      <c r="B1466">
        <v>41.56</v>
      </c>
      <c r="C1466" s="2">
        <f t="shared" si="22"/>
        <v>1.6741868654840859E-2</v>
      </c>
    </row>
    <row r="1467" spans="1:3" x14ac:dyDescent="0.2">
      <c r="A1467" s="1">
        <v>43970</v>
      </c>
      <c r="B1467">
        <v>40.869999999999997</v>
      </c>
      <c r="C1467" s="2">
        <f t="shared" si="22"/>
        <v>-8.419361095986462E-2</v>
      </c>
    </row>
    <row r="1468" spans="1:3" x14ac:dyDescent="0.2">
      <c r="A1468" s="1">
        <v>43969</v>
      </c>
      <c r="B1468">
        <v>44.46</v>
      </c>
      <c r="C1468" s="2">
        <f t="shared" si="22"/>
        <v>-8.9566205560117525E-3</v>
      </c>
    </row>
    <row r="1469" spans="1:3" x14ac:dyDescent="0.2">
      <c r="A1469" s="1">
        <v>43966</v>
      </c>
      <c r="B1469">
        <v>44.86</v>
      </c>
      <c r="C1469" s="2">
        <f t="shared" si="22"/>
        <v>5.8759443039830057E-2</v>
      </c>
    </row>
    <row r="1470" spans="1:3" x14ac:dyDescent="0.2">
      <c r="A1470" s="1">
        <v>43965</v>
      </c>
      <c r="B1470">
        <v>42.3</v>
      </c>
      <c r="C1470" s="2">
        <f t="shared" si="22"/>
        <v>-3.2332156911112221E-2</v>
      </c>
    </row>
    <row r="1471" spans="1:3" x14ac:dyDescent="0.2">
      <c r="A1471" s="1">
        <v>43964</v>
      </c>
      <c r="B1471">
        <v>43.69</v>
      </c>
      <c r="C1471" s="2">
        <f t="shared" si="22"/>
        <v>1.3132316362602817E-2</v>
      </c>
    </row>
    <row r="1472" spans="1:3" x14ac:dyDescent="0.2">
      <c r="A1472" s="1">
        <v>43963</v>
      </c>
      <c r="B1472">
        <v>43.12</v>
      </c>
      <c r="C1472" s="2">
        <f t="shared" si="22"/>
        <v>-2.0202707317519466E-2</v>
      </c>
    </row>
    <row r="1473" spans="1:3" x14ac:dyDescent="0.2">
      <c r="A1473" s="1">
        <v>43962</v>
      </c>
      <c r="B1473">
        <v>44</v>
      </c>
      <c r="C1473" s="2">
        <f t="shared" si="22"/>
        <v>6.090875308699252E-2</v>
      </c>
    </row>
    <row r="1474" spans="1:3" x14ac:dyDescent="0.2">
      <c r="A1474" s="1">
        <v>43959</v>
      </c>
      <c r="B1474">
        <v>41.4</v>
      </c>
      <c r="C1474" s="2">
        <f t="shared" si="22"/>
        <v>1.1906348889961551E-2</v>
      </c>
    </row>
    <row r="1475" spans="1:3" x14ac:dyDescent="0.2">
      <c r="A1475" s="1">
        <v>43958</v>
      </c>
      <c r="B1475">
        <v>40.909999999999997</v>
      </c>
      <c r="C1475" s="2">
        <f t="shared" ref="C1475:C1538" si="23">+LN(B1475/B1476)</f>
        <v>2.5499586847669491E-2</v>
      </c>
    </row>
    <row r="1476" spans="1:3" x14ac:dyDescent="0.2">
      <c r="A1476" s="1">
        <v>43957</v>
      </c>
      <c r="B1476">
        <v>39.880000000000003</v>
      </c>
      <c r="C1476" s="2">
        <f t="shared" si="23"/>
        <v>-1.5180084950432104E-2</v>
      </c>
    </row>
    <row r="1477" spans="1:3" x14ac:dyDescent="0.2">
      <c r="A1477" s="1">
        <v>43956</v>
      </c>
      <c r="B1477">
        <v>40.49</v>
      </c>
      <c r="C1477" s="2">
        <f t="shared" si="23"/>
        <v>2.5260815478789028E-2</v>
      </c>
    </row>
    <row r="1478" spans="1:3" x14ac:dyDescent="0.2">
      <c r="A1478" s="1">
        <v>43955</v>
      </c>
      <c r="B1478">
        <v>39.479999999999997</v>
      </c>
      <c r="C1478" s="2">
        <f t="shared" si="23"/>
        <v>-4.8010199609580546E-3</v>
      </c>
    </row>
    <row r="1479" spans="1:3" x14ac:dyDescent="0.2">
      <c r="A1479" s="1">
        <v>43951</v>
      </c>
      <c r="B1479">
        <v>39.67</v>
      </c>
      <c r="C1479" s="2">
        <f t="shared" si="23"/>
        <v>-2.9311586779773059E-2</v>
      </c>
    </row>
    <row r="1480" spans="1:3" x14ac:dyDescent="0.2">
      <c r="A1480" s="1">
        <v>43950</v>
      </c>
      <c r="B1480">
        <v>40.85</v>
      </c>
      <c r="C1480" s="2">
        <f t="shared" si="23"/>
        <v>5.6913645756484513E-2</v>
      </c>
    </row>
    <row r="1481" spans="1:3" x14ac:dyDescent="0.2">
      <c r="A1481" s="1">
        <v>43949</v>
      </c>
      <c r="B1481">
        <v>38.590000000000003</v>
      </c>
      <c r="C1481" s="2">
        <f t="shared" si="23"/>
        <v>-1.2617651625054498E-2</v>
      </c>
    </row>
    <row r="1482" spans="1:3" x14ac:dyDescent="0.2">
      <c r="A1482" s="1">
        <v>43948</v>
      </c>
      <c r="B1482">
        <v>39.08</v>
      </c>
      <c r="C1482" s="2">
        <f t="shared" si="23"/>
        <v>2.0160930987981763E-2</v>
      </c>
    </row>
    <row r="1483" spans="1:3" x14ac:dyDescent="0.2">
      <c r="A1483" s="1">
        <v>43945</v>
      </c>
      <c r="B1483">
        <v>38.299999999999997</v>
      </c>
      <c r="C1483" s="2">
        <f t="shared" si="23"/>
        <v>5.2232960184677671E-4</v>
      </c>
    </row>
    <row r="1484" spans="1:3" x14ac:dyDescent="0.2">
      <c r="A1484" s="1">
        <v>43944</v>
      </c>
      <c r="B1484">
        <v>38.28</v>
      </c>
      <c r="C1484" s="2">
        <f t="shared" si="23"/>
        <v>-8.5837436913914419E-3</v>
      </c>
    </row>
    <row r="1485" spans="1:3" x14ac:dyDescent="0.2">
      <c r="A1485" s="1">
        <v>43943</v>
      </c>
      <c r="B1485">
        <v>38.61</v>
      </c>
      <c r="C1485" s="2">
        <f t="shared" si="23"/>
        <v>1.1723463696059234E-2</v>
      </c>
    </row>
    <row r="1486" spans="1:3" x14ac:dyDescent="0.2">
      <c r="A1486" s="1">
        <v>43942</v>
      </c>
      <c r="B1486">
        <v>38.159999999999997</v>
      </c>
      <c r="C1486" s="2">
        <f t="shared" si="23"/>
        <v>-1.6890098800729326E-2</v>
      </c>
    </row>
    <row r="1487" spans="1:3" x14ac:dyDescent="0.2">
      <c r="A1487" s="1">
        <v>43941</v>
      </c>
      <c r="B1487">
        <v>38.81</v>
      </c>
      <c r="C1487" s="2">
        <f t="shared" si="23"/>
        <v>1.2445065988351395E-2</v>
      </c>
    </row>
    <row r="1488" spans="1:3" x14ac:dyDescent="0.2">
      <c r="A1488" s="1">
        <v>43938</v>
      </c>
      <c r="B1488">
        <v>38.33</v>
      </c>
      <c r="C1488" s="2">
        <f t="shared" si="23"/>
        <v>1.524740369743007E-2</v>
      </c>
    </row>
    <row r="1489" spans="1:3" x14ac:dyDescent="0.2">
      <c r="A1489" s="1">
        <v>43937</v>
      </c>
      <c r="B1489">
        <v>37.75</v>
      </c>
      <c r="C1489" s="2">
        <f t="shared" si="23"/>
        <v>-1.394209088971983E-2</v>
      </c>
    </row>
    <row r="1490" spans="1:3" x14ac:dyDescent="0.2">
      <c r="A1490" s="1">
        <v>43936</v>
      </c>
      <c r="B1490">
        <v>38.28</v>
      </c>
      <c r="C1490" s="2">
        <f t="shared" si="23"/>
        <v>-5.7306747089849834E-3</v>
      </c>
    </row>
    <row r="1491" spans="1:3" x14ac:dyDescent="0.2">
      <c r="A1491" s="1">
        <v>43935</v>
      </c>
      <c r="B1491">
        <v>38.5</v>
      </c>
      <c r="C1491" s="2">
        <f t="shared" si="23"/>
        <v>1.8878379220375024E-2</v>
      </c>
    </row>
    <row r="1492" spans="1:3" x14ac:dyDescent="0.2">
      <c r="A1492" s="1">
        <v>43930</v>
      </c>
      <c r="B1492">
        <v>37.78</v>
      </c>
      <c r="C1492" s="2">
        <f t="shared" si="23"/>
        <v>2.7913782286383824E-2</v>
      </c>
    </row>
    <row r="1493" spans="1:3" x14ac:dyDescent="0.2">
      <c r="A1493" s="1">
        <v>43929</v>
      </c>
      <c r="B1493">
        <v>36.74</v>
      </c>
      <c r="C1493" s="2">
        <f t="shared" si="23"/>
        <v>-1.700216371041284E-2</v>
      </c>
    </row>
    <row r="1494" spans="1:3" x14ac:dyDescent="0.2">
      <c r="A1494" s="1">
        <v>43928</v>
      </c>
      <c r="B1494">
        <v>37.369999999999997</v>
      </c>
      <c r="C1494" s="2">
        <f t="shared" si="23"/>
        <v>-7.4647107485100728E-3</v>
      </c>
    </row>
    <row r="1495" spans="1:3" x14ac:dyDescent="0.2">
      <c r="A1495" s="1">
        <v>43927</v>
      </c>
      <c r="B1495">
        <v>37.65</v>
      </c>
      <c r="C1495" s="2">
        <f t="shared" si="23"/>
        <v>1.552493708326156E-2</v>
      </c>
    </row>
    <row r="1496" spans="1:3" x14ac:dyDescent="0.2">
      <c r="A1496" s="1">
        <v>43924</v>
      </c>
      <c r="B1496">
        <v>37.07</v>
      </c>
      <c r="C1496" s="2">
        <f t="shared" si="23"/>
        <v>-2.9765684074783822E-2</v>
      </c>
    </row>
    <row r="1497" spans="1:3" x14ac:dyDescent="0.2">
      <c r="A1497" s="1">
        <v>43923</v>
      </c>
      <c r="B1497">
        <v>38.19</v>
      </c>
      <c r="C1497" s="2">
        <f t="shared" si="23"/>
        <v>1.2913606783459613E-2</v>
      </c>
    </row>
    <row r="1498" spans="1:3" x14ac:dyDescent="0.2">
      <c r="A1498" s="1">
        <v>43922</v>
      </c>
      <c r="B1498">
        <v>37.700000000000003</v>
      </c>
      <c r="C1498" s="2">
        <f t="shared" si="23"/>
        <v>-2.2036568532255187E-2</v>
      </c>
    </row>
    <row r="1499" spans="1:3" x14ac:dyDescent="0.2">
      <c r="A1499" s="1">
        <v>43921</v>
      </c>
      <c r="B1499">
        <v>38.54</v>
      </c>
      <c r="C1499" s="2">
        <f t="shared" si="23"/>
        <v>-1.5192773236100864E-2</v>
      </c>
    </row>
    <row r="1500" spans="1:3" x14ac:dyDescent="0.2">
      <c r="A1500" s="1">
        <v>43920</v>
      </c>
      <c r="B1500">
        <v>39.130000000000003</v>
      </c>
      <c r="C1500" s="2">
        <f t="shared" si="23"/>
        <v>7.369523224279266E-2</v>
      </c>
    </row>
    <row r="1501" spans="1:3" x14ac:dyDescent="0.2">
      <c r="A1501" s="1">
        <v>43917</v>
      </c>
      <c r="B1501">
        <v>36.35</v>
      </c>
      <c r="C1501" s="2">
        <f t="shared" si="23"/>
        <v>6.0706588199794052E-3</v>
      </c>
    </row>
    <row r="1502" spans="1:3" x14ac:dyDescent="0.2">
      <c r="A1502" s="1">
        <v>43916</v>
      </c>
      <c r="B1502">
        <v>36.130000000000003</v>
      </c>
      <c r="C1502" s="2">
        <f t="shared" si="23"/>
        <v>3.3777486340808349E-2</v>
      </c>
    </row>
    <row r="1503" spans="1:3" x14ac:dyDescent="0.2">
      <c r="A1503" s="1">
        <v>43915</v>
      </c>
      <c r="B1503">
        <v>34.93</v>
      </c>
      <c r="C1503" s="2">
        <f t="shared" si="23"/>
        <v>-8.8357422492382608E-3</v>
      </c>
    </row>
    <row r="1504" spans="1:3" x14ac:dyDescent="0.2">
      <c r="A1504" s="1">
        <v>43914</v>
      </c>
      <c r="B1504">
        <v>35.24</v>
      </c>
      <c r="C1504" s="2">
        <f t="shared" si="23"/>
        <v>2.8380871483265794E-4</v>
      </c>
    </row>
    <row r="1505" spans="1:3" x14ac:dyDescent="0.2">
      <c r="A1505" s="1">
        <v>43913</v>
      </c>
      <c r="B1505">
        <v>35.229999999999997</v>
      </c>
      <c r="C1505" s="2">
        <f t="shared" si="23"/>
        <v>1.2280605572717684E-2</v>
      </c>
    </row>
    <row r="1506" spans="1:3" x14ac:dyDescent="0.2">
      <c r="A1506" s="1">
        <v>43910</v>
      </c>
      <c r="B1506">
        <v>34.799999999999997</v>
      </c>
      <c r="C1506" s="2">
        <f t="shared" si="23"/>
        <v>-3.8336148743547099E-2</v>
      </c>
    </row>
    <row r="1507" spans="1:3" x14ac:dyDescent="0.2">
      <c r="A1507" s="1">
        <v>43909</v>
      </c>
      <c r="B1507">
        <v>36.159999999999997</v>
      </c>
      <c r="C1507" s="2">
        <f t="shared" si="23"/>
        <v>3.833614874354703E-2</v>
      </c>
    </row>
    <row r="1508" spans="1:3" x14ac:dyDescent="0.2">
      <c r="A1508" s="1">
        <v>43908</v>
      </c>
      <c r="B1508">
        <v>34.799999999999997</v>
      </c>
      <c r="C1508" s="2">
        <f t="shared" si="23"/>
        <v>1.8269320653227984E-2</v>
      </c>
    </row>
    <row r="1509" spans="1:3" x14ac:dyDescent="0.2">
      <c r="A1509" s="1">
        <v>43907</v>
      </c>
      <c r="B1509">
        <v>34.17</v>
      </c>
      <c r="C1509" s="2">
        <f t="shared" si="23"/>
        <v>3.2116944193679546E-2</v>
      </c>
    </row>
    <row r="1510" spans="1:3" x14ac:dyDescent="0.2">
      <c r="A1510" s="1">
        <v>43906</v>
      </c>
      <c r="B1510">
        <v>33.090000000000003</v>
      </c>
      <c r="C1510" s="2">
        <f t="shared" si="23"/>
        <v>-1.3805741484169874E-2</v>
      </c>
    </row>
    <row r="1511" spans="1:3" x14ac:dyDescent="0.2">
      <c r="A1511" s="1">
        <v>43903</v>
      </c>
      <c r="B1511">
        <v>33.549999999999997</v>
      </c>
      <c r="C1511" s="2">
        <f t="shared" si="23"/>
        <v>0.17158948616130923</v>
      </c>
    </row>
    <row r="1512" spans="1:3" x14ac:dyDescent="0.2">
      <c r="A1512" s="1">
        <v>43902</v>
      </c>
      <c r="B1512">
        <v>28.26</v>
      </c>
      <c r="C1512" s="2">
        <f t="shared" si="23"/>
        <v>-0.17990060553623566</v>
      </c>
    </row>
    <row r="1513" spans="1:3" x14ac:dyDescent="0.2">
      <c r="A1513" s="1">
        <v>43901</v>
      </c>
      <c r="B1513">
        <v>33.83</v>
      </c>
      <c r="C1513" s="2">
        <f t="shared" si="23"/>
        <v>-1.5254035875741282E-2</v>
      </c>
    </row>
    <row r="1514" spans="1:3" x14ac:dyDescent="0.2">
      <c r="A1514" s="1">
        <v>43900</v>
      </c>
      <c r="B1514">
        <v>34.35</v>
      </c>
      <c r="C1514" s="2">
        <f t="shared" si="23"/>
        <v>-6.9439157136573393E-2</v>
      </c>
    </row>
    <row r="1515" spans="1:3" x14ac:dyDescent="0.2">
      <c r="A1515" s="1">
        <v>43899</v>
      </c>
      <c r="B1515">
        <v>36.82</v>
      </c>
      <c r="C1515" s="2">
        <f t="shared" si="23"/>
        <v>-4.6951999744595616E-2</v>
      </c>
    </row>
    <row r="1516" spans="1:3" x14ac:dyDescent="0.2">
      <c r="A1516" s="1">
        <v>43896</v>
      </c>
      <c r="B1516">
        <v>38.590000000000003</v>
      </c>
      <c r="C1516" s="2">
        <f t="shared" si="23"/>
        <v>-1.9756896634525144E-2</v>
      </c>
    </row>
    <row r="1517" spans="1:3" x14ac:dyDescent="0.2">
      <c r="A1517" s="1">
        <v>43895</v>
      </c>
      <c r="B1517">
        <v>39.36</v>
      </c>
      <c r="C1517" s="2">
        <f t="shared" si="23"/>
        <v>3.0534374868902482E-3</v>
      </c>
    </row>
    <row r="1518" spans="1:3" x14ac:dyDescent="0.2">
      <c r="A1518" s="1">
        <v>43894</v>
      </c>
      <c r="B1518">
        <v>39.24</v>
      </c>
      <c r="C1518" s="2">
        <f t="shared" si="23"/>
        <v>0</v>
      </c>
    </row>
    <row r="1519" spans="1:3" x14ac:dyDescent="0.2">
      <c r="A1519" s="1">
        <v>43893</v>
      </c>
      <c r="B1519">
        <v>39.24</v>
      </c>
      <c r="C1519" s="2">
        <f t="shared" si="23"/>
        <v>1.9817917932958659E-2</v>
      </c>
    </row>
    <row r="1520" spans="1:3" x14ac:dyDescent="0.2">
      <c r="A1520" s="1">
        <v>43892</v>
      </c>
      <c r="B1520">
        <v>38.47</v>
      </c>
      <c r="C1520" s="2">
        <f t="shared" si="23"/>
        <v>-5.4439538208898297E-3</v>
      </c>
    </row>
    <row r="1521" spans="1:3" x14ac:dyDescent="0.2">
      <c r="A1521" s="1">
        <v>43889</v>
      </c>
      <c r="B1521">
        <v>38.68</v>
      </c>
      <c r="C1521" s="2">
        <f t="shared" si="23"/>
        <v>-2.8795466427132294E-2</v>
      </c>
    </row>
    <row r="1522" spans="1:3" x14ac:dyDescent="0.2">
      <c r="A1522" s="1">
        <v>43888</v>
      </c>
      <c r="B1522">
        <v>39.81</v>
      </c>
      <c r="C1522" s="2">
        <f t="shared" si="23"/>
        <v>5.0251257338864482E-4</v>
      </c>
    </row>
    <row r="1523" spans="1:3" x14ac:dyDescent="0.2">
      <c r="A1523" s="1">
        <v>43887</v>
      </c>
      <c r="B1523">
        <v>39.79</v>
      </c>
      <c r="C1523" s="2">
        <f t="shared" si="23"/>
        <v>2.9327615094519921E-2</v>
      </c>
    </row>
    <row r="1524" spans="1:3" x14ac:dyDescent="0.2">
      <c r="A1524" s="1">
        <v>43886</v>
      </c>
      <c r="B1524">
        <v>38.64</v>
      </c>
      <c r="C1524" s="2">
        <f t="shared" si="23"/>
        <v>3.8895420486625529E-3</v>
      </c>
    </row>
    <row r="1525" spans="1:3" x14ac:dyDescent="0.2">
      <c r="A1525" s="1">
        <v>43885</v>
      </c>
      <c r="B1525">
        <v>38.49</v>
      </c>
      <c r="C1525" s="2">
        <f t="shared" si="23"/>
        <v>-5.4108242703980694E-2</v>
      </c>
    </row>
    <row r="1526" spans="1:3" x14ac:dyDescent="0.2">
      <c r="A1526" s="1">
        <v>43882</v>
      </c>
      <c r="B1526">
        <v>40.630000000000003</v>
      </c>
      <c r="C1526" s="2">
        <f t="shared" si="23"/>
        <v>-9.0653567046723206E-3</v>
      </c>
    </row>
    <row r="1527" spans="1:3" x14ac:dyDescent="0.2">
      <c r="A1527" s="1">
        <v>43881</v>
      </c>
      <c r="B1527">
        <v>41</v>
      </c>
      <c r="C1527" s="2">
        <f t="shared" si="23"/>
        <v>-2.7899837528799036E-2</v>
      </c>
    </row>
    <row r="1528" spans="1:3" x14ac:dyDescent="0.2">
      <c r="A1528" s="1">
        <v>43880</v>
      </c>
      <c r="B1528">
        <v>42.16</v>
      </c>
      <c r="C1528" s="2">
        <f t="shared" si="23"/>
        <v>1.5055846590444609E-2</v>
      </c>
    </row>
    <row r="1529" spans="1:3" x14ac:dyDescent="0.2">
      <c r="A1529" s="1">
        <v>43879</v>
      </c>
      <c r="B1529">
        <v>41.53</v>
      </c>
      <c r="C1529" s="2">
        <f t="shared" si="23"/>
        <v>1.0407936140473313E-2</v>
      </c>
    </row>
    <row r="1530" spans="1:3" x14ac:dyDescent="0.2">
      <c r="A1530" s="1">
        <v>43878</v>
      </c>
      <c r="B1530">
        <v>41.1</v>
      </c>
      <c r="C1530" s="2">
        <f t="shared" si="23"/>
        <v>1.8416726786231068E-2</v>
      </c>
    </row>
    <row r="1531" spans="1:3" x14ac:dyDescent="0.2">
      <c r="A1531" s="1">
        <v>43875</v>
      </c>
      <c r="B1531">
        <v>40.35</v>
      </c>
      <c r="C1531" s="2">
        <f t="shared" si="23"/>
        <v>-1.5980671988350015E-2</v>
      </c>
    </row>
    <row r="1532" spans="1:3" x14ac:dyDescent="0.2">
      <c r="A1532" s="1">
        <v>43874</v>
      </c>
      <c r="B1532">
        <v>41</v>
      </c>
      <c r="C1532" s="2">
        <f t="shared" si="23"/>
        <v>-7.5325347043654293E-3</v>
      </c>
    </row>
    <row r="1533" spans="1:3" x14ac:dyDescent="0.2">
      <c r="A1533" s="1">
        <v>43873</v>
      </c>
      <c r="B1533">
        <v>41.31</v>
      </c>
      <c r="C1533" s="2">
        <f t="shared" si="23"/>
        <v>9.4856603252474279E-3</v>
      </c>
    </row>
    <row r="1534" spans="1:3" x14ac:dyDescent="0.2">
      <c r="A1534" s="1">
        <v>43872</v>
      </c>
      <c r="B1534">
        <v>40.92</v>
      </c>
      <c r="C1534" s="2">
        <f t="shared" si="23"/>
        <v>8.0972102326193028E-3</v>
      </c>
    </row>
    <row r="1535" spans="1:3" x14ac:dyDescent="0.2">
      <c r="A1535" s="1">
        <v>43871</v>
      </c>
      <c r="B1535">
        <v>40.590000000000003</v>
      </c>
      <c r="C1535" s="2">
        <f t="shared" si="23"/>
        <v>9.9035223896967207E-3</v>
      </c>
    </row>
    <row r="1536" spans="1:3" x14ac:dyDescent="0.2">
      <c r="A1536" s="1">
        <v>43868</v>
      </c>
      <c r="B1536">
        <v>40.19</v>
      </c>
      <c r="C1536" s="2">
        <f t="shared" si="23"/>
        <v>-7.6837656513837893E-3</v>
      </c>
    </row>
    <row r="1537" spans="1:3" x14ac:dyDescent="0.2">
      <c r="A1537" s="1">
        <v>43867</v>
      </c>
      <c r="B1537">
        <v>40.5</v>
      </c>
      <c r="C1537" s="2">
        <f t="shared" si="23"/>
        <v>1.1922644956905976E-2</v>
      </c>
    </row>
    <row r="1538" spans="1:3" x14ac:dyDescent="0.2">
      <c r="A1538" s="1">
        <v>43866</v>
      </c>
      <c r="B1538">
        <v>40.020000000000003</v>
      </c>
      <c r="C1538" s="2">
        <f t="shared" si="23"/>
        <v>-2.498438488948854E-4</v>
      </c>
    </row>
    <row r="1539" spans="1:3" x14ac:dyDescent="0.2">
      <c r="A1539" s="1">
        <v>43865</v>
      </c>
      <c r="B1539">
        <v>40.03</v>
      </c>
      <c r="C1539" s="2">
        <f t="shared" ref="C1539:C1602" si="24">+LN(B1539/B1540)</f>
        <v>1.7387360043569097E-2</v>
      </c>
    </row>
    <row r="1540" spans="1:3" x14ac:dyDescent="0.2">
      <c r="A1540" s="1">
        <v>43864</v>
      </c>
      <c r="B1540">
        <v>39.340000000000003</v>
      </c>
      <c r="C1540" s="2">
        <f t="shared" si="24"/>
        <v>1.8212636282723141E-2</v>
      </c>
    </row>
    <row r="1541" spans="1:3" x14ac:dyDescent="0.2">
      <c r="A1541" s="1">
        <v>43861</v>
      </c>
      <c r="B1541">
        <v>38.630000000000003</v>
      </c>
      <c r="C1541" s="2">
        <f t="shared" si="24"/>
        <v>-2.7070090116784004E-2</v>
      </c>
    </row>
    <row r="1542" spans="1:3" x14ac:dyDescent="0.2">
      <c r="A1542" s="1">
        <v>43860</v>
      </c>
      <c r="B1542">
        <v>39.69</v>
      </c>
      <c r="C1542" s="2">
        <f t="shared" si="24"/>
        <v>-2.9541679100475164E-2</v>
      </c>
    </row>
    <row r="1543" spans="1:3" x14ac:dyDescent="0.2">
      <c r="A1543" s="1">
        <v>43859</v>
      </c>
      <c r="B1543">
        <v>40.880000000000003</v>
      </c>
      <c r="C1543" s="2">
        <f t="shared" si="24"/>
        <v>1.4537646692193281E-2</v>
      </c>
    </row>
    <row r="1544" spans="1:3" x14ac:dyDescent="0.2">
      <c r="A1544" s="1">
        <v>43858</v>
      </c>
      <c r="B1544">
        <v>40.29</v>
      </c>
      <c r="C1544" s="2">
        <f t="shared" si="24"/>
        <v>8.9753781281258528E-3</v>
      </c>
    </row>
    <row r="1545" spans="1:3" x14ac:dyDescent="0.2">
      <c r="A1545" s="1">
        <v>43857</v>
      </c>
      <c r="B1545">
        <v>39.93</v>
      </c>
      <c r="C1545" s="2">
        <f t="shared" si="24"/>
        <v>-8.9753781281259239E-3</v>
      </c>
    </row>
    <row r="1546" spans="1:3" x14ac:dyDescent="0.2">
      <c r="A1546" s="1">
        <v>43854</v>
      </c>
      <c r="B1546">
        <v>40.29</v>
      </c>
      <c r="C1546" s="2">
        <f t="shared" si="24"/>
        <v>-7.4432455985733149E-4</v>
      </c>
    </row>
    <row r="1547" spans="1:3" x14ac:dyDescent="0.2">
      <c r="A1547" s="1">
        <v>43853</v>
      </c>
      <c r="B1547">
        <v>40.32</v>
      </c>
      <c r="C1547" s="2">
        <f t="shared" si="24"/>
        <v>7.9681696491768813E-3</v>
      </c>
    </row>
    <row r="1548" spans="1:3" x14ac:dyDescent="0.2">
      <c r="A1548" s="1">
        <v>43852</v>
      </c>
      <c r="B1548">
        <v>40</v>
      </c>
      <c r="C1548" s="2">
        <f t="shared" si="24"/>
        <v>1.0555513939516679E-2</v>
      </c>
    </row>
    <row r="1549" spans="1:3" x14ac:dyDescent="0.2">
      <c r="A1549" s="1">
        <v>43851</v>
      </c>
      <c r="B1549">
        <v>39.58</v>
      </c>
      <c r="C1549" s="2">
        <f t="shared" si="24"/>
        <v>9.1371194062193923E-3</v>
      </c>
    </row>
    <row r="1550" spans="1:3" x14ac:dyDescent="0.2">
      <c r="A1550" s="1">
        <v>43850</v>
      </c>
      <c r="B1550">
        <v>39.22</v>
      </c>
      <c r="C1550" s="2">
        <f t="shared" si="24"/>
        <v>-6.8606545303578877E-3</v>
      </c>
    </row>
    <row r="1551" spans="1:3" x14ac:dyDescent="0.2">
      <c r="A1551" s="1">
        <v>43847</v>
      </c>
      <c r="B1551">
        <v>39.49</v>
      </c>
      <c r="C1551" s="2">
        <f t="shared" si="24"/>
        <v>1.1973140103592919E-2</v>
      </c>
    </row>
    <row r="1552" spans="1:3" x14ac:dyDescent="0.2">
      <c r="A1552" s="1">
        <v>43846</v>
      </c>
      <c r="B1552">
        <v>39.020000000000003</v>
      </c>
      <c r="C1552" s="2">
        <f t="shared" si="24"/>
        <v>-2.0797097521432367E-2</v>
      </c>
    </row>
    <row r="1553" spans="1:3" x14ac:dyDescent="0.2">
      <c r="A1553" s="1">
        <v>43845</v>
      </c>
      <c r="B1553">
        <v>39.840000000000003</v>
      </c>
      <c r="C1553" s="2">
        <f t="shared" si="24"/>
        <v>1.5684611948197279E-2</v>
      </c>
    </row>
    <row r="1554" spans="1:3" x14ac:dyDescent="0.2">
      <c r="A1554" s="1">
        <v>43844</v>
      </c>
      <c r="B1554">
        <v>39.22</v>
      </c>
      <c r="C1554" s="2">
        <f t="shared" si="24"/>
        <v>1.17980337456348E-2</v>
      </c>
    </row>
    <row r="1555" spans="1:3" x14ac:dyDescent="0.2">
      <c r="A1555" s="1">
        <v>43843</v>
      </c>
      <c r="B1555">
        <v>38.76</v>
      </c>
      <c r="C1555" s="2">
        <f t="shared" si="24"/>
        <v>-2.5796466027240431E-4</v>
      </c>
    </row>
    <row r="1556" spans="1:3" x14ac:dyDescent="0.2">
      <c r="A1556" s="1">
        <v>43840</v>
      </c>
      <c r="B1556">
        <v>38.770000000000003</v>
      </c>
      <c r="C1556" s="2">
        <f t="shared" si="24"/>
        <v>-5.1572976903793537E-4</v>
      </c>
    </row>
    <row r="1557" spans="1:3" x14ac:dyDescent="0.2">
      <c r="A1557" s="1">
        <v>43839</v>
      </c>
      <c r="B1557">
        <v>38.79</v>
      </c>
      <c r="C1557" s="2">
        <f t="shared" si="24"/>
        <v>2.347525642136623E-2</v>
      </c>
    </row>
    <row r="1558" spans="1:3" x14ac:dyDescent="0.2">
      <c r="A1558" s="1">
        <v>43838</v>
      </c>
      <c r="B1558">
        <v>37.89</v>
      </c>
      <c r="C1558" s="2">
        <f t="shared" si="24"/>
        <v>-1.5822788111296026E-3</v>
      </c>
    </row>
    <row r="1559" spans="1:3" x14ac:dyDescent="0.2">
      <c r="A1559" s="1">
        <v>43837</v>
      </c>
      <c r="B1559">
        <v>37.950000000000003</v>
      </c>
      <c r="C1559" s="2">
        <f t="shared" si="24"/>
        <v>5.0191625643391325E-3</v>
      </c>
    </row>
    <row r="1560" spans="1:3" x14ac:dyDescent="0.2">
      <c r="A1560" s="1">
        <v>43836</v>
      </c>
      <c r="B1560">
        <v>37.76</v>
      </c>
      <c r="C1560" s="2">
        <f t="shared" si="24"/>
        <v>-1.4982538115163844E-2</v>
      </c>
    </row>
    <row r="1561" spans="1:3" x14ac:dyDescent="0.2">
      <c r="A1561" s="1">
        <v>43833</v>
      </c>
      <c r="B1561">
        <v>38.33</v>
      </c>
      <c r="C1561" s="2">
        <f t="shared" si="24"/>
        <v>9.9633755508245839E-3</v>
      </c>
    </row>
    <row r="1562" spans="1:3" x14ac:dyDescent="0.2">
      <c r="A1562" s="1">
        <v>43832</v>
      </c>
      <c r="B1562">
        <v>37.950000000000003</v>
      </c>
      <c r="C1562" s="2">
        <f t="shared" si="24"/>
        <v>1.0063644255761523E-2</v>
      </c>
    </row>
    <row r="1563" spans="1:3" x14ac:dyDescent="0.2">
      <c r="A1563" s="1">
        <v>43829</v>
      </c>
      <c r="B1563">
        <v>37.57</v>
      </c>
      <c r="C1563" s="2">
        <f t="shared" si="24"/>
        <v>-1.6629656026652048E-2</v>
      </c>
    </row>
    <row r="1564" spans="1:3" x14ac:dyDescent="0.2">
      <c r="A1564" s="1">
        <v>43826</v>
      </c>
      <c r="B1564">
        <v>38.200000000000003</v>
      </c>
      <c r="C1564" s="2">
        <f t="shared" si="24"/>
        <v>6.3025418708025265E-3</v>
      </c>
    </row>
    <row r="1565" spans="1:3" x14ac:dyDescent="0.2">
      <c r="A1565" s="1">
        <v>43822</v>
      </c>
      <c r="B1565">
        <v>37.96</v>
      </c>
      <c r="C1565" s="2">
        <f t="shared" si="24"/>
        <v>-6.3025418708024111E-3</v>
      </c>
    </row>
    <row r="1566" spans="1:3" x14ac:dyDescent="0.2">
      <c r="A1566" s="1">
        <v>43819</v>
      </c>
      <c r="B1566">
        <v>38.200000000000003</v>
      </c>
      <c r="C1566" s="2">
        <f t="shared" si="24"/>
        <v>1.6363521627210283E-2</v>
      </c>
    </row>
    <row r="1567" spans="1:3" x14ac:dyDescent="0.2">
      <c r="A1567" s="1">
        <v>43818</v>
      </c>
      <c r="B1567">
        <v>37.58</v>
      </c>
      <c r="C1567" s="2">
        <f t="shared" si="24"/>
        <v>-9.7975098563197697E-3</v>
      </c>
    </row>
    <row r="1568" spans="1:3" x14ac:dyDescent="0.2">
      <c r="A1568" s="1">
        <v>43817</v>
      </c>
      <c r="B1568">
        <v>37.950000000000003</v>
      </c>
      <c r="C1568" s="2">
        <f t="shared" si="24"/>
        <v>5.5489639012347323E-3</v>
      </c>
    </row>
    <row r="1569" spans="1:3" x14ac:dyDescent="0.2">
      <c r="A1569" s="1">
        <v>43816</v>
      </c>
      <c r="B1569">
        <v>37.74</v>
      </c>
      <c r="C1569" s="2">
        <f t="shared" si="24"/>
        <v>1.8182319083190328E-2</v>
      </c>
    </row>
    <row r="1570" spans="1:3" x14ac:dyDescent="0.2">
      <c r="A1570" s="1">
        <v>43815</v>
      </c>
      <c r="B1570">
        <v>37.06</v>
      </c>
      <c r="C1570" s="2">
        <f t="shared" si="24"/>
        <v>1.8244209233145393E-2</v>
      </c>
    </row>
    <row r="1571" spans="1:3" x14ac:dyDescent="0.2">
      <c r="A1571" s="1">
        <v>43812</v>
      </c>
      <c r="B1571">
        <v>36.39</v>
      </c>
      <c r="C1571" s="2">
        <f t="shared" si="24"/>
        <v>-1.6474468305987156E-3</v>
      </c>
    </row>
    <row r="1572" spans="1:3" x14ac:dyDescent="0.2">
      <c r="A1572" s="1">
        <v>43811</v>
      </c>
      <c r="B1572">
        <v>36.450000000000003</v>
      </c>
      <c r="C1572" s="2">
        <f t="shared" si="24"/>
        <v>5.5020771539835596E-3</v>
      </c>
    </row>
    <row r="1573" spans="1:3" x14ac:dyDescent="0.2">
      <c r="A1573" s="1">
        <v>43810</v>
      </c>
      <c r="B1573">
        <v>36.25</v>
      </c>
      <c r="C1573" s="2">
        <f t="shared" si="24"/>
        <v>6.0874565406819304E-3</v>
      </c>
    </row>
    <row r="1574" spans="1:3" x14ac:dyDescent="0.2">
      <c r="A1574" s="1">
        <v>43809</v>
      </c>
      <c r="B1574">
        <v>36.03</v>
      </c>
      <c r="C1574" s="2">
        <f t="shared" si="24"/>
        <v>1.6793005882621306E-2</v>
      </c>
    </row>
    <row r="1575" spans="1:3" x14ac:dyDescent="0.2">
      <c r="A1575" s="1">
        <v>43808</v>
      </c>
      <c r="B1575">
        <v>35.43</v>
      </c>
      <c r="C1575" s="2">
        <f t="shared" si="24"/>
        <v>-3.0574921929810529E-2</v>
      </c>
    </row>
    <row r="1576" spans="1:3" x14ac:dyDescent="0.2">
      <c r="A1576" s="1">
        <v>43805</v>
      </c>
      <c r="B1576">
        <v>36.53</v>
      </c>
      <c r="C1576" s="2">
        <f t="shared" si="24"/>
        <v>-1.9143996001294457E-3</v>
      </c>
    </row>
    <row r="1577" spans="1:3" x14ac:dyDescent="0.2">
      <c r="A1577" s="1">
        <v>43804</v>
      </c>
      <c r="B1577">
        <v>36.6</v>
      </c>
      <c r="C1577" s="2">
        <f t="shared" si="24"/>
        <v>-4.9059787688544073E-3</v>
      </c>
    </row>
    <row r="1578" spans="1:3" x14ac:dyDescent="0.2">
      <c r="A1578" s="1">
        <v>43803</v>
      </c>
      <c r="B1578">
        <v>36.78</v>
      </c>
      <c r="C1578" s="2">
        <f t="shared" si="24"/>
        <v>1.9050216674321144E-3</v>
      </c>
    </row>
    <row r="1579" spans="1:3" x14ac:dyDescent="0.2">
      <c r="A1579" s="1">
        <v>43802</v>
      </c>
      <c r="B1579">
        <v>36.71</v>
      </c>
      <c r="C1579" s="2">
        <f t="shared" si="24"/>
        <v>1.5095661984767304E-2</v>
      </c>
    </row>
    <row r="1580" spans="1:3" x14ac:dyDescent="0.2">
      <c r="A1580" s="1">
        <v>43801</v>
      </c>
      <c r="B1580">
        <v>36.159999999999997</v>
      </c>
      <c r="C1580" s="2">
        <f t="shared" si="24"/>
        <v>-5.1473034870430354E-2</v>
      </c>
    </row>
    <row r="1581" spans="1:3" x14ac:dyDescent="0.2">
      <c r="A1581" s="1">
        <v>43798</v>
      </c>
      <c r="B1581">
        <v>38.07</v>
      </c>
      <c r="C1581" s="2">
        <f t="shared" si="24"/>
        <v>1.9897194415262873E-2</v>
      </c>
    </row>
    <row r="1582" spans="1:3" x14ac:dyDescent="0.2">
      <c r="A1582" s="1">
        <v>43797</v>
      </c>
      <c r="B1582">
        <v>37.32</v>
      </c>
      <c r="C1582" s="2">
        <f t="shared" si="24"/>
        <v>-1.2515141382254518E-2</v>
      </c>
    </row>
    <row r="1583" spans="1:3" x14ac:dyDescent="0.2">
      <c r="A1583" s="1">
        <v>43796</v>
      </c>
      <c r="B1583">
        <v>37.79</v>
      </c>
      <c r="C1583" s="2">
        <f t="shared" si="24"/>
        <v>9.5719954450599019E-3</v>
      </c>
    </row>
    <row r="1584" spans="1:3" x14ac:dyDescent="0.2">
      <c r="A1584" s="1">
        <v>43795</v>
      </c>
      <c r="B1584">
        <v>37.43</v>
      </c>
      <c r="C1584" s="2">
        <f t="shared" si="24"/>
        <v>6.7015396230396653E-3</v>
      </c>
    </row>
    <row r="1585" spans="1:3" x14ac:dyDescent="0.2">
      <c r="A1585" s="1">
        <v>43794</v>
      </c>
      <c r="B1585">
        <v>37.18</v>
      </c>
      <c r="C1585" s="2">
        <f t="shared" si="24"/>
        <v>-6.4343385526455989E-3</v>
      </c>
    </row>
    <row r="1586" spans="1:3" x14ac:dyDescent="0.2">
      <c r="A1586" s="1">
        <v>43791</v>
      </c>
      <c r="B1586">
        <v>37.42</v>
      </c>
      <c r="C1586" s="2">
        <f t="shared" si="24"/>
        <v>-1.2745791242436973E-2</v>
      </c>
    </row>
    <row r="1587" spans="1:3" x14ac:dyDescent="0.2">
      <c r="A1587" s="1">
        <v>43790</v>
      </c>
      <c r="B1587">
        <v>37.9</v>
      </c>
      <c r="C1587" s="2">
        <f t="shared" si="24"/>
        <v>-5.0006684021321702E-3</v>
      </c>
    </row>
    <row r="1588" spans="1:3" x14ac:dyDescent="0.2">
      <c r="A1588" s="1">
        <v>43789</v>
      </c>
      <c r="B1588">
        <v>38.090000000000003</v>
      </c>
      <c r="C1588" s="2">
        <f t="shared" si="24"/>
        <v>2.903386784628826E-2</v>
      </c>
    </row>
    <row r="1589" spans="1:3" x14ac:dyDescent="0.2">
      <c r="A1589" s="1">
        <v>43788</v>
      </c>
      <c r="B1589">
        <v>37</v>
      </c>
      <c r="C1589" s="2">
        <f t="shared" si="24"/>
        <v>-4.3150013014132361E-3</v>
      </c>
    </row>
    <row r="1590" spans="1:3" x14ac:dyDescent="0.2">
      <c r="A1590" s="1">
        <v>43787</v>
      </c>
      <c r="B1590">
        <v>37.159999999999997</v>
      </c>
      <c r="C1590" s="2">
        <f t="shared" si="24"/>
        <v>-1.9718198142742904E-2</v>
      </c>
    </row>
    <row r="1591" spans="1:3" x14ac:dyDescent="0.2">
      <c r="A1591" s="1">
        <v>43784</v>
      </c>
      <c r="B1591">
        <v>37.9</v>
      </c>
      <c r="C1591" s="2">
        <f t="shared" si="24"/>
        <v>5.2910176344154588E-3</v>
      </c>
    </row>
    <row r="1592" spans="1:3" x14ac:dyDescent="0.2">
      <c r="A1592" s="1">
        <v>43783</v>
      </c>
      <c r="B1592">
        <v>37.700000000000003</v>
      </c>
      <c r="C1592" s="2">
        <f t="shared" si="24"/>
        <v>-3.4423441909726786E-3</v>
      </c>
    </row>
    <row r="1593" spans="1:3" x14ac:dyDescent="0.2">
      <c r="A1593" s="1">
        <v>43782</v>
      </c>
      <c r="B1593">
        <v>37.83</v>
      </c>
      <c r="C1593" s="2">
        <f t="shared" si="24"/>
        <v>8.2283145069138187E-3</v>
      </c>
    </row>
    <row r="1594" spans="1:3" x14ac:dyDescent="0.2">
      <c r="A1594" s="1">
        <v>43781</v>
      </c>
      <c r="B1594">
        <v>37.520000000000003</v>
      </c>
      <c r="C1594" s="2">
        <f t="shared" si="24"/>
        <v>2.4016022216864674E-3</v>
      </c>
    </row>
    <row r="1595" spans="1:3" x14ac:dyDescent="0.2">
      <c r="A1595" s="1">
        <v>43780</v>
      </c>
      <c r="B1595">
        <v>37.43</v>
      </c>
      <c r="C1595" s="2">
        <f t="shared" si="24"/>
        <v>-1.3349354538837342E-3</v>
      </c>
    </row>
    <row r="1596" spans="1:3" x14ac:dyDescent="0.2">
      <c r="A1596" s="1">
        <v>43777</v>
      </c>
      <c r="B1596">
        <v>37.479999999999997</v>
      </c>
      <c r="C1596" s="2">
        <f t="shared" si="24"/>
        <v>1.505404773556991E-2</v>
      </c>
    </row>
    <row r="1597" spans="1:3" x14ac:dyDescent="0.2">
      <c r="A1597" s="1">
        <v>43776</v>
      </c>
      <c r="B1597">
        <v>36.92</v>
      </c>
      <c r="C1597" s="2">
        <f t="shared" si="24"/>
        <v>-8.0928415794532527E-3</v>
      </c>
    </row>
    <row r="1598" spans="1:3" x14ac:dyDescent="0.2">
      <c r="A1598" s="1">
        <v>43775</v>
      </c>
      <c r="B1598">
        <v>37.22</v>
      </c>
      <c r="C1598" s="2">
        <f t="shared" si="24"/>
        <v>1.6798010806783999E-2</v>
      </c>
    </row>
    <row r="1599" spans="1:3" x14ac:dyDescent="0.2">
      <c r="A1599" s="1">
        <v>43774</v>
      </c>
      <c r="B1599">
        <v>36.6</v>
      </c>
      <c r="C1599" s="2">
        <f t="shared" si="24"/>
        <v>-2.3225456608621884E-2</v>
      </c>
    </row>
    <row r="1600" spans="1:3" x14ac:dyDescent="0.2">
      <c r="A1600" s="1">
        <v>43773</v>
      </c>
      <c r="B1600">
        <v>37.46</v>
      </c>
      <c r="C1600" s="2">
        <f t="shared" si="24"/>
        <v>1.2355784371718104E-2</v>
      </c>
    </row>
    <row r="1601" spans="1:3" x14ac:dyDescent="0.2">
      <c r="A1601" s="1">
        <v>43770</v>
      </c>
      <c r="B1601">
        <v>37</v>
      </c>
      <c r="C1601" s="2">
        <f t="shared" si="24"/>
        <v>-1.7946109059725251E-2</v>
      </c>
    </row>
    <row r="1602" spans="1:3" x14ac:dyDescent="0.2">
      <c r="A1602" s="1">
        <v>43769</v>
      </c>
      <c r="B1602">
        <v>37.67</v>
      </c>
      <c r="C1602" s="2">
        <f t="shared" si="24"/>
        <v>-9.2483153563334142E-3</v>
      </c>
    </row>
    <row r="1603" spans="1:3" x14ac:dyDescent="0.2">
      <c r="A1603" s="1">
        <v>43768</v>
      </c>
      <c r="B1603">
        <v>38.020000000000003</v>
      </c>
      <c r="C1603" s="2">
        <f t="shared" ref="C1603:C1666" si="25">+LN(B1603/B1604)</f>
        <v>3.1256718424937546E-2</v>
      </c>
    </row>
    <row r="1604" spans="1:3" x14ac:dyDescent="0.2">
      <c r="A1604" s="1">
        <v>43767</v>
      </c>
      <c r="B1604">
        <v>36.85</v>
      </c>
      <c r="C1604" s="2">
        <f t="shared" si="25"/>
        <v>-6.491772866153934E-3</v>
      </c>
    </row>
    <row r="1605" spans="1:3" x14ac:dyDescent="0.2">
      <c r="A1605" s="1">
        <v>43766</v>
      </c>
      <c r="B1605">
        <v>37.090000000000003</v>
      </c>
      <c r="C1605" s="2">
        <f t="shared" si="25"/>
        <v>6.2204392598223177E-3</v>
      </c>
    </row>
    <row r="1606" spans="1:3" x14ac:dyDescent="0.2">
      <c r="A1606" s="1">
        <v>43763</v>
      </c>
      <c r="B1606">
        <v>36.86</v>
      </c>
      <c r="C1606" s="2">
        <f t="shared" si="25"/>
        <v>8.1722056557278419E-3</v>
      </c>
    </row>
    <row r="1607" spans="1:3" x14ac:dyDescent="0.2">
      <c r="A1607" s="1">
        <v>43762</v>
      </c>
      <c r="B1607">
        <v>36.56</v>
      </c>
      <c r="C1607" s="2">
        <f t="shared" si="25"/>
        <v>8.209057787581834E-4</v>
      </c>
    </row>
    <row r="1608" spans="1:3" x14ac:dyDescent="0.2">
      <c r="A1608" s="1">
        <v>43761</v>
      </c>
      <c r="B1608">
        <v>36.53</v>
      </c>
      <c r="C1608" s="2">
        <f t="shared" si="25"/>
        <v>-2.3536863613295052E-2</v>
      </c>
    </row>
    <row r="1609" spans="1:3" x14ac:dyDescent="0.2">
      <c r="A1609" s="1">
        <v>43760</v>
      </c>
      <c r="B1609">
        <v>37.4</v>
      </c>
      <c r="C1609" s="2">
        <f t="shared" si="25"/>
        <v>1.6716485244311137E-2</v>
      </c>
    </row>
    <row r="1610" spans="1:3" x14ac:dyDescent="0.2">
      <c r="A1610" s="1">
        <v>43759</v>
      </c>
      <c r="B1610">
        <v>36.78</v>
      </c>
      <c r="C1610" s="2">
        <f t="shared" si="25"/>
        <v>-1.5378692402651271E-2</v>
      </c>
    </row>
    <row r="1611" spans="1:3" x14ac:dyDescent="0.2">
      <c r="A1611" s="1">
        <v>43756</v>
      </c>
      <c r="B1611">
        <v>37.35</v>
      </c>
      <c r="C1611" s="2">
        <f t="shared" si="25"/>
        <v>-9.3271828751387686E-3</v>
      </c>
    </row>
    <row r="1612" spans="1:3" x14ac:dyDescent="0.2">
      <c r="A1612" s="1">
        <v>43755</v>
      </c>
      <c r="B1612">
        <v>37.700000000000003</v>
      </c>
      <c r="C1612" s="2">
        <f t="shared" si="25"/>
        <v>6.3863974380226488E-3</v>
      </c>
    </row>
    <row r="1613" spans="1:3" x14ac:dyDescent="0.2">
      <c r="A1613" s="1">
        <v>43754</v>
      </c>
      <c r="B1613">
        <v>37.46</v>
      </c>
      <c r="C1613" s="2">
        <f t="shared" si="25"/>
        <v>-1.8776169741195916E-2</v>
      </c>
    </row>
    <row r="1614" spans="1:3" x14ac:dyDescent="0.2">
      <c r="A1614" s="1">
        <v>43753</v>
      </c>
      <c r="B1614">
        <v>38.17</v>
      </c>
      <c r="C1614" s="2">
        <f t="shared" si="25"/>
        <v>1.8509253951542355E-2</v>
      </c>
    </row>
    <row r="1615" spans="1:3" x14ac:dyDescent="0.2">
      <c r="A1615" s="1">
        <v>43752</v>
      </c>
      <c r="B1615">
        <v>37.47</v>
      </c>
      <c r="C1615" s="2">
        <f t="shared" si="25"/>
        <v>4.5472861558261222E-3</v>
      </c>
    </row>
    <row r="1616" spans="1:3" x14ac:dyDescent="0.2">
      <c r="A1616" s="1">
        <v>43749</v>
      </c>
      <c r="B1616">
        <v>37.299999999999997</v>
      </c>
      <c r="C1616" s="2">
        <f t="shared" si="25"/>
        <v>8.0754140055453311E-3</v>
      </c>
    </row>
    <row r="1617" spans="1:3" x14ac:dyDescent="0.2">
      <c r="A1617" s="1">
        <v>43748</v>
      </c>
      <c r="B1617">
        <v>37</v>
      </c>
      <c r="C1617" s="2">
        <f t="shared" si="25"/>
        <v>-1.6203082129893137E-3</v>
      </c>
    </row>
    <row r="1618" spans="1:3" x14ac:dyDescent="0.2">
      <c r="A1618" s="1">
        <v>43747</v>
      </c>
      <c r="B1618">
        <v>37.06</v>
      </c>
      <c r="C1618" s="2">
        <f t="shared" si="25"/>
        <v>9.7614657966890572E-3</v>
      </c>
    </row>
    <row r="1619" spans="1:3" x14ac:dyDescent="0.2">
      <c r="A1619" s="1">
        <v>43746</v>
      </c>
      <c r="B1619">
        <v>36.700000000000003</v>
      </c>
      <c r="C1619" s="2">
        <f t="shared" si="25"/>
        <v>-1.702053786596781E-2</v>
      </c>
    </row>
    <row r="1620" spans="1:3" x14ac:dyDescent="0.2">
      <c r="A1620" s="1">
        <v>43745</v>
      </c>
      <c r="B1620">
        <v>37.33</v>
      </c>
      <c r="C1620" s="2">
        <f t="shared" si="25"/>
        <v>1.3756117121560722E-2</v>
      </c>
    </row>
    <row r="1621" spans="1:3" x14ac:dyDescent="0.2">
      <c r="A1621" s="1">
        <v>43742</v>
      </c>
      <c r="B1621">
        <v>36.82</v>
      </c>
      <c r="C1621" s="2">
        <f t="shared" si="25"/>
        <v>-1.4291735773894559E-2</v>
      </c>
    </row>
    <row r="1622" spans="1:3" x14ac:dyDescent="0.2">
      <c r="A1622" s="1">
        <v>43741</v>
      </c>
      <c r="B1622">
        <v>37.35</v>
      </c>
      <c r="C1622" s="2">
        <f t="shared" si="25"/>
        <v>5.3691404150582314E-3</v>
      </c>
    </row>
    <row r="1623" spans="1:3" x14ac:dyDescent="0.2">
      <c r="A1623" s="1">
        <v>43740</v>
      </c>
      <c r="B1623">
        <v>37.15</v>
      </c>
      <c r="C1623" s="2">
        <f t="shared" si="25"/>
        <v>-3.9583003869662757E-2</v>
      </c>
    </row>
    <row r="1624" spans="1:3" x14ac:dyDescent="0.2">
      <c r="A1624" s="1">
        <v>43739</v>
      </c>
      <c r="B1624">
        <v>38.65</v>
      </c>
      <c r="C1624" s="2">
        <f t="shared" si="25"/>
        <v>-1.8203297150621731E-2</v>
      </c>
    </row>
    <row r="1625" spans="1:3" x14ac:dyDescent="0.2">
      <c r="A1625" s="1">
        <v>43738</v>
      </c>
      <c r="B1625">
        <v>39.36</v>
      </c>
      <c r="C1625" s="2">
        <f t="shared" si="25"/>
        <v>2.5409732064049273E-4</v>
      </c>
    </row>
    <row r="1626" spans="1:3" x14ac:dyDescent="0.2">
      <c r="A1626" s="1">
        <v>43735</v>
      </c>
      <c r="B1626">
        <v>39.35</v>
      </c>
      <c r="C1626" s="2">
        <f t="shared" si="25"/>
        <v>-3.2982397018685057E-3</v>
      </c>
    </row>
    <row r="1627" spans="1:3" x14ac:dyDescent="0.2">
      <c r="A1627" s="1">
        <v>43734</v>
      </c>
      <c r="B1627">
        <v>39.479999999999997</v>
      </c>
      <c r="C1627" s="2">
        <f t="shared" si="25"/>
        <v>1.0183387390698871E-2</v>
      </c>
    </row>
    <row r="1628" spans="1:3" x14ac:dyDescent="0.2">
      <c r="A1628" s="1">
        <v>43733</v>
      </c>
      <c r="B1628">
        <v>39.08</v>
      </c>
      <c r="C1628" s="2">
        <f t="shared" si="25"/>
        <v>-2.1767500813087117E-2</v>
      </c>
    </row>
    <row r="1629" spans="1:3" x14ac:dyDescent="0.2">
      <c r="A1629" s="1">
        <v>43732</v>
      </c>
      <c r="B1629">
        <v>39.94</v>
      </c>
      <c r="C1629" s="2">
        <f t="shared" si="25"/>
        <v>3.5114156972771184E-3</v>
      </c>
    </row>
    <row r="1630" spans="1:3" x14ac:dyDescent="0.2">
      <c r="A1630" s="1">
        <v>43731</v>
      </c>
      <c r="B1630">
        <v>39.799999999999997</v>
      </c>
      <c r="C1630" s="2">
        <f t="shared" si="25"/>
        <v>0</v>
      </c>
    </row>
    <row r="1631" spans="1:3" x14ac:dyDescent="0.2">
      <c r="A1631" s="1">
        <v>43728</v>
      </c>
      <c r="B1631">
        <v>39.799999999999997</v>
      </c>
      <c r="C1631" s="2">
        <f t="shared" si="25"/>
        <v>2.2638671472318024E-3</v>
      </c>
    </row>
    <row r="1632" spans="1:3" x14ac:dyDescent="0.2">
      <c r="A1632" s="1">
        <v>43727</v>
      </c>
      <c r="B1632">
        <v>39.71</v>
      </c>
      <c r="C1632" s="2">
        <f t="shared" si="25"/>
        <v>6.5689978512766967E-3</v>
      </c>
    </row>
    <row r="1633" spans="1:3" x14ac:dyDescent="0.2">
      <c r="A1633" s="1">
        <v>43726</v>
      </c>
      <c r="B1633">
        <v>39.450000000000003</v>
      </c>
      <c r="C1633" s="2">
        <f t="shared" si="25"/>
        <v>1.5325970478226772E-2</v>
      </c>
    </row>
    <row r="1634" spans="1:3" x14ac:dyDescent="0.2">
      <c r="A1634" s="1">
        <v>43725</v>
      </c>
      <c r="B1634">
        <v>38.85</v>
      </c>
      <c r="C1634" s="2">
        <f t="shared" si="25"/>
        <v>1.5564516541111548E-2</v>
      </c>
    </row>
    <row r="1635" spans="1:3" x14ac:dyDescent="0.2">
      <c r="A1635" s="1">
        <v>43724</v>
      </c>
      <c r="B1635">
        <v>38.25</v>
      </c>
      <c r="C1635" s="2">
        <f t="shared" si="25"/>
        <v>1.5698590351200523E-3</v>
      </c>
    </row>
    <row r="1636" spans="1:3" x14ac:dyDescent="0.2">
      <c r="A1636" s="1">
        <v>43721</v>
      </c>
      <c r="B1636">
        <v>38.19</v>
      </c>
      <c r="C1636" s="2">
        <f t="shared" si="25"/>
        <v>-3.2713799357044548E-2</v>
      </c>
    </row>
    <row r="1637" spans="1:3" x14ac:dyDescent="0.2">
      <c r="A1637" s="1">
        <v>43720</v>
      </c>
      <c r="B1637">
        <v>39.46</v>
      </c>
      <c r="C1637" s="2">
        <f t="shared" si="25"/>
        <v>6.3556842902289801E-3</v>
      </c>
    </row>
    <row r="1638" spans="1:3" x14ac:dyDescent="0.2">
      <c r="A1638" s="1">
        <v>43719</v>
      </c>
      <c r="B1638">
        <v>39.21</v>
      </c>
      <c r="C1638" s="2">
        <f t="shared" si="25"/>
        <v>2.5572877492113295E-2</v>
      </c>
    </row>
    <row r="1639" spans="1:3" x14ac:dyDescent="0.2">
      <c r="A1639" s="1">
        <v>43718</v>
      </c>
      <c r="B1639">
        <v>38.22</v>
      </c>
      <c r="C1639" s="2">
        <f t="shared" si="25"/>
        <v>0</v>
      </c>
    </row>
    <row r="1640" spans="1:3" x14ac:dyDescent="0.2">
      <c r="A1640" s="1">
        <v>43717</v>
      </c>
      <c r="B1640">
        <v>38.22</v>
      </c>
      <c r="C1640" s="2">
        <f t="shared" si="25"/>
        <v>-4.4520014968225864E-2</v>
      </c>
    </row>
    <row r="1641" spans="1:3" x14ac:dyDescent="0.2">
      <c r="A1641" s="1">
        <v>43714</v>
      </c>
      <c r="B1641">
        <v>39.96</v>
      </c>
      <c r="C1641" s="2">
        <f t="shared" si="25"/>
        <v>5.0062579268370143E-4</v>
      </c>
    </row>
    <row r="1642" spans="1:3" x14ac:dyDescent="0.2">
      <c r="A1642" s="1">
        <v>43713</v>
      </c>
      <c r="B1642">
        <v>39.94</v>
      </c>
      <c r="C1642" s="2">
        <f t="shared" si="25"/>
        <v>-1.4417351392813568E-2</v>
      </c>
    </row>
    <row r="1643" spans="1:3" x14ac:dyDescent="0.2">
      <c r="A1643" s="1">
        <v>43712</v>
      </c>
      <c r="B1643">
        <v>40.520000000000003</v>
      </c>
      <c r="C1643" s="2">
        <f t="shared" si="25"/>
        <v>1.4818476408833103E-3</v>
      </c>
    </row>
    <row r="1644" spans="1:3" x14ac:dyDescent="0.2">
      <c r="A1644" s="1">
        <v>43711</v>
      </c>
      <c r="B1644">
        <v>40.46</v>
      </c>
      <c r="C1644" s="2">
        <f t="shared" si="25"/>
        <v>-3.4542348680875576E-3</v>
      </c>
    </row>
    <row r="1645" spans="1:3" x14ac:dyDescent="0.2">
      <c r="A1645" s="1">
        <v>43710</v>
      </c>
      <c r="B1645">
        <v>40.6</v>
      </c>
      <c r="C1645" s="2">
        <f t="shared" si="25"/>
        <v>1.8394751823038406E-2</v>
      </c>
    </row>
    <row r="1646" spans="1:3" x14ac:dyDescent="0.2">
      <c r="A1646" s="1">
        <v>43707</v>
      </c>
      <c r="B1646">
        <v>39.86</v>
      </c>
      <c r="C1646" s="2">
        <f t="shared" si="25"/>
        <v>-9.7366890799237757E-3</v>
      </c>
    </row>
    <row r="1647" spans="1:3" x14ac:dyDescent="0.2">
      <c r="A1647" s="1">
        <v>43706</v>
      </c>
      <c r="B1647">
        <v>40.25</v>
      </c>
      <c r="C1647" s="2">
        <f t="shared" si="25"/>
        <v>7.9820827894423411E-3</v>
      </c>
    </row>
    <row r="1648" spans="1:3" x14ac:dyDescent="0.2">
      <c r="A1648" s="1">
        <v>43705</v>
      </c>
      <c r="B1648">
        <v>39.93</v>
      </c>
      <c r="C1648" s="2">
        <f t="shared" si="25"/>
        <v>-2.5712170483649772E-2</v>
      </c>
    </row>
    <row r="1649" spans="1:3" x14ac:dyDescent="0.2">
      <c r="A1649" s="1">
        <v>43704</v>
      </c>
      <c r="B1649">
        <v>40.97</v>
      </c>
      <c r="C1649" s="2">
        <f t="shared" si="25"/>
        <v>2.6463767662962049E-2</v>
      </c>
    </row>
    <row r="1650" spans="1:3" x14ac:dyDescent="0.2">
      <c r="A1650" s="1">
        <v>43703</v>
      </c>
      <c r="B1650">
        <v>39.9</v>
      </c>
      <c r="C1650" s="2">
        <f t="shared" si="25"/>
        <v>-2.0030051764362016E-3</v>
      </c>
    </row>
    <row r="1651" spans="1:3" x14ac:dyDescent="0.2">
      <c r="A1651" s="1">
        <v>43700</v>
      </c>
      <c r="B1651">
        <v>39.979999999999997</v>
      </c>
      <c r="C1651" s="2">
        <f t="shared" si="25"/>
        <v>1.1825524648954689E-2</v>
      </c>
    </row>
    <row r="1652" spans="1:3" x14ac:dyDescent="0.2">
      <c r="A1652" s="1">
        <v>43699</v>
      </c>
      <c r="B1652">
        <v>39.51</v>
      </c>
      <c r="C1652" s="2">
        <f t="shared" si="25"/>
        <v>-8.5686008129247735E-3</v>
      </c>
    </row>
    <row r="1653" spans="1:3" x14ac:dyDescent="0.2">
      <c r="A1653" s="1">
        <v>43698</v>
      </c>
      <c r="B1653">
        <v>39.85</v>
      </c>
      <c r="C1653" s="2">
        <f t="shared" si="25"/>
        <v>3.0834395891906886E-2</v>
      </c>
    </row>
    <row r="1654" spans="1:3" x14ac:dyDescent="0.2">
      <c r="A1654" s="1">
        <v>43697</v>
      </c>
      <c r="B1654">
        <v>38.64</v>
      </c>
      <c r="C1654" s="2">
        <f t="shared" si="25"/>
        <v>-1.0810916104215617E-2</v>
      </c>
    </row>
    <row r="1655" spans="1:3" x14ac:dyDescent="0.2">
      <c r="A1655" s="1">
        <v>43696</v>
      </c>
      <c r="B1655">
        <v>39.06</v>
      </c>
      <c r="C1655" s="2">
        <f t="shared" si="25"/>
        <v>6.678678819305315E-3</v>
      </c>
    </row>
    <row r="1656" spans="1:3" x14ac:dyDescent="0.2">
      <c r="A1656" s="1">
        <v>43693</v>
      </c>
      <c r="B1656">
        <v>38.799999999999997</v>
      </c>
      <c r="C1656" s="2">
        <f t="shared" si="25"/>
        <v>1.5584731016698111E-2</v>
      </c>
    </row>
    <row r="1657" spans="1:3" x14ac:dyDescent="0.2">
      <c r="A1657" s="1">
        <v>43691</v>
      </c>
      <c r="B1657">
        <v>38.200000000000003</v>
      </c>
      <c r="C1657" s="2">
        <f t="shared" si="25"/>
        <v>-8.3420713173953474E-3</v>
      </c>
    </row>
    <row r="1658" spans="1:3" x14ac:dyDescent="0.2">
      <c r="A1658" s="1">
        <v>43690</v>
      </c>
      <c r="B1658">
        <v>38.520000000000003</v>
      </c>
      <c r="C1658" s="2">
        <f t="shared" si="25"/>
        <v>-8.7878570193691379E-3</v>
      </c>
    </row>
    <row r="1659" spans="1:3" x14ac:dyDescent="0.2">
      <c r="A1659" s="1">
        <v>43689</v>
      </c>
      <c r="B1659">
        <v>38.86</v>
      </c>
      <c r="C1659" s="2">
        <f t="shared" si="25"/>
        <v>-8.2009685671006697E-3</v>
      </c>
    </row>
    <row r="1660" spans="1:3" x14ac:dyDescent="0.2">
      <c r="A1660" s="1">
        <v>43686</v>
      </c>
      <c r="B1660">
        <v>39.18</v>
      </c>
      <c r="C1660" s="2">
        <f t="shared" si="25"/>
        <v>-1.7959253400920642E-2</v>
      </c>
    </row>
    <row r="1661" spans="1:3" x14ac:dyDescent="0.2">
      <c r="A1661" s="1">
        <v>43685</v>
      </c>
      <c r="B1661">
        <v>39.89</v>
      </c>
      <c r="C1661" s="2">
        <f t="shared" si="25"/>
        <v>4.7744782241704786E-3</v>
      </c>
    </row>
    <row r="1662" spans="1:3" x14ac:dyDescent="0.2">
      <c r="A1662" s="1">
        <v>43684</v>
      </c>
      <c r="B1662">
        <v>39.700000000000003</v>
      </c>
      <c r="C1662" s="2">
        <f t="shared" si="25"/>
        <v>1.9586026070780534E-2</v>
      </c>
    </row>
    <row r="1663" spans="1:3" x14ac:dyDescent="0.2">
      <c r="A1663" s="1">
        <v>43683</v>
      </c>
      <c r="B1663">
        <v>38.93</v>
      </c>
      <c r="C1663" s="2">
        <f t="shared" si="25"/>
        <v>2.5720178787884827E-3</v>
      </c>
    </row>
    <row r="1664" spans="1:3" x14ac:dyDescent="0.2">
      <c r="A1664" s="1">
        <v>43682</v>
      </c>
      <c r="B1664">
        <v>38.83</v>
      </c>
      <c r="C1664" s="2">
        <f t="shared" si="25"/>
        <v>-1.9888467890249419E-2</v>
      </c>
    </row>
    <row r="1665" spans="1:3" x14ac:dyDescent="0.2">
      <c r="A1665" s="1">
        <v>43679</v>
      </c>
      <c r="B1665">
        <v>39.61</v>
      </c>
      <c r="C1665" s="2">
        <f t="shared" si="25"/>
        <v>-2.3454168927596625E-2</v>
      </c>
    </row>
    <row r="1666" spans="1:3" x14ac:dyDescent="0.2">
      <c r="A1666" s="1">
        <v>43678</v>
      </c>
      <c r="B1666">
        <v>40.549999999999997</v>
      </c>
      <c r="C1666" s="2">
        <f t="shared" si="25"/>
        <v>4.9333992120458015E-4</v>
      </c>
    </row>
    <row r="1667" spans="1:3" x14ac:dyDescent="0.2">
      <c r="A1667" s="1">
        <v>43677</v>
      </c>
      <c r="B1667">
        <v>40.53</v>
      </c>
      <c r="C1667" s="2">
        <f t="shared" ref="C1667:C1730" si="26">+LN(B1667/B1668)</f>
        <v>1.8426816201380047E-2</v>
      </c>
    </row>
    <row r="1668" spans="1:3" x14ac:dyDescent="0.2">
      <c r="A1668" s="1">
        <v>43676</v>
      </c>
      <c r="B1668">
        <v>39.79</v>
      </c>
      <c r="C1668" s="2">
        <f t="shared" si="26"/>
        <v>-8.7577189293548269E-3</v>
      </c>
    </row>
    <row r="1669" spans="1:3" x14ac:dyDescent="0.2">
      <c r="A1669" s="1">
        <v>43675</v>
      </c>
      <c r="B1669">
        <v>40.14</v>
      </c>
      <c r="C1669" s="2">
        <f t="shared" si="26"/>
        <v>-1.2448650929176431E-3</v>
      </c>
    </row>
    <row r="1670" spans="1:3" x14ac:dyDescent="0.2">
      <c r="A1670" s="1">
        <v>43672</v>
      </c>
      <c r="B1670">
        <v>40.19</v>
      </c>
      <c r="C1670" s="2">
        <f t="shared" si="26"/>
        <v>2.2418741485861109E-3</v>
      </c>
    </row>
    <row r="1671" spans="1:3" x14ac:dyDescent="0.2">
      <c r="A1671" s="1">
        <v>43671</v>
      </c>
      <c r="B1671">
        <v>40.1</v>
      </c>
      <c r="C1671" s="2">
        <f t="shared" si="26"/>
        <v>-7.2058952627979834E-3</v>
      </c>
    </row>
    <row r="1672" spans="1:3" x14ac:dyDescent="0.2">
      <c r="A1672" s="1">
        <v>43670</v>
      </c>
      <c r="B1672">
        <v>40.39</v>
      </c>
      <c r="C1672" s="2">
        <f t="shared" si="26"/>
        <v>1.1454308500191539E-2</v>
      </c>
    </row>
    <row r="1673" spans="1:3" x14ac:dyDescent="0.2">
      <c r="A1673" s="1">
        <v>43669</v>
      </c>
      <c r="B1673">
        <v>39.93</v>
      </c>
      <c r="C1673" s="2">
        <f t="shared" si="26"/>
        <v>4.015061855530651E-3</v>
      </c>
    </row>
    <row r="1674" spans="1:3" x14ac:dyDescent="0.2">
      <c r="A1674" s="1">
        <v>43668</v>
      </c>
      <c r="B1674">
        <v>39.770000000000003</v>
      </c>
      <c r="C1674" s="2">
        <f t="shared" si="26"/>
        <v>3.7788179491946034E-3</v>
      </c>
    </row>
    <row r="1675" spans="1:3" x14ac:dyDescent="0.2">
      <c r="A1675" s="1">
        <v>43665</v>
      </c>
      <c r="B1675">
        <v>39.619999999999997</v>
      </c>
      <c r="C1675" s="2">
        <f t="shared" si="26"/>
        <v>-7.5690681045211938E-4</v>
      </c>
    </row>
    <row r="1676" spans="1:3" x14ac:dyDescent="0.2">
      <c r="A1676" s="1">
        <v>43664</v>
      </c>
      <c r="B1676">
        <v>39.65</v>
      </c>
      <c r="C1676" s="2">
        <f t="shared" si="26"/>
        <v>1.1159131776616675E-2</v>
      </c>
    </row>
    <row r="1677" spans="1:3" x14ac:dyDescent="0.2">
      <c r="A1677" s="1">
        <v>43663</v>
      </c>
      <c r="B1677">
        <v>39.21</v>
      </c>
      <c r="C1677" s="2">
        <f t="shared" si="26"/>
        <v>-3.0557701394778847E-3</v>
      </c>
    </row>
    <row r="1678" spans="1:3" x14ac:dyDescent="0.2">
      <c r="A1678" s="1">
        <v>43662</v>
      </c>
      <c r="B1678">
        <v>39.33</v>
      </c>
      <c r="C1678" s="2">
        <f t="shared" si="26"/>
        <v>7.6306756850264858E-4</v>
      </c>
    </row>
    <row r="1679" spans="1:3" x14ac:dyDescent="0.2">
      <c r="A1679" s="1">
        <v>43661</v>
      </c>
      <c r="B1679">
        <v>39.299999999999997</v>
      </c>
      <c r="C1679" s="2">
        <f t="shared" si="26"/>
        <v>2.056627758147702E-2</v>
      </c>
    </row>
    <row r="1680" spans="1:3" x14ac:dyDescent="0.2">
      <c r="A1680" s="1">
        <v>43658</v>
      </c>
      <c r="B1680">
        <v>38.5</v>
      </c>
      <c r="C1680" s="2">
        <f t="shared" si="26"/>
        <v>-5.1934563618635972E-4</v>
      </c>
    </row>
    <row r="1681" spans="1:3" x14ac:dyDescent="0.2">
      <c r="A1681" s="1">
        <v>43657</v>
      </c>
      <c r="B1681">
        <v>38.520000000000003</v>
      </c>
      <c r="C1681" s="2">
        <f t="shared" si="26"/>
        <v>1.3591427203539211E-2</v>
      </c>
    </row>
    <row r="1682" spans="1:3" x14ac:dyDescent="0.2">
      <c r="A1682" s="1">
        <v>43656</v>
      </c>
      <c r="B1682">
        <v>38</v>
      </c>
      <c r="C1682" s="2">
        <f t="shared" si="26"/>
        <v>7.3957019611289926E-3</v>
      </c>
    </row>
    <row r="1683" spans="1:3" x14ac:dyDescent="0.2">
      <c r="A1683" s="1">
        <v>43655</v>
      </c>
      <c r="B1683">
        <v>37.72</v>
      </c>
      <c r="C1683" s="2">
        <f t="shared" si="26"/>
        <v>-1.3953102507288116E-2</v>
      </c>
    </row>
    <row r="1684" spans="1:3" x14ac:dyDescent="0.2">
      <c r="A1684" s="1">
        <v>43654</v>
      </c>
      <c r="B1684">
        <v>38.25</v>
      </c>
      <c r="C1684" s="2">
        <f t="shared" si="26"/>
        <v>1.7405502696458155E-2</v>
      </c>
    </row>
    <row r="1685" spans="1:3" x14ac:dyDescent="0.2">
      <c r="A1685" s="1">
        <v>43651</v>
      </c>
      <c r="B1685">
        <v>37.590000000000003</v>
      </c>
      <c r="C1685" s="2">
        <f t="shared" si="26"/>
        <v>-3.7174764001323087E-3</v>
      </c>
    </row>
    <row r="1686" spans="1:3" x14ac:dyDescent="0.2">
      <c r="A1686" s="1">
        <v>43650</v>
      </c>
      <c r="B1686">
        <v>37.729999999999997</v>
      </c>
      <c r="C1686" s="2">
        <f t="shared" si="26"/>
        <v>3.7174764001323521E-3</v>
      </c>
    </row>
    <row r="1687" spans="1:3" x14ac:dyDescent="0.2">
      <c r="A1687" s="1">
        <v>43649</v>
      </c>
      <c r="B1687">
        <v>37.590000000000003</v>
      </c>
      <c r="C1687" s="2">
        <f t="shared" si="26"/>
        <v>1.0698149639108177E-2</v>
      </c>
    </row>
    <row r="1688" spans="1:3" x14ac:dyDescent="0.2">
      <c r="A1688" s="1">
        <v>43648</v>
      </c>
      <c r="B1688">
        <v>37.19</v>
      </c>
      <c r="C1688" s="2">
        <f t="shared" si="26"/>
        <v>1.0813838820295591E-2</v>
      </c>
    </row>
    <row r="1689" spans="1:3" x14ac:dyDescent="0.2">
      <c r="A1689" s="1">
        <v>43647</v>
      </c>
      <c r="B1689">
        <v>36.79</v>
      </c>
      <c r="C1689" s="2">
        <f t="shared" si="26"/>
        <v>3.539826705124208E-3</v>
      </c>
    </row>
    <row r="1690" spans="1:3" x14ac:dyDescent="0.2">
      <c r="A1690" s="1">
        <v>43644</v>
      </c>
      <c r="B1690">
        <v>36.659999999999997</v>
      </c>
      <c r="C1690" s="2">
        <f t="shared" si="26"/>
        <v>1.5393377072723617E-2</v>
      </c>
    </row>
    <row r="1691" spans="1:3" x14ac:dyDescent="0.2">
      <c r="A1691" s="1">
        <v>43643</v>
      </c>
      <c r="B1691">
        <v>36.1</v>
      </c>
      <c r="C1691" s="2">
        <f t="shared" si="26"/>
        <v>-5.8003200874092121E-3</v>
      </c>
    </row>
    <row r="1692" spans="1:3" x14ac:dyDescent="0.2">
      <c r="A1692" s="1">
        <v>43642</v>
      </c>
      <c r="B1692">
        <v>36.31</v>
      </c>
      <c r="C1692" s="2">
        <f t="shared" si="26"/>
        <v>-1.041105294094617E-2</v>
      </c>
    </row>
    <row r="1693" spans="1:3" x14ac:dyDescent="0.2">
      <c r="A1693" s="1">
        <v>43641</v>
      </c>
      <c r="B1693">
        <v>36.69</v>
      </c>
      <c r="C1693" s="2">
        <f t="shared" si="26"/>
        <v>1.3168914589640732E-2</v>
      </c>
    </row>
    <row r="1694" spans="1:3" x14ac:dyDescent="0.2">
      <c r="A1694" s="1">
        <v>43640</v>
      </c>
      <c r="B1694">
        <v>36.21</v>
      </c>
      <c r="C1694" s="2">
        <f t="shared" si="26"/>
        <v>-3.2067965211472482E-2</v>
      </c>
    </row>
    <row r="1695" spans="1:3" x14ac:dyDescent="0.2">
      <c r="A1695" s="1">
        <v>43637</v>
      </c>
      <c r="B1695">
        <v>37.39</v>
      </c>
      <c r="C1695" s="2">
        <f t="shared" si="26"/>
        <v>2.4099623392525612E-3</v>
      </c>
    </row>
    <row r="1696" spans="1:3" x14ac:dyDescent="0.2">
      <c r="A1696" s="1">
        <v>43636</v>
      </c>
      <c r="B1696">
        <v>37.299999999999997</v>
      </c>
      <c r="C1696" s="2">
        <f t="shared" si="26"/>
        <v>8.6161006907909711E-3</v>
      </c>
    </row>
    <row r="1697" spans="1:3" x14ac:dyDescent="0.2">
      <c r="A1697" s="1">
        <v>43635</v>
      </c>
      <c r="B1697">
        <v>36.979999999999997</v>
      </c>
      <c r="C1697" s="2">
        <f t="shared" si="26"/>
        <v>1.4710153567221199E-2</v>
      </c>
    </row>
    <row r="1698" spans="1:3" x14ac:dyDescent="0.2">
      <c r="A1698" s="1">
        <v>43634</v>
      </c>
      <c r="B1698">
        <v>36.44</v>
      </c>
      <c r="C1698" s="2">
        <f t="shared" si="26"/>
        <v>1.2981814684225053E-2</v>
      </c>
    </row>
    <row r="1699" spans="1:3" x14ac:dyDescent="0.2">
      <c r="A1699" s="1">
        <v>43633</v>
      </c>
      <c r="B1699">
        <v>35.97</v>
      </c>
      <c r="C1699" s="2">
        <f t="shared" si="26"/>
        <v>-2.9583094034563242E-2</v>
      </c>
    </row>
    <row r="1700" spans="1:3" x14ac:dyDescent="0.2">
      <c r="A1700" s="1">
        <v>43630</v>
      </c>
      <c r="B1700">
        <v>37.049999999999997</v>
      </c>
      <c r="C1700" s="2">
        <f t="shared" si="26"/>
        <v>-9.4023526783903934E-3</v>
      </c>
    </row>
    <row r="1701" spans="1:3" x14ac:dyDescent="0.2">
      <c r="A1701" s="1">
        <v>43629</v>
      </c>
      <c r="B1701">
        <v>37.4</v>
      </c>
      <c r="C1701" s="2">
        <f t="shared" si="26"/>
        <v>-5.5992680617587909E-3</v>
      </c>
    </row>
    <row r="1702" spans="1:3" x14ac:dyDescent="0.2">
      <c r="A1702" s="1">
        <v>43628</v>
      </c>
      <c r="B1702">
        <v>37.61</v>
      </c>
      <c r="C1702" s="2">
        <f t="shared" si="26"/>
        <v>-5.3163212310098956E-4</v>
      </c>
    </row>
    <row r="1703" spans="1:3" x14ac:dyDescent="0.2">
      <c r="A1703" s="1">
        <v>43627</v>
      </c>
      <c r="B1703">
        <v>37.630000000000003</v>
      </c>
      <c r="C1703" s="2">
        <f t="shared" si="26"/>
        <v>-1.1887605317818522E-2</v>
      </c>
    </row>
    <row r="1704" spans="1:3" x14ac:dyDescent="0.2">
      <c r="A1704" s="1">
        <v>43626</v>
      </c>
      <c r="B1704">
        <v>38.08</v>
      </c>
      <c r="C1704" s="2">
        <f t="shared" si="26"/>
        <v>-5.2507220949084092E-4</v>
      </c>
    </row>
    <row r="1705" spans="1:3" x14ac:dyDescent="0.2">
      <c r="A1705" s="1">
        <v>43623</v>
      </c>
      <c r="B1705">
        <v>38.1</v>
      </c>
      <c r="C1705" s="2">
        <f t="shared" si="26"/>
        <v>3.6813083909282302E-3</v>
      </c>
    </row>
    <row r="1706" spans="1:3" x14ac:dyDescent="0.2">
      <c r="A1706" s="1">
        <v>43622</v>
      </c>
      <c r="B1706">
        <v>37.96</v>
      </c>
      <c r="C1706" s="2">
        <f t="shared" si="26"/>
        <v>-1.05318598465859E-3</v>
      </c>
    </row>
    <row r="1707" spans="1:3" x14ac:dyDescent="0.2">
      <c r="A1707" s="1">
        <v>43621</v>
      </c>
      <c r="B1707">
        <v>38</v>
      </c>
      <c r="C1707" s="2">
        <f t="shared" si="26"/>
        <v>1.2978595632589952E-2</v>
      </c>
    </row>
    <row r="1708" spans="1:3" x14ac:dyDescent="0.2">
      <c r="A1708" s="1">
        <v>43620</v>
      </c>
      <c r="B1708">
        <v>37.51</v>
      </c>
      <c r="C1708" s="2">
        <f t="shared" si="26"/>
        <v>-2.6656004422809064E-4</v>
      </c>
    </row>
    <row r="1709" spans="1:3" x14ac:dyDescent="0.2">
      <c r="A1709" s="1">
        <v>43619</v>
      </c>
      <c r="B1709">
        <v>37.520000000000003</v>
      </c>
      <c r="C1709" s="2">
        <f t="shared" si="26"/>
        <v>1.3956211493799558E-2</v>
      </c>
    </row>
    <row r="1710" spans="1:3" x14ac:dyDescent="0.2">
      <c r="A1710" s="1">
        <v>43616</v>
      </c>
      <c r="B1710">
        <v>37</v>
      </c>
      <c r="C1710" s="2">
        <f t="shared" si="26"/>
        <v>1.0816658707409699E-3</v>
      </c>
    </row>
    <row r="1711" spans="1:3" x14ac:dyDescent="0.2">
      <c r="A1711" s="1">
        <v>43615</v>
      </c>
      <c r="B1711">
        <v>36.96</v>
      </c>
      <c r="C1711" s="2">
        <f t="shared" si="26"/>
        <v>2.9806281381377199E-3</v>
      </c>
    </row>
    <row r="1712" spans="1:3" x14ac:dyDescent="0.2">
      <c r="A1712" s="1">
        <v>43614</v>
      </c>
      <c r="B1712">
        <v>36.85</v>
      </c>
      <c r="C1712" s="2">
        <f t="shared" si="26"/>
        <v>6.2610793889810662E-3</v>
      </c>
    </row>
    <row r="1713" spans="1:3" x14ac:dyDescent="0.2">
      <c r="A1713" s="1">
        <v>43613</v>
      </c>
      <c r="B1713">
        <v>36.619999999999997</v>
      </c>
      <c r="C1713" s="2">
        <f t="shared" si="26"/>
        <v>7.400335266836108E-3</v>
      </c>
    </row>
    <row r="1714" spans="1:3" x14ac:dyDescent="0.2">
      <c r="A1714" s="1">
        <v>43612</v>
      </c>
      <c r="B1714">
        <v>36.35</v>
      </c>
      <c r="C1714" s="2">
        <f t="shared" si="26"/>
        <v>-9.3100343876622478E-3</v>
      </c>
    </row>
    <row r="1715" spans="1:3" x14ac:dyDescent="0.2">
      <c r="A1715" s="1">
        <v>43609</v>
      </c>
      <c r="B1715">
        <v>36.69</v>
      </c>
      <c r="C1715" s="2">
        <f t="shared" si="26"/>
        <v>1.3997758400041485E-2</v>
      </c>
    </row>
    <row r="1716" spans="1:3" x14ac:dyDescent="0.2">
      <c r="A1716" s="1">
        <v>43608</v>
      </c>
      <c r="B1716">
        <v>36.18</v>
      </c>
      <c r="C1716" s="2">
        <f t="shared" si="26"/>
        <v>-1.3725167421115072E-2</v>
      </c>
    </row>
    <row r="1717" spans="1:3" x14ac:dyDescent="0.2">
      <c r="A1717" s="1">
        <v>43607</v>
      </c>
      <c r="B1717">
        <v>36.68</v>
      </c>
      <c r="C1717" s="2">
        <f t="shared" si="26"/>
        <v>-1.0846093309390212E-2</v>
      </c>
    </row>
    <row r="1718" spans="1:3" x14ac:dyDescent="0.2">
      <c r="A1718" s="1">
        <v>43606</v>
      </c>
      <c r="B1718">
        <v>37.08</v>
      </c>
      <c r="C1718" s="2">
        <f t="shared" si="26"/>
        <v>1.4396554501866934E-2</v>
      </c>
    </row>
    <row r="1719" spans="1:3" x14ac:dyDescent="0.2">
      <c r="A1719" s="1">
        <v>43605</v>
      </c>
      <c r="B1719">
        <v>36.549999999999997</v>
      </c>
      <c r="C1719" s="2">
        <f t="shared" si="26"/>
        <v>2.7363524592676099E-4</v>
      </c>
    </row>
    <row r="1720" spans="1:3" x14ac:dyDescent="0.2">
      <c r="A1720" s="1">
        <v>43602</v>
      </c>
      <c r="B1720">
        <v>36.54</v>
      </c>
      <c r="C1720" s="2">
        <f t="shared" si="26"/>
        <v>-1.0940920128589032E-3</v>
      </c>
    </row>
    <row r="1721" spans="1:3" x14ac:dyDescent="0.2">
      <c r="A1721" s="1">
        <v>43601</v>
      </c>
      <c r="B1721">
        <v>36.58</v>
      </c>
      <c r="C1721" s="2">
        <f t="shared" si="26"/>
        <v>3.476918159166581E-2</v>
      </c>
    </row>
    <row r="1722" spans="1:3" x14ac:dyDescent="0.2">
      <c r="A1722" s="1">
        <v>43600</v>
      </c>
      <c r="B1722">
        <v>35.33</v>
      </c>
      <c r="C1722" s="2">
        <f t="shared" si="26"/>
        <v>2.3483324261141917E-2</v>
      </c>
    </row>
    <row r="1723" spans="1:3" x14ac:dyDescent="0.2">
      <c r="A1723" s="1">
        <v>43599</v>
      </c>
      <c r="B1723">
        <v>34.51</v>
      </c>
      <c r="C1723" s="2">
        <f t="shared" si="26"/>
        <v>1.8719470280231746E-2</v>
      </c>
    </row>
    <row r="1724" spans="1:3" x14ac:dyDescent="0.2">
      <c r="A1724" s="1">
        <v>43598</v>
      </c>
      <c r="B1724">
        <v>33.869999999999997</v>
      </c>
      <c r="C1724" s="2">
        <f t="shared" si="26"/>
        <v>-3.7663779656210858E-2</v>
      </c>
    </row>
    <row r="1725" spans="1:3" x14ac:dyDescent="0.2">
      <c r="A1725" s="1">
        <v>43595</v>
      </c>
      <c r="B1725">
        <v>35.17</v>
      </c>
      <c r="C1725" s="2">
        <f t="shared" si="26"/>
        <v>-5.6705567314979909E-3</v>
      </c>
    </row>
    <row r="1726" spans="1:3" x14ac:dyDescent="0.2">
      <c r="A1726" s="1">
        <v>43594</v>
      </c>
      <c r="B1726">
        <v>35.369999999999997</v>
      </c>
      <c r="C1726" s="2">
        <f t="shared" si="26"/>
        <v>-3.062600160319965E-2</v>
      </c>
    </row>
    <row r="1727" spans="1:3" x14ac:dyDescent="0.2">
      <c r="A1727" s="1">
        <v>43593</v>
      </c>
      <c r="B1727">
        <v>36.47</v>
      </c>
      <c r="C1727" s="2">
        <f t="shared" si="26"/>
        <v>2.2460392385594535E-2</v>
      </c>
    </row>
    <row r="1728" spans="1:3" x14ac:dyDescent="0.2">
      <c r="A1728" s="1">
        <v>43592</v>
      </c>
      <c r="B1728">
        <v>35.659999999999997</v>
      </c>
      <c r="C1728" s="2">
        <f t="shared" si="26"/>
        <v>5.9063594568575699E-3</v>
      </c>
    </row>
    <row r="1729" spans="1:3" x14ac:dyDescent="0.2">
      <c r="A1729" s="1">
        <v>43591</v>
      </c>
      <c r="B1729">
        <v>35.450000000000003</v>
      </c>
      <c r="C1729" s="2">
        <f t="shared" si="26"/>
        <v>-2.0659584597514363E-2</v>
      </c>
    </row>
    <row r="1730" spans="1:3" x14ac:dyDescent="0.2">
      <c r="A1730" s="1">
        <v>43588</v>
      </c>
      <c r="B1730">
        <v>36.19</v>
      </c>
      <c r="C1730" s="2">
        <f t="shared" si="26"/>
        <v>5.5279161164443482E-4</v>
      </c>
    </row>
    <row r="1731" spans="1:3" x14ac:dyDescent="0.2">
      <c r="A1731" s="1">
        <v>43587</v>
      </c>
      <c r="B1731">
        <v>36.17</v>
      </c>
      <c r="C1731" s="2">
        <f t="shared" ref="C1731:C1794" si="27">+LN(B1731/B1732)</f>
        <v>4.9889238730673434E-3</v>
      </c>
    </row>
    <row r="1732" spans="1:3" x14ac:dyDescent="0.2">
      <c r="A1732" s="1">
        <v>43585</v>
      </c>
      <c r="B1732">
        <v>35.99</v>
      </c>
      <c r="C1732" s="2">
        <f t="shared" si="27"/>
        <v>5.5586438340674677E-4</v>
      </c>
    </row>
    <row r="1733" spans="1:3" x14ac:dyDescent="0.2">
      <c r="A1733" s="1">
        <v>43584</v>
      </c>
      <c r="B1733">
        <v>35.97</v>
      </c>
      <c r="C1733" s="2">
        <f t="shared" si="27"/>
        <v>-6.6500660700173075E-3</v>
      </c>
    </row>
    <row r="1734" spans="1:3" x14ac:dyDescent="0.2">
      <c r="A1734" s="1">
        <v>43581</v>
      </c>
      <c r="B1734">
        <v>36.21</v>
      </c>
      <c r="C1734" s="2">
        <f t="shared" si="27"/>
        <v>1.8676501051044493E-2</v>
      </c>
    </row>
    <row r="1735" spans="1:3" x14ac:dyDescent="0.2">
      <c r="A1735" s="1">
        <v>43580</v>
      </c>
      <c r="B1735">
        <v>35.54</v>
      </c>
      <c r="C1735" s="2">
        <f t="shared" si="27"/>
        <v>8.4447577150873864E-4</v>
      </c>
    </row>
    <row r="1736" spans="1:3" x14ac:dyDescent="0.2">
      <c r="A1736" s="1">
        <v>43579</v>
      </c>
      <c r="B1736">
        <v>35.51</v>
      </c>
      <c r="C1736" s="2">
        <f t="shared" si="27"/>
        <v>-1.1758254170430868E-2</v>
      </c>
    </row>
    <row r="1737" spans="1:3" x14ac:dyDescent="0.2">
      <c r="A1737" s="1">
        <v>43578</v>
      </c>
      <c r="B1737">
        <v>35.93</v>
      </c>
      <c r="C1737" s="2">
        <f t="shared" si="27"/>
        <v>1.2603443684048674E-2</v>
      </c>
    </row>
    <row r="1738" spans="1:3" x14ac:dyDescent="0.2">
      <c r="A1738" s="1">
        <v>43573</v>
      </c>
      <c r="B1738">
        <v>35.479999999999997</v>
      </c>
      <c r="C1738" s="2">
        <f t="shared" si="27"/>
        <v>-5.6353903999145887E-4</v>
      </c>
    </row>
    <row r="1739" spans="1:3" x14ac:dyDescent="0.2">
      <c r="A1739" s="1">
        <v>43572</v>
      </c>
      <c r="B1739">
        <v>35.5</v>
      </c>
      <c r="C1739" s="2">
        <f t="shared" si="27"/>
        <v>-1.6760168857465188E-2</v>
      </c>
    </row>
    <row r="1740" spans="1:3" x14ac:dyDescent="0.2">
      <c r="A1740" s="1">
        <v>43571</v>
      </c>
      <c r="B1740">
        <v>36.1</v>
      </c>
      <c r="C1740" s="2">
        <f t="shared" si="27"/>
        <v>-1.5666116744399463E-2</v>
      </c>
    </row>
    <row r="1741" spans="1:3" x14ac:dyDescent="0.2">
      <c r="A1741" s="1">
        <v>43570</v>
      </c>
      <c r="B1741">
        <v>36.67</v>
      </c>
      <c r="C1741" s="2">
        <f t="shared" si="27"/>
        <v>1.04167608582558E-2</v>
      </c>
    </row>
    <row r="1742" spans="1:3" x14ac:dyDescent="0.2">
      <c r="A1742" s="1">
        <v>43567</v>
      </c>
      <c r="B1742">
        <v>36.29</v>
      </c>
      <c r="C1742" s="2">
        <f t="shared" si="27"/>
        <v>3.5886857010033681E-3</v>
      </c>
    </row>
    <row r="1743" spans="1:3" x14ac:dyDescent="0.2">
      <c r="A1743" s="1">
        <v>43566</v>
      </c>
      <c r="B1743">
        <v>36.159999999999997</v>
      </c>
      <c r="C1743" s="2">
        <f t="shared" si="27"/>
        <v>2.7693177488043118E-3</v>
      </c>
    </row>
    <row r="1744" spans="1:3" x14ac:dyDescent="0.2">
      <c r="A1744" s="1">
        <v>43565</v>
      </c>
      <c r="B1744">
        <v>36.06</v>
      </c>
      <c r="C1744" s="2">
        <f t="shared" si="27"/>
        <v>6.6778211426054479E-3</v>
      </c>
    </row>
    <row r="1745" spans="1:3" x14ac:dyDescent="0.2">
      <c r="A1745" s="1">
        <v>43564</v>
      </c>
      <c r="B1745">
        <v>35.82</v>
      </c>
      <c r="C1745" s="2">
        <f t="shared" si="27"/>
        <v>-8.893888531516729E-3</v>
      </c>
    </row>
    <row r="1746" spans="1:3" x14ac:dyDescent="0.2">
      <c r="A1746" s="1">
        <v>43563</v>
      </c>
      <c r="B1746">
        <v>36.14</v>
      </c>
      <c r="C1746" s="2">
        <f t="shared" si="27"/>
        <v>1.3844665093852341E-3</v>
      </c>
    </row>
    <row r="1747" spans="1:3" x14ac:dyDescent="0.2">
      <c r="A1747" s="1">
        <v>43560</v>
      </c>
      <c r="B1747">
        <v>36.090000000000003</v>
      </c>
      <c r="C1747" s="2">
        <f t="shared" si="27"/>
        <v>1.7046661213318662E-2</v>
      </c>
    </row>
    <row r="1748" spans="1:3" x14ac:dyDescent="0.2">
      <c r="A1748" s="1">
        <v>43559</v>
      </c>
      <c r="B1748">
        <v>35.479999999999997</v>
      </c>
      <c r="C1748" s="2">
        <f t="shared" si="27"/>
        <v>-1.0095430665351141E-2</v>
      </c>
    </row>
    <row r="1749" spans="1:3" x14ac:dyDescent="0.2">
      <c r="A1749" s="1">
        <v>43558</v>
      </c>
      <c r="B1749">
        <v>35.840000000000003</v>
      </c>
      <c r="C1749" s="2">
        <f t="shared" si="27"/>
        <v>6.9998885846283328E-3</v>
      </c>
    </row>
    <row r="1750" spans="1:3" x14ac:dyDescent="0.2">
      <c r="A1750" s="1">
        <v>43557</v>
      </c>
      <c r="B1750">
        <v>35.590000000000003</v>
      </c>
      <c r="C1750" s="2">
        <f t="shared" si="27"/>
        <v>1.8146230842281955E-2</v>
      </c>
    </row>
    <row r="1751" spans="1:3" x14ac:dyDescent="0.2">
      <c r="A1751" s="1">
        <v>43556</v>
      </c>
      <c r="B1751">
        <v>34.950000000000003</v>
      </c>
      <c r="C1751" s="2">
        <f t="shared" si="27"/>
        <v>6.8906388061244503E-3</v>
      </c>
    </row>
    <row r="1752" spans="1:3" x14ac:dyDescent="0.2">
      <c r="A1752" s="1">
        <v>43553</v>
      </c>
      <c r="B1752">
        <v>34.71</v>
      </c>
      <c r="C1752" s="2">
        <f t="shared" si="27"/>
        <v>1.1008222404094293E-2</v>
      </c>
    </row>
    <row r="1753" spans="1:3" x14ac:dyDescent="0.2">
      <c r="A1753" s="1">
        <v>43552</v>
      </c>
      <c r="B1753">
        <v>34.33</v>
      </c>
      <c r="C1753" s="2">
        <f t="shared" si="27"/>
        <v>-3.5201803176103275E-2</v>
      </c>
    </row>
    <row r="1754" spans="1:3" x14ac:dyDescent="0.2">
      <c r="A1754" s="1">
        <v>43551</v>
      </c>
      <c r="B1754">
        <v>35.56</v>
      </c>
      <c r="C1754" s="2">
        <f t="shared" si="27"/>
        <v>-9.2372945138120485E-3</v>
      </c>
    </row>
    <row r="1755" spans="1:3" x14ac:dyDescent="0.2">
      <c r="A1755" s="1">
        <v>43550</v>
      </c>
      <c r="B1755">
        <v>35.89</v>
      </c>
      <c r="C1755" s="2">
        <f t="shared" si="27"/>
        <v>3.9084360194992116E-3</v>
      </c>
    </row>
    <row r="1756" spans="1:3" x14ac:dyDescent="0.2">
      <c r="A1756" s="1">
        <v>43549</v>
      </c>
      <c r="B1756">
        <v>35.75</v>
      </c>
      <c r="C1756" s="2">
        <f t="shared" si="27"/>
        <v>3.0816665374081144E-3</v>
      </c>
    </row>
    <row r="1757" spans="1:3" x14ac:dyDescent="0.2">
      <c r="A1757" s="1">
        <v>43546</v>
      </c>
      <c r="B1757">
        <v>35.64</v>
      </c>
      <c r="C1757" s="2">
        <f t="shared" si="27"/>
        <v>-2.5486143983340766E-2</v>
      </c>
    </row>
    <row r="1758" spans="1:3" x14ac:dyDescent="0.2">
      <c r="A1758" s="1">
        <v>43545</v>
      </c>
      <c r="B1758">
        <v>36.56</v>
      </c>
      <c r="C1758" s="2">
        <f t="shared" si="27"/>
        <v>-5.1834790728964115E-3</v>
      </c>
    </row>
    <row r="1759" spans="1:3" x14ac:dyDescent="0.2">
      <c r="A1759" s="1">
        <v>43544</v>
      </c>
      <c r="B1759">
        <v>36.75</v>
      </c>
      <c r="C1759" s="2">
        <f t="shared" si="27"/>
        <v>2.1792435756110584E-3</v>
      </c>
    </row>
    <row r="1760" spans="1:3" x14ac:dyDescent="0.2">
      <c r="A1760" s="1">
        <v>43543</v>
      </c>
      <c r="B1760">
        <v>36.67</v>
      </c>
      <c r="C1760" s="2">
        <f t="shared" si="27"/>
        <v>1.3728936119228045E-2</v>
      </c>
    </row>
    <row r="1761" spans="1:3" x14ac:dyDescent="0.2">
      <c r="A1761" s="1">
        <v>43542</v>
      </c>
      <c r="B1761">
        <v>36.17</v>
      </c>
      <c r="C1761" s="2">
        <f t="shared" si="27"/>
        <v>3.8781212040047424E-3</v>
      </c>
    </row>
    <row r="1762" spans="1:3" x14ac:dyDescent="0.2">
      <c r="A1762" s="1">
        <v>43539</v>
      </c>
      <c r="B1762">
        <v>36.03</v>
      </c>
      <c r="C1762" s="2">
        <f t="shared" si="27"/>
        <v>3.0719620054091401E-2</v>
      </c>
    </row>
    <row r="1763" spans="1:3" x14ac:dyDescent="0.2">
      <c r="A1763" s="1">
        <v>43538</v>
      </c>
      <c r="B1763">
        <v>34.94</v>
      </c>
      <c r="C1763" s="2">
        <f t="shared" si="27"/>
        <v>1.2093438490683117E-2</v>
      </c>
    </row>
    <row r="1764" spans="1:3" x14ac:dyDescent="0.2">
      <c r="A1764" s="1">
        <v>43537</v>
      </c>
      <c r="B1764">
        <v>34.520000000000003</v>
      </c>
      <c r="C1764" s="2">
        <f t="shared" si="27"/>
        <v>4.3547753534848603E-3</v>
      </c>
    </row>
    <row r="1765" spans="1:3" x14ac:dyDescent="0.2">
      <c r="A1765" s="1">
        <v>43536</v>
      </c>
      <c r="B1765">
        <v>34.369999999999997</v>
      </c>
      <c r="C1765" s="2">
        <f t="shared" si="27"/>
        <v>1.8796441788183568E-2</v>
      </c>
    </row>
    <row r="1766" spans="1:3" x14ac:dyDescent="0.2">
      <c r="A1766" s="1">
        <v>43535</v>
      </c>
      <c r="B1766">
        <v>33.729999999999997</v>
      </c>
      <c r="C1766" s="2">
        <f t="shared" si="27"/>
        <v>-1.1851853239176059E-3</v>
      </c>
    </row>
    <row r="1767" spans="1:3" x14ac:dyDescent="0.2">
      <c r="A1767" s="1">
        <v>43532</v>
      </c>
      <c r="B1767">
        <v>33.770000000000003</v>
      </c>
      <c r="C1767" s="2">
        <f t="shared" si="27"/>
        <v>-4.726744398662385E-3</v>
      </c>
    </row>
    <row r="1768" spans="1:3" x14ac:dyDescent="0.2">
      <c r="A1768" s="1">
        <v>43531</v>
      </c>
      <c r="B1768">
        <v>33.93</v>
      </c>
      <c r="C1768" s="2">
        <f t="shared" si="27"/>
        <v>2.3605794378547657E-3</v>
      </c>
    </row>
    <row r="1769" spans="1:3" x14ac:dyDescent="0.2">
      <c r="A1769" s="1">
        <v>43530</v>
      </c>
      <c r="B1769">
        <v>33.85</v>
      </c>
      <c r="C1769" s="2">
        <f t="shared" si="27"/>
        <v>-4.4215252578773739E-3</v>
      </c>
    </row>
    <row r="1770" spans="1:3" x14ac:dyDescent="0.2">
      <c r="A1770" s="1">
        <v>43529</v>
      </c>
      <c r="B1770">
        <v>34</v>
      </c>
      <c r="C1770" s="2">
        <f t="shared" si="27"/>
        <v>4.4215252578772559E-3</v>
      </c>
    </row>
    <row r="1771" spans="1:3" x14ac:dyDescent="0.2">
      <c r="A1771" s="1">
        <v>43528</v>
      </c>
      <c r="B1771">
        <v>33.85</v>
      </c>
      <c r="C1771" s="2">
        <f t="shared" si="27"/>
        <v>1.6081347152695609E-2</v>
      </c>
    </row>
    <row r="1772" spans="1:3" x14ac:dyDescent="0.2">
      <c r="A1772" s="1">
        <v>43525</v>
      </c>
      <c r="B1772">
        <v>33.31</v>
      </c>
      <c r="C1772" s="2">
        <f t="shared" si="27"/>
        <v>7.2311252118868853E-3</v>
      </c>
    </row>
    <row r="1773" spans="1:3" x14ac:dyDescent="0.2">
      <c r="A1773" s="1">
        <v>43524</v>
      </c>
      <c r="B1773">
        <v>33.07</v>
      </c>
      <c r="C1773" s="2">
        <f t="shared" si="27"/>
        <v>4.546151184832369E-3</v>
      </c>
    </row>
    <row r="1774" spans="1:3" x14ac:dyDescent="0.2">
      <c r="A1774" s="1">
        <v>43523</v>
      </c>
      <c r="B1774">
        <v>32.92</v>
      </c>
      <c r="C1774" s="2">
        <f t="shared" si="27"/>
        <v>-4.8484943466214087E-3</v>
      </c>
    </row>
    <row r="1775" spans="1:3" x14ac:dyDescent="0.2">
      <c r="A1775" s="1">
        <v>43522</v>
      </c>
      <c r="B1775">
        <v>33.08</v>
      </c>
      <c r="C1775" s="2">
        <f t="shared" si="27"/>
        <v>8.5003547653925253E-3</v>
      </c>
    </row>
    <row r="1776" spans="1:3" x14ac:dyDescent="0.2">
      <c r="A1776" s="1">
        <v>43521</v>
      </c>
      <c r="B1776">
        <v>32.799999999999997</v>
      </c>
      <c r="C1776" s="2">
        <f t="shared" si="27"/>
        <v>-9.1421612340332437E-4</v>
      </c>
    </row>
    <row r="1777" spans="1:3" x14ac:dyDescent="0.2">
      <c r="A1777" s="1">
        <v>43518</v>
      </c>
      <c r="B1777">
        <v>32.83</v>
      </c>
      <c r="C1777" s="2">
        <f t="shared" si="27"/>
        <v>-6.9813608793769478E-3</v>
      </c>
    </row>
    <row r="1778" spans="1:3" x14ac:dyDescent="0.2">
      <c r="A1778" s="1">
        <v>43517</v>
      </c>
      <c r="B1778">
        <v>33.06</v>
      </c>
      <c r="C1778" s="2">
        <f t="shared" si="27"/>
        <v>-1.4116468085259034E-2</v>
      </c>
    </row>
    <row r="1779" spans="1:3" x14ac:dyDescent="0.2">
      <c r="A1779" s="1">
        <v>43516</v>
      </c>
      <c r="B1779">
        <v>33.53</v>
      </c>
      <c r="C1779" s="2">
        <f t="shared" si="27"/>
        <v>5.3827881165044774E-3</v>
      </c>
    </row>
    <row r="1780" spans="1:3" x14ac:dyDescent="0.2">
      <c r="A1780" s="1">
        <v>43515</v>
      </c>
      <c r="B1780">
        <v>33.35</v>
      </c>
      <c r="C1780" s="2">
        <f t="shared" si="27"/>
        <v>-1.8125589081513859E-2</v>
      </c>
    </row>
    <row r="1781" spans="1:3" x14ac:dyDescent="0.2">
      <c r="A1781" s="1">
        <v>43514</v>
      </c>
      <c r="B1781">
        <v>33.96</v>
      </c>
      <c r="C1781" s="2">
        <f t="shared" si="27"/>
        <v>3.8353786505294822E-3</v>
      </c>
    </row>
    <row r="1782" spans="1:3" x14ac:dyDescent="0.2">
      <c r="A1782" s="1">
        <v>43511</v>
      </c>
      <c r="B1782">
        <v>33.83</v>
      </c>
      <c r="C1782" s="2">
        <f t="shared" si="27"/>
        <v>9.2057071787346907E-3</v>
      </c>
    </row>
    <row r="1783" spans="1:3" x14ac:dyDescent="0.2">
      <c r="A1783" s="1">
        <v>43510</v>
      </c>
      <c r="B1783">
        <v>33.520000000000003</v>
      </c>
      <c r="C1783" s="2">
        <f t="shared" si="27"/>
        <v>2.3894873973814854E-3</v>
      </c>
    </row>
    <row r="1784" spans="1:3" x14ac:dyDescent="0.2">
      <c r="A1784" s="1">
        <v>43509</v>
      </c>
      <c r="B1784">
        <v>33.44</v>
      </c>
      <c r="C1784" s="2">
        <f t="shared" si="27"/>
        <v>2.9128272923023637E-2</v>
      </c>
    </row>
    <row r="1785" spans="1:3" x14ac:dyDescent="0.2">
      <c r="A1785" s="1">
        <v>43508</v>
      </c>
      <c r="B1785">
        <v>32.479999999999997</v>
      </c>
      <c r="C1785" s="2">
        <f t="shared" si="27"/>
        <v>1.3639393093318764E-2</v>
      </c>
    </row>
    <row r="1786" spans="1:3" x14ac:dyDescent="0.2">
      <c r="A1786" s="1">
        <v>43507</v>
      </c>
      <c r="B1786">
        <v>32.04</v>
      </c>
      <c r="C1786" s="2">
        <f t="shared" si="27"/>
        <v>1.0668441316923563E-2</v>
      </c>
    </row>
    <row r="1787" spans="1:3" x14ac:dyDescent="0.2">
      <c r="A1787" s="1">
        <v>43504</v>
      </c>
      <c r="B1787">
        <v>31.7</v>
      </c>
      <c r="C1787" s="2">
        <f t="shared" si="27"/>
        <v>-1.8131162518513159E-2</v>
      </c>
    </row>
    <row r="1788" spans="1:3" x14ac:dyDescent="0.2">
      <c r="A1788" s="1">
        <v>43503</v>
      </c>
      <c r="B1788">
        <v>32.28</v>
      </c>
      <c r="C1788" s="2">
        <f t="shared" si="27"/>
        <v>-2.508543898126914E-2</v>
      </c>
    </row>
    <row r="1789" spans="1:3" x14ac:dyDescent="0.2">
      <c r="A1789" s="1">
        <v>43502</v>
      </c>
      <c r="B1789">
        <v>33.1</v>
      </c>
      <c r="C1789" s="2">
        <f t="shared" si="27"/>
        <v>-1.509434248854181E-3</v>
      </c>
    </row>
    <row r="1790" spans="1:3" x14ac:dyDescent="0.2">
      <c r="A1790" s="1">
        <v>43501</v>
      </c>
      <c r="B1790">
        <v>33.15</v>
      </c>
      <c r="C1790" s="2">
        <f t="shared" si="27"/>
        <v>3.1875208530449034E-2</v>
      </c>
    </row>
    <row r="1791" spans="1:3" x14ac:dyDescent="0.2">
      <c r="A1791" s="1">
        <v>43500</v>
      </c>
      <c r="B1791">
        <v>32.11</v>
      </c>
      <c r="C1791" s="2">
        <f t="shared" si="27"/>
        <v>2.2996760796536047E-2</v>
      </c>
    </row>
    <row r="1792" spans="1:3" x14ac:dyDescent="0.2">
      <c r="A1792" s="1">
        <v>43497</v>
      </c>
      <c r="B1792">
        <v>31.38</v>
      </c>
      <c r="C1792" s="2">
        <f t="shared" si="27"/>
        <v>-8.2513955945666354E-3</v>
      </c>
    </row>
    <row r="1793" spans="1:3" x14ac:dyDescent="0.2">
      <c r="A1793" s="1">
        <v>43496</v>
      </c>
      <c r="B1793">
        <v>31.64</v>
      </c>
      <c r="C1793" s="2">
        <f t="shared" si="27"/>
        <v>3.8993178990573502E-2</v>
      </c>
    </row>
    <row r="1794" spans="1:3" x14ac:dyDescent="0.2">
      <c r="A1794" s="1">
        <v>43495</v>
      </c>
      <c r="B1794">
        <v>30.43</v>
      </c>
      <c r="C1794" s="2">
        <f t="shared" si="27"/>
        <v>1.2233579584051269E-2</v>
      </c>
    </row>
    <row r="1795" spans="1:3" x14ac:dyDescent="0.2">
      <c r="A1795" s="1">
        <v>43494</v>
      </c>
      <c r="B1795">
        <v>30.06</v>
      </c>
      <c r="C1795" s="2">
        <f t="shared" ref="C1795:C1858" si="28">+LN(B1795/B1796)</f>
        <v>2.9985029962566329E-3</v>
      </c>
    </row>
    <row r="1796" spans="1:3" x14ac:dyDescent="0.2">
      <c r="A1796" s="1">
        <v>43493</v>
      </c>
      <c r="B1796">
        <v>29.97</v>
      </c>
      <c r="C1796" s="2">
        <f t="shared" si="28"/>
        <v>1.0015023370893786E-3</v>
      </c>
    </row>
    <row r="1797" spans="1:3" x14ac:dyDescent="0.2">
      <c r="A1797" s="1">
        <v>43490</v>
      </c>
      <c r="B1797">
        <v>29.94</v>
      </c>
      <c r="C1797" s="2">
        <f t="shared" si="28"/>
        <v>-7.6526741794874327E-3</v>
      </c>
    </row>
    <row r="1798" spans="1:3" x14ac:dyDescent="0.2">
      <c r="A1798" s="1">
        <v>43489</v>
      </c>
      <c r="B1798">
        <v>30.17</v>
      </c>
      <c r="C1798" s="2">
        <f t="shared" si="28"/>
        <v>-1.7414601422181708E-2</v>
      </c>
    </row>
    <row r="1799" spans="1:3" x14ac:dyDescent="0.2">
      <c r="A1799" s="1">
        <v>43488</v>
      </c>
      <c r="B1799">
        <v>30.7</v>
      </c>
      <c r="C1799" s="2">
        <f t="shared" si="28"/>
        <v>-1.6155440222285256E-2</v>
      </c>
    </row>
    <row r="1800" spans="1:3" x14ac:dyDescent="0.2">
      <c r="A1800" s="1">
        <v>43487</v>
      </c>
      <c r="B1800">
        <v>31.2</v>
      </c>
      <c r="C1800" s="2">
        <f t="shared" si="28"/>
        <v>-1.3371736965889308E-2</v>
      </c>
    </row>
    <row r="1801" spans="1:3" x14ac:dyDescent="0.2">
      <c r="A1801" s="1">
        <v>43486</v>
      </c>
      <c r="B1801">
        <v>31.62</v>
      </c>
      <c r="C1801" s="2">
        <f t="shared" si="28"/>
        <v>2.2710075637300955E-2</v>
      </c>
    </row>
    <row r="1802" spans="1:3" x14ac:dyDescent="0.2">
      <c r="A1802" s="1">
        <v>43483</v>
      </c>
      <c r="B1802">
        <v>30.91</v>
      </c>
      <c r="C1802" s="2">
        <f t="shared" si="28"/>
        <v>5.1897618914979954E-3</v>
      </c>
    </row>
    <row r="1803" spans="1:3" x14ac:dyDescent="0.2">
      <c r="A1803" s="1">
        <v>43482</v>
      </c>
      <c r="B1803">
        <v>30.75</v>
      </c>
      <c r="C1803" s="2">
        <f t="shared" si="28"/>
        <v>2.2790177534714158E-3</v>
      </c>
    </row>
    <row r="1804" spans="1:3" x14ac:dyDescent="0.2">
      <c r="A1804" s="1">
        <v>43481</v>
      </c>
      <c r="B1804">
        <v>30.68</v>
      </c>
      <c r="C1804" s="2">
        <f t="shared" si="28"/>
        <v>2.5083823392778933E-2</v>
      </c>
    </row>
    <row r="1805" spans="1:3" x14ac:dyDescent="0.2">
      <c r="A1805" s="1">
        <v>43480</v>
      </c>
      <c r="B1805">
        <v>29.92</v>
      </c>
      <c r="C1805" s="2">
        <f t="shared" si="28"/>
        <v>9.7397915208026053E-3</v>
      </c>
    </row>
    <row r="1806" spans="1:3" x14ac:dyDescent="0.2">
      <c r="A1806" s="1">
        <v>43479</v>
      </c>
      <c r="B1806">
        <v>29.63</v>
      </c>
      <c r="C1806" s="2">
        <f t="shared" si="28"/>
        <v>-5.7210319258849578E-3</v>
      </c>
    </row>
    <row r="1807" spans="1:3" x14ac:dyDescent="0.2">
      <c r="A1807" s="1">
        <v>43476</v>
      </c>
      <c r="B1807">
        <v>29.8</v>
      </c>
      <c r="C1807" s="2">
        <f t="shared" si="28"/>
        <v>-4.0187595949177438E-3</v>
      </c>
    </row>
    <row r="1808" spans="1:3" x14ac:dyDescent="0.2">
      <c r="A1808" s="1">
        <v>43475</v>
      </c>
      <c r="B1808">
        <v>29.92</v>
      </c>
      <c r="C1808" s="2">
        <f t="shared" si="28"/>
        <v>5.6980211146377959E-3</v>
      </c>
    </row>
    <row r="1809" spans="1:3" x14ac:dyDescent="0.2">
      <c r="A1809" s="1">
        <v>43474</v>
      </c>
      <c r="B1809">
        <v>29.75</v>
      </c>
      <c r="C1809" s="2">
        <f t="shared" si="28"/>
        <v>5.0547706616240543E-3</v>
      </c>
    </row>
    <row r="1810" spans="1:3" x14ac:dyDescent="0.2">
      <c r="A1810" s="1">
        <v>43473</v>
      </c>
      <c r="B1810">
        <v>29.6</v>
      </c>
      <c r="C1810" s="2">
        <f t="shared" si="28"/>
        <v>-5.0547706616240603E-3</v>
      </c>
    </row>
    <row r="1811" spans="1:3" x14ac:dyDescent="0.2">
      <c r="A1811" s="1">
        <v>43472</v>
      </c>
      <c r="B1811">
        <v>29.75</v>
      </c>
      <c r="C1811" s="2">
        <f t="shared" si="28"/>
        <v>-1.2360270940054052E-2</v>
      </c>
    </row>
    <row r="1812" spans="1:3" x14ac:dyDescent="0.2">
      <c r="A1812" s="1">
        <v>43469</v>
      </c>
      <c r="B1812">
        <v>30.12</v>
      </c>
      <c r="C1812" s="2">
        <f t="shared" si="28"/>
        <v>1.068100942033409E-2</v>
      </c>
    </row>
    <row r="1813" spans="1:3" x14ac:dyDescent="0.2">
      <c r="A1813" s="1">
        <v>43468</v>
      </c>
      <c r="B1813">
        <v>29.8</v>
      </c>
      <c r="C1813" s="2">
        <f t="shared" si="28"/>
        <v>-7.3554326939571099E-3</v>
      </c>
    </row>
    <row r="1814" spans="1:3" x14ac:dyDescent="0.2">
      <c r="A1814" s="1">
        <v>43467</v>
      </c>
      <c r="B1814">
        <v>30.02</v>
      </c>
      <c r="C1814" s="2">
        <f t="shared" si="28"/>
        <v>-8.9537988338300473E-3</v>
      </c>
    </row>
    <row r="1815" spans="1:3" x14ac:dyDescent="0.2">
      <c r="A1815" s="1">
        <v>43462</v>
      </c>
      <c r="B1815">
        <v>30.29</v>
      </c>
      <c r="C1815" s="2">
        <f t="shared" si="28"/>
        <v>-2.3492108073211695E-2</v>
      </c>
    </row>
    <row r="1816" spans="1:3" x14ac:dyDescent="0.2">
      <c r="A1816" s="1">
        <v>43461</v>
      </c>
      <c r="B1816">
        <v>31.01</v>
      </c>
      <c r="C1816" s="2">
        <f t="shared" si="28"/>
        <v>2.3162020597034209E-2</v>
      </c>
    </row>
    <row r="1817" spans="1:3" x14ac:dyDescent="0.2">
      <c r="A1817" s="1">
        <v>43455</v>
      </c>
      <c r="B1817">
        <v>30.3</v>
      </c>
      <c r="C1817" s="2">
        <f t="shared" si="28"/>
        <v>2.1685587071589057E-2</v>
      </c>
    </row>
    <row r="1818" spans="1:3" x14ac:dyDescent="0.2">
      <c r="A1818" s="1">
        <v>43454</v>
      </c>
      <c r="B1818">
        <v>29.65</v>
      </c>
      <c r="C1818" s="2">
        <f t="shared" si="28"/>
        <v>1.52934161694984E-2</v>
      </c>
    </row>
    <row r="1819" spans="1:3" x14ac:dyDescent="0.2">
      <c r="A1819" s="1">
        <v>43453</v>
      </c>
      <c r="B1819">
        <v>29.2</v>
      </c>
      <c r="C1819" s="2">
        <f t="shared" si="28"/>
        <v>6.8728792877620504E-3</v>
      </c>
    </row>
    <row r="1820" spans="1:3" x14ac:dyDescent="0.2">
      <c r="A1820" s="1">
        <v>43452</v>
      </c>
      <c r="B1820">
        <v>29</v>
      </c>
      <c r="C1820" s="2">
        <f t="shared" si="28"/>
        <v>1.0398707220898517E-2</v>
      </c>
    </row>
    <row r="1821" spans="1:3" x14ac:dyDescent="0.2">
      <c r="A1821" s="1">
        <v>43451</v>
      </c>
      <c r="B1821">
        <v>28.7</v>
      </c>
      <c r="C1821" s="2">
        <f t="shared" si="28"/>
        <v>3.4904049397683459E-3</v>
      </c>
    </row>
    <row r="1822" spans="1:3" x14ac:dyDescent="0.2">
      <c r="A1822" s="1">
        <v>43448</v>
      </c>
      <c r="B1822">
        <v>28.6</v>
      </c>
      <c r="C1822" s="2">
        <f t="shared" si="28"/>
        <v>7.0175726586465398E-3</v>
      </c>
    </row>
    <row r="1823" spans="1:3" x14ac:dyDescent="0.2">
      <c r="A1823" s="1">
        <v>43447</v>
      </c>
      <c r="B1823">
        <v>28.4</v>
      </c>
      <c r="C1823" s="2">
        <f t="shared" si="28"/>
        <v>-1.0557804957480453E-3</v>
      </c>
    </row>
    <row r="1824" spans="1:3" x14ac:dyDescent="0.2">
      <c r="A1824" s="1">
        <v>43446</v>
      </c>
      <c r="B1824">
        <v>28.43</v>
      </c>
      <c r="C1824" s="2">
        <f t="shared" si="28"/>
        <v>1.8818236835588437E-2</v>
      </c>
    </row>
    <row r="1825" spans="1:3" x14ac:dyDescent="0.2">
      <c r="A1825" s="1">
        <v>43445</v>
      </c>
      <c r="B1825">
        <v>27.9</v>
      </c>
      <c r="C1825" s="2">
        <f t="shared" si="28"/>
        <v>-1.4326650014959124E-3</v>
      </c>
    </row>
    <row r="1826" spans="1:3" x14ac:dyDescent="0.2">
      <c r="A1826" s="1">
        <v>43444</v>
      </c>
      <c r="B1826">
        <v>27.94</v>
      </c>
      <c r="C1826" s="2">
        <f t="shared" si="28"/>
        <v>-5.7102225108843262E-3</v>
      </c>
    </row>
    <row r="1827" spans="1:3" x14ac:dyDescent="0.2">
      <c r="A1827" s="1">
        <v>43441</v>
      </c>
      <c r="B1827">
        <v>28.1</v>
      </c>
      <c r="C1827" s="2">
        <f t="shared" si="28"/>
        <v>3.5650661644961446E-3</v>
      </c>
    </row>
    <row r="1828" spans="1:3" x14ac:dyDescent="0.2">
      <c r="A1828" s="1">
        <v>43440</v>
      </c>
      <c r="B1828">
        <v>28</v>
      </c>
      <c r="C1828" s="2">
        <f t="shared" si="28"/>
        <v>-2.1202207650603051E-2</v>
      </c>
    </row>
    <row r="1829" spans="1:3" x14ac:dyDescent="0.2">
      <c r="A1829" s="1">
        <v>43439</v>
      </c>
      <c r="B1829">
        <v>28.6</v>
      </c>
      <c r="C1829" s="2">
        <f t="shared" si="28"/>
        <v>-5.926459737649519E-3</v>
      </c>
    </row>
    <row r="1830" spans="1:3" x14ac:dyDescent="0.2">
      <c r="A1830" s="1">
        <v>43438</v>
      </c>
      <c r="B1830">
        <v>28.77</v>
      </c>
      <c r="C1830" s="2">
        <f t="shared" si="28"/>
        <v>-1.0422095784437539E-3</v>
      </c>
    </row>
    <row r="1831" spans="1:3" x14ac:dyDescent="0.2">
      <c r="A1831" s="1">
        <v>43437</v>
      </c>
      <c r="B1831">
        <v>28.8</v>
      </c>
      <c r="C1831" s="2">
        <f t="shared" si="28"/>
        <v>1.3634191275803797E-2</v>
      </c>
    </row>
    <row r="1832" spans="1:3" x14ac:dyDescent="0.2">
      <c r="A1832" s="1">
        <v>43434</v>
      </c>
      <c r="B1832">
        <v>28.41</v>
      </c>
      <c r="C1832" s="2">
        <f t="shared" si="28"/>
        <v>1.7397917971924727E-2</v>
      </c>
    </row>
    <row r="1833" spans="1:3" x14ac:dyDescent="0.2">
      <c r="A1833" s="1">
        <v>43433</v>
      </c>
      <c r="B1833">
        <v>27.92</v>
      </c>
      <c r="C1833" s="2">
        <f t="shared" si="28"/>
        <v>5.7471422555680713E-3</v>
      </c>
    </row>
    <row r="1834" spans="1:3" x14ac:dyDescent="0.2">
      <c r="A1834" s="1">
        <v>43432</v>
      </c>
      <c r="B1834">
        <v>27.76</v>
      </c>
      <c r="C1834" s="2">
        <f t="shared" si="28"/>
        <v>0</v>
      </c>
    </row>
    <row r="1835" spans="1:3" x14ac:dyDescent="0.2">
      <c r="A1835" s="1">
        <v>43431</v>
      </c>
      <c r="B1835">
        <v>27.76</v>
      </c>
      <c r="C1835" s="2">
        <f t="shared" si="28"/>
        <v>-8.2511678887582512E-3</v>
      </c>
    </row>
    <row r="1836" spans="1:3" x14ac:dyDescent="0.2">
      <c r="A1836" s="1">
        <v>43430</v>
      </c>
      <c r="B1836">
        <v>27.99</v>
      </c>
      <c r="C1836" s="2">
        <f t="shared" si="28"/>
        <v>2.5040256331902819E-3</v>
      </c>
    </row>
    <row r="1837" spans="1:3" x14ac:dyDescent="0.2">
      <c r="A1837" s="1">
        <v>43427</v>
      </c>
      <c r="B1837">
        <v>27.92</v>
      </c>
      <c r="C1837" s="2">
        <f t="shared" si="28"/>
        <v>-3.5810206291358288E-4</v>
      </c>
    </row>
    <row r="1838" spans="1:3" x14ac:dyDescent="0.2">
      <c r="A1838" s="1">
        <v>43426</v>
      </c>
      <c r="B1838">
        <v>27.93</v>
      </c>
      <c r="C1838" s="2">
        <f t="shared" si="28"/>
        <v>-1.5630868863674648E-2</v>
      </c>
    </row>
    <row r="1839" spans="1:3" x14ac:dyDescent="0.2">
      <c r="A1839" s="1">
        <v>43425</v>
      </c>
      <c r="B1839">
        <v>28.37</v>
      </c>
      <c r="C1839" s="2">
        <f t="shared" si="28"/>
        <v>-3.5242291113654986E-4</v>
      </c>
    </row>
    <row r="1840" spans="1:3" x14ac:dyDescent="0.2">
      <c r="A1840" s="1">
        <v>43424</v>
      </c>
      <c r="B1840">
        <v>28.38</v>
      </c>
      <c r="C1840" s="2">
        <f t="shared" si="28"/>
        <v>-1.4343432892187966E-2</v>
      </c>
    </row>
    <row r="1841" spans="1:3" x14ac:dyDescent="0.2">
      <c r="A1841" s="1">
        <v>43423</v>
      </c>
      <c r="B1841">
        <v>28.79</v>
      </c>
      <c r="C1841" s="2">
        <f t="shared" si="28"/>
        <v>-1.2083696142974264E-2</v>
      </c>
    </row>
    <row r="1842" spans="1:3" x14ac:dyDescent="0.2">
      <c r="A1842" s="1">
        <v>43420</v>
      </c>
      <c r="B1842">
        <v>29.14</v>
      </c>
      <c r="C1842" s="2">
        <f t="shared" si="28"/>
        <v>4.8159707805846899E-3</v>
      </c>
    </row>
    <row r="1843" spans="1:3" x14ac:dyDescent="0.2">
      <c r="A1843" s="1">
        <v>43419</v>
      </c>
      <c r="B1843">
        <v>29</v>
      </c>
      <c r="C1843" s="2">
        <f t="shared" si="28"/>
        <v>2.7624326959100796E-3</v>
      </c>
    </row>
    <row r="1844" spans="1:3" x14ac:dyDescent="0.2">
      <c r="A1844" s="1">
        <v>43418</v>
      </c>
      <c r="B1844">
        <v>28.92</v>
      </c>
      <c r="C1844" s="2">
        <f t="shared" si="28"/>
        <v>-2.4253964294909815E-2</v>
      </c>
    </row>
    <row r="1845" spans="1:3" x14ac:dyDescent="0.2">
      <c r="A1845" s="1">
        <v>43417</v>
      </c>
      <c r="B1845">
        <v>29.63</v>
      </c>
      <c r="C1845" s="2">
        <f t="shared" si="28"/>
        <v>-7.3974782531373044E-3</v>
      </c>
    </row>
    <row r="1846" spans="1:3" x14ac:dyDescent="0.2">
      <c r="A1846" s="1">
        <v>43416</v>
      </c>
      <c r="B1846">
        <v>29.85</v>
      </c>
      <c r="C1846" s="2">
        <f t="shared" si="28"/>
        <v>-1.264996895275558E-2</v>
      </c>
    </row>
    <row r="1847" spans="1:3" x14ac:dyDescent="0.2">
      <c r="A1847" s="1">
        <v>43413</v>
      </c>
      <c r="B1847">
        <v>30.23</v>
      </c>
      <c r="C1847" s="2">
        <f t="shared" si="28"/>
        <v>1.33202102647096E-2</v>
      </c>
    </row>
    <row r="1848" spans="1:3" x14ac:dyDescent="0.2">
      <c r="A1848" s="1">
        <v>43412</v>
      </c>
      <c r="B1848">
        <v>29.83</v>
      </c>
      <c r="C1848" s="2">
        <f t="shared" si="28"/>
        <v>-9.0105732281729883E-3</v>
      </c>
    </row>
    <row r="1849" spans="1:3" x14ac:dyDescent="0.2">
      <c r="A1849" s="1">
        <v>43411</v>
      </c>
      <c r="B1849">
        <v>30.1</v>
      </c>
      <c r="C1849" s="2">
        <f t="shared" si="28"/>
        <v>4.9958471933716697E-3</v>
      </c>
    </row>
    <row r="1850" spans="1:3" x14ac:dyDescent="0.2">
      <c r="A1850" s="1">
        <v>43410</v>
      </c>
      <c r="B1850">
        <v>29.95</v>
      </c>
      <c r="C1850" s="2">
        <f t="shared" si="28"/>
        <v>-6.6555986117360633E-3</v>
      </c>
    </row>
    <row r="1851" spans="1:3" x14ac:dyDescent="0.2">
      <c r="A1851" s="1">
        <v>43409</v>
      </c>
      <c r="B1851">
        <v>30.15</v>
      </c>
      <c r="C1851" s="2">
        <f t="shared" si="28"/>
        <v>1.9920325312405766E-3</v>
      </c>
    </row>
    <row r="1852" spans="1:3" x14ac:dyDescent="0.2">
      <c r="A1852" s="1">
        <v>43406</v>
      </c>
      <c r="B1852">
        <v>30.09</v>
      </c>
      <c r="C1852" s="2">
        <f t="shared" si="28"/>
        <v>2.3290644366379828E-3</v>
      </c>
    </row>
    <row r="1853" spans="1:3" x14ac:dyDescent="0.2">
      <c r="A1853" s="1">
        <v>43405</v>
      </c>
      <c r="B1853">
        <v>30.02</v>
      </c>
      <c r="C1853" s="2">
        <f t="shared" si="28"/>
        <v>3.3366730990392491E-3</v>
      </c>
    </row>
    <row r="1854" spans="1:3" x14ac:dyDescent="0.2">
      <c r="A1854" s="1">
        <v>43404</v>
      </c>
      <c r="B1854">
        <v>29.92</v>
      </c>
      <c r="C1854" s="2">
        <f t="shared" si="28"/>
        <v>-3.3199433590701669E-2</v>
      </c>
    </row>
    <row r="1855" spans="1:3" x14ac:dyDescent="0.2">
      <c r="A1855" s="1">
        <v>43403</v>
      </c>
      <c r="B1855">
        <v>30.93</v>
      </c>
      <c r="C1855" s="2">
        <f t="shared" si="28"/>
        <v>2.057887418165481E-2</v>
      </c>
    </row>
    <row r="1856" spans="1:3" x14ac:dyDescent="0.2">
      <c r="A1856" s="1">
        <v>43402</v>
      </c>
      <c r="B1856">
        <v>30.3</v>
      </c>
      <c r="C1856" s="2">
        <f t="shared" si="28"/>
        <v>3.3901551675681416E-2</v>
      </c>
    </row>
    <row r="1857" spans="1:3" x14ac:dyDescent="0.2">
      <c r="A1857" s="1">
        <v>43399</v>
      </c>
      <c r="B1857">
        <v>29.29</v>
      </c>
      <c r="C1857" s="2">
        <f t="shared" si="28"/>
        <v>-1.692660588554884E-2</v>
      </c>
    </row>
    <row r="1858" spans="1:3" x14ac:dyDescent="0.2">
      <c r="A1858" s="1">
        <v>43398</v>
      </c>
      <c r="B1858">
        <v>29.79</v>
      </c>
      <c r="C1858" s="2">
        <f t="shared" si="28"/>
        <v>1.3178092380555036E-2</v>
      </c>
    </row>
    <row r="1859" spans="1:3" x14ac:dyDescent="0.2">
      <c r="A1859" s="1">
        <v>43397</v>
      </c>
      <c r="B1859">
        <v>29.4</v>
      </c>
      <c r="C1859" s="2">
        <f t="shared" ref="C1859:C1922" si="29">+LN(B1859/B1860)</f>
        <v>-1.0152371464018073E-2</v>
      </c>
    </row>
    <row r="1860" spans="1:3" x14ac:dyDescent="0.2">
      <c r="A1860" s="1">
        <v>43396</v>
      </c>
      <c r="B1860">
        <v>29.7</v>
      </c>
      <c r="C1860" s="2">
        <f t="shared" si="29"/>
        <v>-9.7169469522637546E-3</v>
      </c>
    </row>
    <row r="1861" spans="1:3" x14ac:dyDescent="0.2">
      <c r="A1861" s="1">
        <v>43395</v>
      </c>
      <c r="B1861">
        <v>29.99</v>
      </c>
      <c r="C1861" s="2">
        <f t="shared" si="29"/>
        <v>-5.6525503788376636E-3</v>
      </c>
    </row>
    <row r="1862" spans="1:3" x14ac:dyDescent="0.2">
      <c r="A1862" s="1">
        <v>43392</v>
      </c>
      <c r="B1862">
        <v>30.16</v>
      </c>
      <c r="C1862" s="2">
        <f t="shared" si="29"/>
        <v>1.8066734300102531E-2</v>
      </c>
    </row>
    <row r="1863" spans="1:3" x14ac:dyDescent="0.2">
      <c r="A1863" s="1">
        <v>43391</v>
      </c>
      <c r="B1863">
        <v>29.62</v>
      </c>
      <c r="C1863" s="2">
        <f t="shared" si="29"/>
        <v>1.5309024960022543E-2</v>
      </c>
    </row>
    <row r="1864" spans="1:3" x14ac:dyDescent="0.2">
      <c r="A1864" s="1">
        <v>43390</v>
      </c>
      <c r="B1864">
        <v>29.17</v>
      </c>
      <c r="C1864" s="2">
        <f t="shared" si="29"/>
        <v>-1.4633577450384629E-2</v>
      </c>
    </row>
    <row r="1865" spans="1:3" x14ac:dyDescent="0.2">
      <c r="A1865" s="1">
        <v>43389</v>
      </c>
      <c r="B1865">
        <v>29.6</v>
      </c>
      <c r="C1865" s="2">
        <f t="shared" si="29"/>
        <v>2.0823418396450723E-2</v>
      </c>
    </row>
    <row r="1866" spans="1:3" x14ac:dyDescent="0.2">
      <c r="A1866" s="1">
        <v>43388</v>
      </c>
      <c r="B1866">
        <v>28.99</v>
      </c>
      <c r="C1866" s="2">
        <f t="shared" si="29"/>
        <v>7.6177653701075734E-3</v>
      </c>
    </row>
    <row r="1867" spans="1:3" x14ac:dyDescent="0.2">
      <c r="A1867" s="1">
        <v>43385</v>
      </c>
      <c r="B1867">
        <v>28.77</v>
      </c>
      <c r="C1867" s="2">
        <f t="shared" si="29"/>
        <v>-5.5459414245871905E-3</v>
      </c>
    </row>
    <row r="1868" spans="1:3" x14ac:dyDescent="0.2">
      <c r="A1868" s="1">
        <v>43384</v>
      </c>
      <c r="B1868">
        <v>28.93</v>
      </c>
      <c r="C1868" s="2">
        <f t="shared" si="29"/>
        <v>-5.8590551894031929E-3</v>
      </c>
    </row>
    <row r="1869" spans="1:3" x14ac:dyDescent="0.2">
      <c r="A1869" s="1">
        <v>43383</v>
      </c>
      <c r="B1869">
        <v>29.1</v>
      </c>
      <c r="C1869" s="2">
        <f t="shared" si="29"/>
        <v>-3.7765782667146565E-2</v>
      </c>
    </row>
    <row r="1870" spans="1:3" x14ac:dyDescent="0.2">
      <c r="A1870" s="1">
        <v>43382</v>
      </c>
      <c r="B1870">
        <v>30.22</v>
      </c>
      <c r="C1870" s="2">
        <f t="shared" si="29"/>
        <v>6.6401306392775573E-3</v>
      </c>
    </row>
    <row r="1871" spans="1:3" x14ac:dyDescent="0.2">
      <c r="A1871" s="1">
        <v>43381</v>
      </c>
      <c r="B1871">
        <v>30.02</v>
      </c>
      <c r="C1871" s="2">
        <f t="shared" si="29"/>
        <v>5.3440340942715108E-3</v>
      </c>
    </row>
    <row r="1872" spans="1:3" x14ac:dyDescent="0.2">
      <c r="A1872" s="1">
        <v>43378</v>
      </c>
      <c r="B1872">
        <v>29.86</v>
      </c>
      <c r="C1872" s="2">
        <f t="shared" si="29"/>
        <v>-1.5947181809341852E-2</v>
      </c>
    </row>
    <row r="1873" spans="1:3" x14ac:dyDescent="0.2">
      <c r="A1873" s="1">
        <v>43377</v>
      </c>
      <c r="B1873">
        <v>30.34</v>
      </c>
      <c r="C1873" s="2">
        <f t="shared" si="29"/>
        <v>-1.0491899523281877E-2</v>
      </c>
    </row>
    <row r="1874" spans="1:3" x14ac:dyDescent="0.2">
      <c r="A1874" s="1">
        <v>43376</v>
      </c>
      <c r="B1874">
        <v>30.66</v>
      </c>
      <c r="C1874" s="2">
        <f t="shared" si="29"/>
        <v>3.5860416161014458E-2</v>
      </c>
    </row>
    <row r="1875" spans="1:3" x14ac:dyDescent="0.2">
      <c r="A1875" s="1">
        <v>43375</v>
      </c>
      <c r="B1875">
        <v>29.58</v>
      </c>
      <c r="C1875" s="2">
        <f t="shared" si="29"/>
        <v>5.423742109362137E-3</v>
      </c>
    </row>
    <row r="1876" spans="1:3" x14ac:dyDescent="0.2">
      <c r="A1876" s="1">
        <v>43374</v>
      </c>
      <c r="B1876">
        <v>29.42</v>
      </c>
      <c r="C1876" s="2">
        <f t="shared" si="29"/>
        <v>8.8768080328342214E-3</v>
      </c>
    </row>
    <row r="1877" spans="1:3" x14ac:dyDescent="0.2">
      <c r="A1877" s="1">
        <v>43371</v>
      </c>
      <c r="B1877">
        <v>29.16</v>
      </c>
      <c r="C1877" s="2">
        <f t="shared" si="29"/>
        <v>-1.9358729869548896E-2</v>
      </c>
    </row>
    <row r="1878" spans="1:3" x14ac:dyDescent="0.2">
      <c r="A1878" s="1">
        <v>43370</v>
      </c>
      <c r="B1878">
        <v>29.73</v>
      </c>
      <c r="C1878" s="2">
        <f t="shared" si="29"/>
        <v>6.7499412541750696E-3</v>
      </c>
    </row>
    <row r="1879" spans="1:3" x14ac:dyDescent="0.2">
      <c r="A1879" s="1">
        <v>43369</v>
      </c>
      <c r="B1879">
        <v>29.53</v>
      </c>
      <c r="C1879" s="2">
        <f t="shared" si="29"/>
        <v>5.7734920095166226E-3</v>
      </c>
    </row>
    <row r="1880" spans="1:3" x14ac:dyDescent="0.2">
      <c r="A1880" s="1">
        <v>43368</v>
      </c>
      <c r="B1880">
        <v>29.36</v>
      </c>
      <c r="C1880" s="2">
        <f t="shared" si="29"/>
        <v>8.2079804178295818E-3</v>
      </c>
    </row>
    <row r="1881" spans="1:3" x14ac:dyDescent="0.2">
      <c r="A1881" s="1">
        <v>43367</v>
      </c>
      <c r="B1881">
        <v>29.12</v>
      </c>
      <c r="C1881" s="2">
        <f t="shared" si="29"/>
        <v>-7.8673229456202188E-3</v>
      </c>
    </row>
    <row r="1882" spans="1:3" x14ac:dyDescent="0.2">
      <c r="A1882" s="1">
        <v>43364</v>
      </c>
      <c r="B1882">
        <v>29.35</v>
      </c>
      <c r="C1882" s="2">
        <f t="shared" si="29"/>
        <v>-3.7408647603786862E-3</v>
      </c>
    </row>
    <row r="1883" spans="1:3" x14ac:dyDescent="0.2">
      <c r="A1883" s="1">
        <v>43363</v>
      </c>
      <c r="B1883">
        <v>29.46</v>
      </c>
      <c r="C1883" s="2">
        <f t="shared" si="29"/>
        <v>-7.1030232682463019E-3</v>
      </c>
    </row>
    <row r="1884" spans="1:3" x14ac:dyDescent="0.2">
      <c r="A1884" s="1">
        <v>43362</v>
      </c>
      <c r="B1884">
        <v>29.67</v>
      </c>
      <c r="C1884" s="2">
        <f t="shared" si="29"/>
        <v>-4.3719592086283055E-3</v>
      </c>
    </row>
    <row r="1885" spans="1:3" x14ac:dyDescent="0.2">
      <c r="A1885" s="1">
        <v>43361</v>
      </c>
      <c r="B1885">
        <v>29.8</v>
      </c>
      <c r="C1885" s="2">
        <f t="shared" si="29"/>
        <v>1.6792615197199939E-3</v>
      </c>
    </row>
    <row r="1886" spans="1:3" x14ac:dyDescent="0.2">
      <c r="A1886" s="1">
        <v>43360</v>
      </c>
      <c r="B1886">
        <v>29.75</v>
      </c>
      <c r="C1886" s="2">
        <f t="shared" si="29"/>
        <v>-7.3677493369330204E-3</v>
      </c>
    </row>
    <row r="1887" spans="1:3" x14ac:dyDescent="0.2">
      <c r="A1887" s="1">
        <v>43357</v>
      </c>
      <c r="B1887">
        <v>29.97</v>
      </c>
      <c r="C1887" s="2">
        <f t="shared" si="29"/>
        <v>-2.0803127629763284E-2</v>
      </c>
    </row>
    <row r="1888" spans="1:3" x14ac:dyDescent="0.2">
      <c r="A1888" s="1">
        <v>43356</v>
      </c>
      <c r="B1888">
        <v>30.6</v>
      </c>
      <c r="C1888" s="2">
        <f t="shared" si="29"/>
        <v>2.9455102297567446E-3</v>
      </c>
    </row>
    <row r="1889" spans="1:3" x14ac:dyDescent="0.2">
      <c r="A1889" s="1">
        <v>43355</v>
      </c>
      <c r="B1889">
        <v>30.51</v>
      </c>
      <c r="C1889" s="2">
        <f t="shared" si="29"/>
        <v>1.4859114403749905E-2</v>
      </c>
    </row>
    <row r="1890" spans="1:3" x14ac:dyDescent="0.2">
      <c r="A1890" s="1">
        <v>43354</v>
      </c>
      <c r="B1890">
        <v>30.06</v>
      </c>
      <c r="C1890" s="2">
        <f t="shared" si="29"/>
        <v>-1.6169301292775964E-2</v>
      </c>
    </row>
    <row r="1891" spans="1:3" x14ac:dyDescent="0.2">
      <c r="A1891" s="1">
        <v>43353</v>
      </c>
      <c r="B1891">
        <v>30.55</v>
      </c>
      <c r="C1891" s="2">
        <f t="shared" si="29"/>
        <v>5.2510786889026261E-3</v>
      </c>
    </row>
    <row r="1892" spans="1:3" x14ac:dyDescent="0.2">
      <c r="A1892" s="1">
        <v>43350</v>
      </c>
      <c r="B1892">
        <v>30.39</v>
      </c>
      <c r="C1892" s="2">
        <f t="shared" si="29"/>
        <v>1.1250945947485196E-2</v>
      </c>
    </row>
    <row r="1893" spans="1:3" x14ac:dyDescent="0.2">
      <c r="A1893" s="1">
        <v>43349</v>
      </c>
      <c r="B1893">
        <v>30.05</v>
      </c>
      <c r="C1893" s="2">
        <f t="shared" si="29"/>
        <v>-1.4536100018946705E-2</v>
      </c>
    </row>
    <row r="1894" spans="1:3" x14ac:dyDescent="0.2">
      <c r="A1894" s="1">
        <v>43348</v>
      </c>
      <c r="B1894">
        <v>30.49</v>
      </c>
      <c r="C1894" s="2">
        <f t="shared" si="29"/>
        <v>1.0882217860408135E-2</v>
      </c>
    </row>
    <row r="1895" spans="1:3" x14ac:dyDescent="0.2">
      <c r="A1895" s="1">
        <v>43347</v>
      </c>
      <c r="B1895">
        <v>30.16</v>
      </c>
      <c r="C1895" s="2">
        <f t="shared" si="29"/>
        <v>-5.6207785607343625E-3</v>
      </c>
    </row>
    <row r="1896" spans="1:3" x14ac:dyDescent="0.2">
      <c r="A1896" s="1">
        <v>43346</v>
      </c>
      <c r="B1896">
        <v>30.33</v>
      </c>
      <c r="C1896" s="2">
        <f t="shared" si="29"/>
        <v>5.2892685295199511E-3</v>
      </c>
    </row>
    <row r="1897" spans="1:3" x14ac:dyDescent="0.2">
      <c r="A1897" s="1">
        <v>43343</v>
      </c>
      <c r="B1897">
        <v>30.17</v>
      </c>
      <c r="C1897" s="2">
        <f t="shared" si="29"/>
        <v>-9.9387120985415674E-4</v>
      </c>
    </row>
    <row r="1898" spans="1:3" x14ac:dyDescent="0.2">
      <c r="A1898" s="1">
        <v>43342</v>
      </c>
      <c r="B1898">
        <v>30.2</v>
      </c>
      <c r="C1898" s="2">
        <f t="shared" si="29"/>
        <v>9.9387120985414807E-4</v>
      </c>
    </row>
    <row r="1899" spans="1:3" x14ac:dyDescent="0.2">
      <c r="A1899" s="1">
        <v>43341</v>
      </c>
      <c r="B1899">
        <v>30.17</v>
      </c>
      <c r="C1899" s="2">
        <f t="shared" si="29"/>
        <v>4.6511711757308803E-3</v>
      </c>
    </row>
    <row r="1900" spans="1:3" x14ac:dyDescent="0.2">
      <c r="A1900" s="1">
        <v>43340</v>
      </c>
      <c r="B1900">
        <v>30.03</v>
      </c>
      <c r="C1900" s="2">
        <f t="shared" si="29"/>
        <v>-1.3232081913640798E-2</v>
      </c>
    </row>
    <row r="1901" spans="1:3" x14ac:dyDescent="0.2">
      <c r="A1901" s="1">
        <v>43339</v>
      </c>
      <c r="B1901">
        <v>30.43</v>
      </c>
      <c r="C1901" s="2">
        <f t="shared" si="29"/>
        <v>-9.4849443705916723E-3</v>
      </c>
    </row>
    <row r="1902" spans="1:3" x14ac:dyDescent="0.2">
      <c r="A1902" s="1">
        <v>43336</v>
      </c>
      <c r="B1902">
        <v>30.72</v>
      </c>
      <c r="C1902" s="2">
        <f t="shared" si="29"/>
        <v>2.2812458972509692E-3</v>
      </c>
    </row>
    <row r="1903" spans="1:3" x14ac:dyDescent="0.2">
      <c r="A1903" s="1">
        <v>43335</v>
      </c>
      <c r="B1903">
        <v>30.65</v>
      </c>
      <c r="C1903" s="2">
        <f t="shared" si="29"/>
        <v>-8.4470937618045389E-3</v>
      </c>
    </row>
    <row r="1904" spans="1:3" x14ac:dyDescent="0.2">
      <c r="A1904" s="1">
        <v>43334</v>
      </c>
      <c r="B1904">
        <v>30.91</v>
      </c>
      <c r="C1904" s="2">
        <f t="shared" si="29"/>
        <v>-3.8747223162639531E-3</v>
      </c>
    </row>
    <row r="1905" spans="1:3" x14ac:dyDescent="0.2">
      <c r="A1905" s="1">
        <v>43333</v>
      </c>
      <c r="B1905">
        <v>31.03</v>
      </c>
      <c r="C1905" s="2">
        <f t="shared" si="29"/>
        <v>1.6244671713502461E-2</v>
      </c>
    </row>
    <row r="1906" spans="1:3" x14ac:dyDescent="0.2">
      <c r="A1906" s="1">
        <v>43332</v>
      </c>
      <c r="B1906">
        <v>30.53</v>
      </c>
      <c r="C1906" s="2">
        <f t="shared" si="29"/>
        <v>-1.4309187238324849E-2</v>
      </c>
    </row>
    <row r="1907" spans="1:3" x14ac:dyDescent="0.2">
      <c r="A1907" s="1">
        <v>43329</v>
      </c>
      <c r="B1907">
        <v>30.97</v>
      </c>
      <c r="C1907" s="2">
        <f t="shared" si="29"/>
        <v>-2.2666572961113764E-2</v>
      </c>
    </row>
    <row r="1908" spans="1:3" x14ac:dyDescent="0.2">
      <c r="A1908" s="1">
        <v>43328</v>
      </c>
      <c r="B1908">
        <v>31.68</v>
      </c>
      <c r="C1908" s="2">
        <f t="shared" si="29"/>
        <v>-1.0050335853501451E-2</v>
      </c>
    </row>
    <row r="1909" spans="1:3" x14ac:dyDescent="0.2">
      <c r="A1909" s="1">
        <v>43326</v>
      </c>
      <c r="B1909">
        <v>32</v>
      </c>
      <c r="C1909" s="2">
        <f t="shared" si="29"/>
        <v>8.7885060330793376E-3</v>
      </c>
    </row>
    <row r="1910" spans="1:3" x14ac:dyDescent="0.2">
      <c r="A1910" s="1">
        <v>43325</v>
      </c>
      <c r="B1910">
        <v>31.72</v>
      </c>
      <c r="C1910" s="2">
        <f t="shared" si="29"/>
        <v>0</v>
      </c>
    </row>
    <row r="1911" spans="1:3" x14ac:dyDescent="0.2">
      <c r="A1911" s="1">
        <v>43322</v>
      </c>
      <c r="B1911">
        <v>31.72</v>
      </c>
      <c r="C1911" s="2">
        <f t="shared" si="29"/>
        <v>-2.3061165319798023E-2</v>
      </c>
    </row>
    <row r="1912" spans="1:3" x14ac:dyDescent="0.2">
      <c r="A1912" s="1">
        <v>43321</v>
      </c>
      <c r="B1912">
        <v>32.46</v>
      </c>
      <c r="C1912" s="2">
        <f t="shared" si="29"/>
        <v>-4.3037262862167802E-3</v>
      </c>
    </row>
    <row r="1913" spans="1:3" x14ac:dyDescent="0.2">
      <c r="A1913" s="1">
        <v>43320</v>
      </c>
      <c r="B1913">
        <v>32.6</v>
      </c>
      <c r="C1913" s="2">
        <f t="shared" si="29"/>
        <v>6.136851987629978E-4</v>
      </c>
    </row>
    <row r="1914" spans="1:3" x14ac:dyDescent="0.2">
      <c r="A1914" s="1">
        <v>43319</v>
      </c>
      <c r="B1914">
        <v>32.58</v>
      </c>
      <c r="C1914" s="2">
        <f t="shared" si="29"/>
        <v>1.0180559932117523E-2</v>
      </c>
    </row>
    <row r="1915" spans="1:3" x14ac:dyDescent="0.2">
      <c r="A1915" s="1">
        <v>43318</v>
      </c>
      <c r="B1915">
        <v>32.25</v>
      </c>
      <c r="C1915" s="2">
        <f t="shared" si="29"/>
        <v>4.6620131058113714E-3</v>
      </c>
    </row>
    <row r="1916" spans="1:3" x14ac:dyDescent="0.2">
      <c r="A1916" s="1">
        <v>43315</v>
      </c>
      <c r="B1916">
        <v>32.1</v>
      </c>
      <c r="C1916" s="2">
        <f t="shared" si="29"/>
        <v>1.2854856433140846E-2</v>
      </c>
    </row>
    <row r="1917" spans="1:3" x14ac:dyDescent="0.2">
      <c r="A1917" s="1">
        <v>43314</v>
      </c>
      <c r="B1917">
        <v>31.69</v>
      </c>
      <c r="C1917" s="2">
        <f t="shared" si="29"/>
        <v>-1.0047180278942204E-2</v>
      </c>
    </row>
    <row r="1918" spans="1:3" x14ac:dyDescent="0.2">
      <c r="A1918" s="1">
        <v>43313</v>
      </c>
      <c r="B1918">
        <v>32.01</v>
      </c>
      <c r="C1918" s="2">
        <f t="shared" si="29"/>
        <v>9.3764657596343232E-4</v>
      </c>
    </row>
    <row r="1919" spans="1:3" x14ac:dyDescent="0.2">
      <c r="A1919" s="1">
        <v>43312</v>
      </c>
      <c r="B1919">
        <v>31.98</v>
      </c>
      <c r="C1919" s="2">
        <f t="shared" si="29"/>
        <v>2.1492609859700654E-2</v>
      </c>
    </row>
    <row r="1920" spans="1:3" x14ac:dyDescent="0.2">
      <c r="A1920" s="1">
        <v>43311</v>
      </c>
      <c r="B1920">
        <v>31.3</v>
      </c>
      <c r="C1920" s="2">
        <f t="shared" si="29"/>
        <v>6.0887866365619131E-3</v>
      </c>
    </row>
    <row r="1921" spans="1:3" x14ac:dyDescent="0.2">
      <c r="A1921" s="1">
        <v>43308</v>
      </c>
      <c r="B1921">
        <v>31.11</v>
      </c>
      <c r="C1921" s="2">
        <f t="shared" si="29"/>
        <v>-1.1187586720586196E-2</v>
      </c>
    </row>
    <row r="1922" spans="1:3" x14ac:dyDescent="0.2">
      <c r="A1922" s="1">
        <v>43307</v>
      </c>
      <c r="B1922">
        <v>31.46</v>
      </c>
      <c r="C1922" s="2">
        <f t="shared" si="29"/>
        <v>-6.3552591907073169E-4</v>
      </c>
    </row>
    <row r="1923" spans="1:3" x14ac:dyDescent="0.2">
      <c r="A1923" s="1">
        <v>43306</v>
      </c>
      <c r="B1923">
        <v>31.48</v>
      </c>
      <c r="C1923" s="2">
        <f t="shared" ref="C1923:C1986" si="30">+LN(B1923/B1924)</f>
        <v>6.0538658684117994E-3</v>
      </c>
    </row>
    <row r="1924" spans="1:3" x14ac:dyDescent="0.2">
      <c r="A1924" s="1">
        <v>43305</v>
      </c>
      <c r="B1924">
        <v>31.29</v>
      </c>
      <c r="C1924" s="2">
        <f t="shared" si="30"/>
        <v>8.344079220501923E-3</v>
      </c>
    </row>
    <row r="1925" spans="1:3" x14ac:dyDescent="0.2">
      <c r="A1925" s="1">
        <v>43304</v>
      </c>
      <c r="B1925">
        <v>31.03</v>
      </c>
      <c r="C1925" s="2">
        <f t="shared" si="30"/>
        <v>-5.4636163551478201E-3</v>
      </c>
    </row>
    <row r="1926" spans="1:3" x14ac:dyDescent="0.2">
      <c r="A1926" s="1">
        <v>43301</v>
      </c>
      <c r="B1926">
        <v>31.2</v>
      </c>
      <c r="C1926" s="2">
        <f t="shared" si="30"/>
        <v>3.8221212820197671E-2</v>
      </c>
    </row>
    <row r="1927" spans="1:3" x14ac:dyDescent="0.2">
      <c r="A1927" s="1">
        <v>43300</v>
      </c>
      <c r="B1927">
        <v>30.03</v>
      </c>
      <c r="C1927" s="2">
        <f t="shared" si="30"/>
        <v>4.3384015985981411E-3</v>
      </c>
    </row>
    <row r="1928" spans="1:3" x14ac:dyDescent="0.2">
      <c r="A1928" s="1">
        <v>43299</v>
      </c>
      <c r="B1928">
        <v>29.9</v>
      </c>
      <c r="C1928" s="2">
        <f t="shared" si="30"/>
        <v>-5.0041805845759497E-3</v>
      </c>
    </row>
    <row r="1929" spans="1:3" x14ac:dyDescent="0.2">
      <c r="A1929" s="1">
        <v>43298</v>
      </c>
      <c r="B1929">
        <v>30.05</v>
      </c>
      <c r="C1929" s="2">
        <f t="shared" si="30"/>
        <v>-2.2702077129233125E-2</v>
      </c>
    </row>
    <row r="1930" spans="1:3" x14ac:dyDescent="0.2">
      <c r="A1930" s="1">
        <v>43297</v>
      </c>
      <c r="B1930">
        <v>30.74</v>
      </c>
      <c r="C1930" s="2">
        <f t="shared" si="30"/>
        <v>4.5647291521146985E-3</v>
      </c>
    </row>
    <row r="1931" spans="1:3" x14ac:dyDescent="0.2">
      <c r="A1931" s="1">
        <v>43294</v>
      </c>
      <c r="B1931">
        <v>30.6</v>
      </c>
      <c r="C1931" s="2">
        <f t="shared" si="30"/>
        <v>-9.7991188634869017E-4</v>
      </c>
    </row>
    <row r="1932" spans="1:3" x14ac:dyDescent="0.2">
      <c r="A1932" s="1">
        <v>43293</v>
      </c>
      <c r="B1932">
        <v>30.63</v>
      </c>
      <c r="C1932" s="2">
        <f t="shared" si="30"/>
        <v>-1.2329812267673834E-2</v>
      </c>
    </row>
    <row r="1933" spans="1:3" x14ac:dyDescent="0.2">
      <c r="A1933" s="1">
        <v>43292</v>
      </c>
      <c r="B1933">
        <v>31.01</v>
      </c>
      <c r="C1933" s="2">
        <f t="shared" si="30"/>
        <v>3.225286272114799E-4</v>
      </c>
    </row>
    <row r="1934" spans="1:3" x14ac:dyDescent="0.2">
      <c r="A1934" s="1">
        <v>43291</v>
      </c>
      <c r="B1934">
        <v>31</v>
      </c>
      <c r="C1934" s="2">
        <f t="shared" si="30"/>
        <v>2.4491020008295696E-2</v>
      </c>
    </row>
    <row r="1935" spans="1:3" x14ac:dyDescent="0.2">
      <c r="A1935" s="1">
        <v>43290</v>
      </c>
      <c r="B1935">
        <v>30.25</v>
      </c>
      <c r="C1935" s="2">
        <f t="shared" si="30"/>
        <v>9.6330258278317458E-3</v>
      </c>
    </row>
    <row r="1936" spans="1:3" x14ac:dyDescent="0.2">
      <c r="A1936" s="1">
        <v>43287</v>
      </c>
      <c r="B1936">
        <v>29.96</v>
      </c>
      <c r="C1936" s="2">
        <f t="shared" si="30"/>
        <v>1.8868484304382954E-2</v>
      </c>
    </row>
    <row r="1937" spans="1:3" x14ac:dyDescent="0.2">
      <c r="A1937" s="1">
        <v>43286</v>
      </c>
      <c r="B1937">
        <v>29.4</v>
      </c>
      <c r="C1937" s="2">
        <f t="shared" si="30"/>
        <v>1.2320484388040657E-2</v>
      </c>
    </row>
    <row r="1938" spans="1:3" x14ac:dyDescent="0.2">
      <c r="A1938" s="1">
        <v>43285</v>
      </c>
      <c r="B1938">
        <v>29.04</v>
      </c>
      <c r="C1938" s="2">
        <f t="shared" si="30"/>
        <v>1.4219070846571667E-2</v>
      </c>
    </row>
    <row r="1939" spans="1:3" x14ac:dyDescent="0.2">
      <c r="A1939" s="1">
        <v>43284</v>
      </c>
      <c r="B1939">
        <v>28.63</v>
      </c>
      <c r="C1939" s="2">
        <f t="shared" si="30"/>
        <v>-4.0724190226568695E-2</v>
      </c>
    </row>
    <row r="1940" spans="1:3" x14ac:dyDescent="0.2">
      <c r="A1940" s="1">
        <v>43283</v>
      </c>
      <c r="B1940">
        <v>29.82</v>
      </c>
      <c r="C1940" s="2">
        <f t="shared" si="30"/>
        <v>-0.13294436589794992</v>
      </c>
    </row>
    <row r="1941" spans="1:3" x14ac:dyDescent="0.2">
      <c r="A1941" s="1">
        <v>43280</v>
      </c>
      <c r="B1941">
        <v>34.06</v>
      </c>
      <c r="C1941" s="2">
        <f t="shared" si="30"/>
        <v>1.5384918839479456E-2</v>
      </c>
    </row>
    <row r="1942" spans="1:3" x14ac:dyDescent="0.2">
      <c r="A1942" s="1">
        <v>43279</v>
      </c>
      <c r="B1942">
        <v>33.54</v>
      </c>
      <c r="C1942" s="2">
        <f t="shared" si="30"/>
        <v>-1.1918952543319833E-3</v>
      </c>
    </row>
    <row r="1943" spans="1:3" x14ac:dyDescent="0.2">
      <c r="A1943" s="1">
        <v>43278</v>
      </c>
      <c r="B1943">
        <v>33.58</v>
      </c>
      <c r="C1943" s="2">
        <f t="shared" si="30"/>
        <v>1.2586321382300574E-2</v>
      </c>
    </row>
    <row r="1944" spans="1:3" x14ac:dyDescent="0.2">
      <c r="A1944" s="1">
        <v>43277</v>
      </c>
      <c r="B1944">
        <v>33.159999999999997</v>
      </c>
      <c r="C1944" s="2">
        <f t="shared" si="30"/>
        <v>-1.8077739180546993E-3</v>
      </c>
    </row>
    <row r="1945" spans="1:3" x14ac:dyDescent="0.2">
      <c r="A1945" s="1">
        <v>43276</v>
      </c>
      <c r="B1945">
        <v>33.22</v>
      </c>
      <c r="C1945" s="2">
        <f t="shared" si="30"/>
        <v>-3.0242447088392591E-2</v>
      </c>
    </row>
    <row r="1946" spans="1:3" x14ac:dyDescent="0.2">
      <c r="A1946" s="1">
        <v>43273</v>
      </c>
      <c r="B1946">
        <v>34.24</v>
      </c>
      <c r="C1946" s="2">
        <f t="shared" si="30"/>
        <v>2.3391823531724626E-3</v>
      </c>
    </row>
    <row r="1947" spans="1:3" x14ac:dyDescent="0.2">
      <c r="A1947" s="1">
        <v>43272</v>
      </c>
      <c r="B1947">
        <v>34.159999999999997</v>
      </c>
      <c r="C1947" s="2">
        <f t="shared" si="30"/>
        <v>-9.3240768751232904E-3</v>
      </c>
    </row>
    <row r="1948" spans="1:3" x14ac:dyDescent="0.2">
      <c r="A1948" s="1">
        <v>43271</v>
      </c>
      <c r="B1948">
        <v>34.479999999999997</v>
      </c>
      <c r="C1948" s="2">
        <f t="shared" si="30"/>
        <v>2.7044564196486792E-2</v>
      </c>
    </row>
    <row r="1949" spans="1:3" x14ac:dyDescent="0.2">
      <c r="A1949" s="1">
        <v>43270</v>
      </c>
      <c r="B1949">
        <v>33.56</v>
      </c>
      <c r="C1949" s="2">
        <f t="shared" si="30"/>
        <v>2.6265660862886314E-2</v>
      </c>
    </row>
    <row r="1950" spans="1:3" x14ac:dyDescent="0.2">
      <c r="A1950" s="1">
        <v>43269</v>
      </c>
      <c r="B1950">
        <v>32.69</v>
      </c>
      <c r="C1950" s="2">
        <f t="shared" si="30"/>
        <v>-4.8825241945003369E-3</v>
      </c>
    </row>
    <row r="1951" spans="1:3" x14ac:dyDescent="0.2">
      <c r="A1951" s="1">
        <v>43266</v>
      </c>
      <c r="B1951">
        <v>32.85</v>
      </c>
      <c r="C1951" s="2">
        <f t="shared" si="30"/>
        <v>-1.3605652055778485E-2</v>
      </c>
    </row>
    <row r="1952" spans="1:3" x14ac:dyDescent="0.2">
      <c r="A1952" s="1">
        <v>43265</v>
      </c>
      <c r="B1952">
        <v>33.299999999999997</v>
      </c>
      <c r="C1952" s="2">
        <f t="shared" si="30"/>
        <v>1.147702117752886E-2</v>
      </c>
    </row>
    <row r="1953" spans="1:3" x14ac:dyDescent="0.2">
      <c r="A1953" s="1">
        <v>43264</v>
      </c>
      <c r="B1953">
        <v>32.92</v>
      </c>
      <c r="C1953" s="2">
        <f t="shared" si="30"/>
        <v>2.4330912246414292E-3</v>
      </c>
    </row>
    <row r="1954" spans="1:3" x14ac:dyDescent="0.2">
      <c r="A1954" s="1">
        <v>43263</v>
      </c>
      <c r="B1954">
        <v>32.840000000000003</v>
      </c>
      <c r="C1954" s="2">
        <f t="shared" si="30"/>
        <v>2.133821873504286E-3</v>
      </c>
    </row>
    <row r="1955" spans="1:3" x14ac:dyDescent="0.2">
      <c r="A1955" s="1">
        <v>43262</v>
      </c>
      <c r="B1955">
        <v>32.770000000000003</v>
      </c>
      <c r="C1955" s="2">
        <f t="shared" si="30"/>
        <v>6.7360940561451118E-3</v>
      </c>
    </row>
    <row r="1956" spans="1:3" x14ac:dyDescent="0.2">
      <c r="A1956" s="1">
        <v>43259</v>
      </c>
      <c r="B1956">
        <v>32.549999999999997</v>
      </c>
      <c r="C1956" s="2">
        <f t="shared" si="30"/>
        <v>-1.2213892293938189E-2</v>
      </c>
    </row>
    <row r="1957" spans="1:3" x14ac:dyDescent="0.2">
      <c r="A1957" s="1">
        <v>43258</v>
      </c>
      <c r="B1957">
        <v>32.950000000000003</v>
      </c>
      <c r="C1957" s="2">
        <f t="shared" si="30"/>
        <v>-1.5163005179639638E-3</v>
      </c>
    </row>
    <row r="1958" spans="1:3" x14ac:dyDescent="0.2">
      <c r="A1958" s="1">
        <v>43257</v>
      </c>
      <c r="B1958">
        <v>33</v>
      </c>
      <c r="C1958" s="2">
        <f t="shared" si="30"/>
        <v>2.4271856576111375E-3</v>
      </c>
    </row>
    <row r="1959" spans="1:3" x14ac:dyDescent="0.2">
      <c r="A1959" s="1">
        <v>43256</v>
      </c>
      <c r="B1959">
        <v>32.92</v>
      </c>
      <c r="C1959" s="2">
        <f t="shared" si="30"/>
        <v>3.5872739429934013E-2</v>
      </c>
    </row>
    <row r="1960" spans="1:3" x14ac:dyDescent="0.2">
      <c r="A1960" s="1">
        <v>43255</v>
      </c>
      <c r="B1960">
        <v>31.76</v>
      </c>
      <c r="C1960" s="2">
        <f t="shared" si="30"/>
        <v>-1.8873865307057881E-3</v>
      </c>
    </row>
    <row r="1961" spans="1:3" x14ac:dyDescent="0.2">
      <c r="A1961" s="1">
        <v>43252</v>
      </c>
      <c r="B1961">
        <v>31.82</v>
      </c>
      <c r="C1961" s="2">
        <f t="shared" si="30"/>
        <v>3.7783420264058997E-3</v>
      </c>
    </row>
    <row r="1962" spans="1:3" x14ac:dyDescent="0.2">
      <c r="A1962" s="1">
        <v>43251</v>
      </c>
      <c r="B1962">
        <v>31.7</v>
      </c>
      <c r="C1962" s="2">
        <f t="shared" si="30"/>
        <v>-6.3071588341232323E-4</v>
      </c>
    </row>
    <row r="1963" spans="1:3" x14ac:dyDescent="0.2">
      <c r="A1963" s="1">
        <v>43250</v>
      </c>
      <c r="B1963">
        <v>31.72</v>
      </c>
      <c r="C1963" s="2">
        <f t="shared" si="30"/>
        <v>5.6908152317547952E-3</v>
      </c>
    </row>
    <row r="1964" spans="1:3" x14ac:dyDescent="0.2">
      <c r="A1964" s="1">
        <v>43249</v>
      </c>
      <c r="B1964">
        <v>31.54</v>
      </c>
      <c r="C1964" s="2">
        <f t="shared" si="30"/>
        <v>-5.0600993483425963E-3</v>
      </c>
    </row>
    <row r="1965" spans="1:3" x14ac:dyDescent="0.2">
      <c r="A1965" s="1">
        <v>43248</v>
      </c>
      <c r="B1965">
        <v>31.7</v>
      </c>
      <c r="C1965" s="2">
        <f t="shared" si="30"/>
        <v>-1.3473492244532263E-2</v>
      </c>
    </row>
    <row r="1966" spans="1:3" x14ac:dyDescent="0.2">
      <c r="A1966" s="1">
        <v>43245</v>
      </c>
      <c r="B1966">
        <v>32.130000000000003</v>
      </c>
      <c r="C1966" s="2">
        <f t="shared" si="30"/>
        <v>1.2457180060015723E-3</v>
      </c>
    </row>
    <row r="1967" spans="1:3" x14ac:dyDescent="0.2">
      <c r="A1967" s="1">
        <v>43244</v>
      </c>
      <c r="B1967">
        <v>32.090000000000003</v>
      </c>
      <c r="C1967" s="2">
        <f t="shared" si="30"/>
        <v>2.183747553196779E-3</v>
      </c>
    </row>
    <row r="1968" spans="1:3" x14ac:dyDescent="0.2">
      <c r="A1968" s="1">
        <v>43243</v>
      </c>
      <c r="B1968">
        <v>32.020000000000003</v>
      </c>
      <c r="C1968" s="2">
        <f t="shared" si="30"/>
        <v>-1.5603061364948714E-3</v>
      </c>
    </row>
    <row r="1969" spans="1:3" x14ac:dyDescent="0.2">
      <c r="A1969" s="1">
        <v>43242</v>
      </c>
      <c r="B1969">
        <v>32.07</v>
      </c>
      <c r="C1969" s="2">
        <f t="shared" si="30"/>
        <v>-4.9766821222828554E-3</v>
      </c>
    </row>
    <row r="1970" spans="1:3" x14ac:dyDescent="0.2">
      <c r="A1970" s="1">
        <v>43241</v>
      </c>
      <c r="B1970">
        <v>32.229999999999997</v>
      </c>
      <c r="C1970" s="2">
        <f t="shared" si="30"/>
        <v>9.6649232457383608E-3</v>
      </c>
    </row>
    <row r="1971" spans="1:3" x14ac:dyDescent="0.2">
      <c r="A1971" s="1">
        <v>43238</v>
      </c>
      <c r="B1971">
        <v>31.92</v>
      </c>
      <c r="C1971" s="2">
        <f t="shared" si="30"/>
        <v>-7.490671729157402E-3</v>
      </c>
    </row>
    <row r="1972" spans="1:3" x14ac:dyDescent="0.2">
      <c r="A1972" s="1">
        <v>43237</v>
      </c>
      <c r="B1972">
        <v>32.159999999999997</v>
      </c>
      <c r="C1972" s="2">
        <f t="shared" si="30"/>
        <v>6.5866101817123157E-2</v>
      </c>
    </row>
    <row r="1973" spans="1:3" x14ac:dyDescent="0.2">
      <c r="A1973" s="1">
        <v>43236</v>
      </c>
      <c r="B1973">
        <v>30.11</v>
      </c>
      <c r="C1973" s="2">
        <f t="shared" si="30"/>
        <v>-1.9405312099508992E-2</v>
      </c>
    </row>
    <row r="1974" spans="1:3" x14ac:dyDescent="0.2">
      <c r="A1974" s="1">
        <v>43235</v>
      </c>
      <c r="B1974">
        <v>30.7</v>
      </c>
      <c r="C1974" s="2">
        <f t="shared" si="30"/>
        <v>-4.5498941019772544E-3</v>
      </c>
    </row>
    <row r="1975" spans="1:3" x14ac:dyDescent="0.2">
      <c r="A1975" s="1">
        <v>43234</v>
      </c>
      <c r="B1975">
        <v>30.84</v>
      </c>
      <c r="C1975" s="2">
        <f t="shared" si="30"/>
        <v>1.108586508176284E-2</v>
      </c>
    </row>
    <row r="1976" spans="1:3" x14ac:dyDescent="0.2">
      <c r="A1976" s="1">
        <v>43231</v>
      </c>
      <c r="B1976">
        <v>30.5</v>
      </c>
      <c r="C1976" s="2">
        <f t="shared" si="30"/>
        <v>3.9421864457391247E-3</v>
      </c>
    </row>
    <row r="1977" spans="1:3" x14ac:dyDescent="0.2">
      <c r="A1977" s="1">
        <v>43230</v>
      </c>
      <c r="B1977">
        <v>30.38</v>
      </c>
      <c r="C1977" s="2">
        <f t="shared" si="30"/>
        <v>-1.0803837285104314E-2</v>
      </c>
    </row>
    <row r="1978" spans="1:3" x14ac:dyDescent="0.2">
      <c r="A1978" s="1">
        <v>43229</v>
      </c>
      <c r="B1978">
        <v>30.71</v>
      </c>
      <c r="C1978" s="2">
        <f t="shared" si="30"/>
        <v>3.5883254943958986E-3</v>
      </c>
    </row>
    <row r="1979" spans="1:3" x14ac:dyDescent="0.2">
      <c r="A1979" s="1">
        <v>43228</v>
      </c>
      <c r="B1979">
        <v>30.6</v>
      </c>
      <c r="C1979" s="2">
        <f t="shared" si="30"/>
        <v>-1.0403214760886152E-2</v>
      </c>
    </row>
    <row r="1980" spans="1:3" x14ac:dyDescent="0.2">
      <c r="A1980" s="1">
        <v>43227</v>
      </c>
      <c r="B1980">
        <v>30.92</v>
      </c>
      <c r="C1980" s="2">
        <f t="shared" si="30"/>
        <v>8.7705613370008331E-3</v>
      </c>
    </row>
    <row r="1981" spans="1:3" x14ac:dyDescent="0.2">
      <c r="A1981" s="1">
        <v>43224</v>
      </c>
      <c r="B1981">
        <v>30.65</v>
      </c>
      <c r="C1981" s="2">
        <f t="shared" si="30"/>
        <v>2.6135264794771855E-3</v>
      </c>
    </row>
    <row r="1982" spans="1:3" x14ac:dyDescent="0.2">
      <c r="A1982" s="1">
        <v>43223</v>
      </c>
      <c r="B1982">
        <v>30.57</v>
      </c>
      <c r="C1982" s="2">
        <f t="shared" si="30"/>
        <v>-9.1176144486537648E-3</v>
      </c>
    </row>
    <row r="1983" spans="1:3" x14ac:dyDescent="0.2">
      <c r="A1983" s="1">
        <v>43222</v>
      </c>
      <c r="B1983">
        <v>30.85</v>
      </c>
      <c r="C1983" s="2">
        <f t="shared" si="30"/>
        <v>3.9674624907662534E-2</v>
      </c>
    </row>
    <row r="1984" spans="1:3" x14ac:dyDescent="0.2">
      <c r="A1984" s="1">
        <v>43220</v>
      </c>
      <c r="B1984">
        <v>29.65</v>
      </c>
      <c r="C1984" s="2">
        <f t="shared" si="30"/>
        <v>3.7168483405006208E-3</v>
      </c>
    </row>
    <row r="1985" spans="1:3" x14ac:dyDescent="0.2">
      <c r="A1985" s="1">
        <v>43217</v>
      </c>
      <c r="B1985">
        <v>29.54</v>
      </c>
      <c r="C1985" s="2">
        <f t="shared" si="30"/>
        <v>-2.0290842267809812E-3</v>
      </c>
    </row>
    <row r="1986" spans="1:3" x14ac:dyDescent="0.2">
      <c r="A1986" s="1">
        <v>43216</v>
      </c>
      <c r="B1986">
        <v>29.6</v>
      </c>
      <c r="C1986" s="2">
        <f t="shared" si="30"/>
        <v>8.8225886151790771E-3</v>
      </c>
    </row>
    <row r="1987" spans="1:3" x14ac:dyDescent="0.2">
      <c r="A1987" s="1">
        <v>43215</v>
      </c>
      <c r="B1987">
        <v>29.34</v>
      </c>
      <c r="C1987" s="2">
        <f t="shared" ref="C1987:C2050" si="31">+LN(B1987/B1988)</f>
        <v>0</v>
      </c>
    </row>
    <row r="1988" spans="1:3" x14ac:dyDescent="0.2">
      <c r="A1988" s="1">
        <v>43214</v>
      </c>
      <c r="B1988">
        <v>29.34</v>
      </c>
      <c r="C1988" s="2">
        <f t="shared" si="31"/>
        <v>-1.0847563994950418E-2</v>
      </c>
    </row>
    <row r="1989" spans="1:3" x14ac:dyDescent="0.2">
      <c r="A1989" s="1">
        <v>43213</v>
      </c>
      <c r="B1989">
        <v>29.66</v>
      </c>
      <c r="C1989" s="2">
        <f t="shared" si="31"/>
        <v>-6.0504386257740133E-3</v>
      </c>
    </row>
    <row r="1990" spans="1:3" x14ac:dyDescent="0.2">
      <c r="A1990" s="1">
        <v>43210</v>
      </c>
      <c r="B1990">
        <v>29.84</v>
      </c>
      <c r="C1990" s="2">
        <f t="shared" si="31"/>
        <v>-4.6807173388915208E-3</v>
      </c>
    </row>
    <row r="1991" spans="1:3" x14ac:dyDescent="0.2">
      <c r="A1991" s="1">
        <v>43209</v>
      </c>
      <c r="B1991">
        <v>29.98</v>
      </c>
      <c r="C1991" s="2">
        <f t="shared" si="31"/>
        <v>4.3456528358404457E-3</v>
      </c>
    </row>
    <row r="1992" spans="1:3" x14ac:dyDescent="0.2">
      <c r="A1992" s="1">
        <v>43208</v>
      </c>
      <c r="B1992">
        <v>29.85</v>
      </c>
      <c r="C1992" s="2">
        <f t="shared" si="31"/>
        <v>6.3855031288252082E-3</v>
      </c>
    </row>
    <row r="1993" spans="1:3" x14ac:dyDescent="0.2">
      <c r="A1993" s="1">
        <v>43207</v>
      </c>
      <c r="B1993">
        <v>29.66</v>
      </c>
      <c r="C1993" s="2">
        <f t="shared" si="31"/>
        <v>2.0249753797713828E-3</v>
      </c>
    </row>
    <row r="1994" spans="1:3" x14ac:dyDescent="0.2">
      <c r="A1994" s="1">
        <v>43206</v>
      </c>
      <c r="B1994">
        <v>29.6</v>
      </c>
      <c r="C1994" s="2">
        <f t="shared" si="31"/>
        <v>-6.7340321813440683E-3</v>
      </c>
    </row>
    <row r="1995" spans="1:3" x14ac:dyDescent="0.2">
      <c r="A1995" s="1">
        <v>43203</v>
      </c>
      <c r="B1995">
        <v>29.8</v>
      </c>
      <c r="C1995" s="2">
        <f t="shared" si="31"/>
        <v>4.3719592086283177E-3</v>
      </c>
    </row>
    <row r="1996" spans="1:3" x14ac:dyDescent="0.2">
      <c r="A1996" s="1">
        <v>43202</v>
      </c>
      <c r="B1996">
        <v>29.67</v>
      </c>
      <c r="C1996" s="2">
        <f t="shared" si="31"/>
        <v>1.2207679579929407E-2</v>
      </c>
    </row>
    <row r="1997" spans="1:3" x14ac:dyDescent="0.2">
      <c r="A1997" s="1">
        <v>43201</v>
      </c>
      <c r="B1997">
        <v>29.31</v>
      </c>
      <c r="C1997" s="2">
        <f t="shared" si="31"/>
        <v>-8.8315791415847968E-3</v>
      </c>
    </row>
    <row r="1998" spans="1:3" x14ac:dyDescent="0.2">
      <c r="A1998" s="1">
        <v>43200</v>
      </c>
      <c r="B1998">
        <v>29.57</v>
      </c>
      <c r="C1998" s="2">
        <f t="shared" si="31"/>
        <v>1.3536381085546044E-3</v>
      </c>
    </row>
    <row r="1999" spans="1:3" x14ac:dyDescent="0.2">
      <c r="A1999" s="1">
        <v>43199</v>
      </c>
      <c r="B1999">
        <v>29.53</v>
      </c>
      <c r="C1999" s="2">
        <f t="shared" si="31"/>
        <v>-1.0778144082779854E-2</v>
      </c>
    </row>
    <row r="2000" spans="1:3" x14ac:dyDescent="0.2">
      <c r="A2000" s="1">
        <v>43196</v>
      </c>
      <c r="B2000">
        <v>29.85</v>
      </c>
      <c r="C2000" s="2">
        <f t="shared" si="31"/>
        <v>-1.0045204260053652E-3</v>
      </c>
    </row>
    <row r="2001" spans="1:3" x14ac:dyDescent="0.2">
      <c r="A2001" s="1">
        <v>43195</v>
      </c>
      <c r="B2001">
        <v>29.88</v>
      </c>
      <c r="C2001" s="2">
        <f t="shared" si="31"/>
        <v>2.6809667532577425E-3</v>
      </c>
    </row>
    <row r="2002" spans="1:3" x14ac:dyDescent="0.2">
      <c r="A2002" s="1">
        <v>43194</v>
      </c>
      <c r="B2002">
        <v>29.8</v>
      </c>
      <c r="C2002" s="2">
        <f t="shared" si="31"/>
        <v>9.4403937790871265E-3</v>
      </c>
    </row>
    <row r="2003" spans="1:3" x14ac:dyDescent="0.2">
      <c r="A2003" s="1">
        <v>43193</v>
      </c>
      <c r="B2003">
        <v>29.52</v>
      </c>
      <c r="C2003" s="2">
        <f t="shared" si="31"/>
        <v>-1.5462492942179919E-2</v>
      </c>
    </row>
    <row r="2004" spans="1:3" x14ac:dyDescent="0.2">
      <c r="A2004" s="1">
        <v>43188</v>
      </c>
      <c r="B2004">
        <v>29.98</v>
      </c>
      <c r="C2004" s="2">
        <f t="shared" si="31"/>
        <v>3.8073939328726762E-2</v>
      </c>
    </row>
    <row r="2005" spans="1:3" x14ac:dyDescent="0.2">
      <c r="A2005" s="1">
        <v>43187</v>
      </c>
      <c r="B2005">
        <v>28.86</v>
      </c>
      <c r="C2005" s="2">
        <f t="shared" si="31"/>
        <v>3.0252043170520871E-2</v>
      </c>
    </row>
    <row r="2006" spans="1:3" x14ac:dyDescent="0.2">
      <c r="A2006" s="1">
        <v>43186</v>
      </c>
      <c r="B2006">
        <v>28</v>
      </c>
      <c r="C2006" s="2">
        <f t="shared" si="31"/>
        <v>1.7291497110061043E-2</v>
      </c>
    </row>
    <row r="2007" spans="1:3" x14ac:dyDescent="0.2">
      <c r="A2007" s="1">
        <v>43185</v>
      </c>
      <c r="B2007">
        <v>27.52</v>
      </c>
      <c r="C2007" s="2">
        <f t="shared" si="31"/>
        <v>-3.077165866675366E-2</v>
      </c>
    </row>
    <row r="2008" spans="1:3" x14ac:dyDescent="0.2">
      <c r="A2008" s="1">
        <v>43182</v>
      </c>
      <c r="B2008">
        <v>28.38</v>
      </c>
      <c r="C2008" s="2">
        <f t="shared" si="31"/>
        <v>-1.4084509370580721E-3</v>
      </c>
    </row>
    <row r="2009" spans="1:3" x14ac:dyDescent="0.2">
      <c r="A2009" s="1">
        <v>43181</v>
      </c>
      <c r="B2009">
        <v>28.42</v>
      </c>
      <c r="C2009" s="2">
        <f t="shared" si="31"/>
        <v>-2.1089638748204298E-3</v>
      </c>
    </row>
    <row r="2010" spans="1:3" x14ac:dyDescent="0.2">
      <c r="A2010" s="1">
        <v>43180</v>
      </c>
      <c r="B2010">
        <v>28.48</v>
      </c>
      <c r="C2010" s="2">
        <f t="shared" si="31"/>
        <v>-4.2046312820319242E-3</v>
      </c>
    </row>
    <row r="2011" spans="1:3" x14ac:dyDescent="0.2">
      <c r="A2011" s="1">
        <v>43179</v>
      </c>
      <c r="B2011">
        <v>28.6</v>
      </c>
      <c r="C2011" s="2">
        <f t="shared" si="31"/>
        <v>-1.5611765472113315E-2</v>
      </c>
    </row>
    <row r="2012" spans="1:3" x14ac:dyDescent="0.2">
      <c r="A2012" s="1">
        <v>43178</v>
      </c>
      <c r="B2012">
        <v>29.05</v>
      </c>
      <c r="C2012" s="2">
        <f t="shared" si="31"/>
        <v>-9.2513937205304774E-3</v>
      </c>
    </row>
    <row r="2013" spans="1:3" x14ac:dyDescent="0.2">
      <c r="A2013" s="1">
        <v>43175</v>
      </c>
      <c r="B2013">
        <v>29.32</v>
      </c>
      <c r="C2013" s="2">
        <f t="shared" si="31"/>
        <v>-5.7813458087340496E-3</v>
      </c>
    </row>
    <row r="2014" spans="1:3" x14ac:dyDescent="0.2">
      <c r="A2014" s="1">
        <v>43174</v>
      </c>
      <c r="B2014">
        <v>29.49</v>
      </c>
      <c r="C2014" s="2">
        <f t="shared" si="31"/>
        <v>1.1253315686727453E-2</v>
      </c>
    </row>
    <row r="2015" spans="1:3" x14ac:dyDescent="0.2">
      <c r="A2015" s="1">
        <v>43173</v>
      </c>
      <c r="B2015">
        <v>29.16</v>
      </c>
      <c r="C2015" s="2">
        <f t="shared" si="31"/>
        <v>-4.7896088825642048E-3</v>
      </c>
    </row>
    <row r="2016" spans="1:3" x14ac:dyDescent="0.2">
      <c r="A2016" s="1">
        <v>43172</v>
      </c>
      <c r="B2016">
        <v>29.3</v>
      </c>
      <c r="C2016" s="2">
        <f t="shared" si="31"/>
        <v>-1.2211820686764446E-2</v>
      </c>
    </row>
    <row r="2017" spans="1:3" x14ac:dyDescent="0.2">
      <c r="A2017" s="1">
        <v>43171</v>
      </c>
      <c r="B2017">
        <v>29.66</v>
      </c>
      <c r="C2017" s="2">
        <f t="shared" si="31"/>
        <v>-1.4393553932167796E-2</v>
      </c>
    </row>
    <row r="2018" spans="1:3" x14ac:dyDescent="0.2">
      <c r="A2018" s="1">
        <v>43168</v>
      </c>
      <c r="B2018">
        <v>30.09</v>
      </c>
      <c r="C2018" s="2">
        <f t="shared" si="31"/>
        <v>9.6844971305949691E-3</v>
      </c>
    </row>
    <row r="2019" spans="1:3" x14ac:dyDescent="0.2">
      <c r="A2019" s="1">
        <v>43167</v>
      </c>
      <c r="B2019">
        <v>29.8</v>
      </c>
      <c r="C2019" s="2">
        <f t="shared" si="31"/>
        <v>-4.3529283532487157E-3</v>
      </c>
    </row>
    <row r="2020" spans="1:3" x14ac:dyDescent="0.2">
      <c r="A2020" s="1">
        <v>43166</v>
      </c>
      <c r="B2020">
        <v>29.93</v>
      </c>
      <c r="C2020" s="2">
        <f t="shared" si="31"/>
        <v>3.2255384972071262E-2</v>
      </c>
    </row>
    <row r="2021" spans="1:3" x14ac:dyDescent="0.2">
      <c r="A2021" s="1">
        <v>43165</v>
      </c>
      <c r="B2021">
        <v>28.98</v>
      </c>
      <c r="C2021" s="2">
        <f t="shared" si="31"/>
        <v>3.1104224143923302E-3</v>
      </c>
    </row>
    <row r="2022" spans="1:3" x14ac:dyDescent="0.2">
      <c r="A2022" s="1">
        <v>43164</v>
      </c>
      <c r="B2022">
        <v>28.89</v>
      </c>
      <c r="C2022" s="2">
        <f t="shared" si="31"/>
        <v>1.8515812814217266E-2</v>
      </c>
    </row>
    <row r="2023" spans="1:3" x14ac:dyDescent="0.2">
      <c r="A2023" s="1">
        <v>43161</v>
      </c>
      <c r="B2023">
        <v>28.36</v>
      </c>
      <c r="C2023" s="2">
        <f t="shared" si="31"/>
        <v>-2.4727012906857852E-2</v>
      </c>
    </row>
    <row r="2024" spans="1:3" x14ac:dyDescent="0.2">
      <c r="A2024" s="1">
        <v>43160</v>
      </c>
      <c r="B2024">
        <v>29.07</v>
      </c>
      <c r="C2024" s="2">
        <f t="shared" si="31"/>
        <v>-1.2987195526811079E-2</v>
      </c>
    </row>
    <row r="2025" spans="1:3" x14ac:dyDescent="0.2">
      <c r="A2025" s="1">
        <v>43159</v>
      </c>
      <c r="B2025">
        <v>29.45</v>
      </c>
      <c r="C2025" s="2">
        <f t="shared" si="31"/>
        <v>-8.4531357110582388E-3</v>
      </c>
    </row>
    <row r="2026" spans="1:3" x14ac:dyDescent="0.2">
      <c r="A2026" s="1">
        <v>43158</v>
      </c>
      <c r="B2026">
        <v>29.7</v>
      </c>
      <c r="C2026" s="2">
        <f t="shared" si="31"/>
        <v>-6.7114345879868038E-3</v>
      </c>
    </row>
    <row r="2027" spans="1:3" x14ac:dyDescent="0.2">
      <c r="A2027" s="1">
        <v>43157</v>
      </c>
      <c r="B2027">
        <v>29.9</v>
      </c>
      <c r="C2027" s="2">
        <f t="shared" si="31"/>
        <v>2.8495822254503849E-2</v>
      </c>
    </row>
    <row r="2028" spans="1:3" x14ac:dyDescent="0.2">
      <c r="A2028" s="1">
        <v>43154</v>
      </c>
      <c r="B2028">
        <v>29.06</v>
      </c>
      <c r="C2028" s="2">
        <f t="shared" si="31"/>
        <v>-8.2248578808848099E-3</v>
      </c>
    </row>
    <row r="2029" spans="1:3" x14ac:dyDescent="0.2">
      <c r="A2029" s="1">
        <v>43153</v>
      </c>
      <c r="B2029">
        <v>29.3</v>
      </c>
      <c r="C2029" s="2">
        <f t="shared" si="31"/>
        <v>-6.8027473227525231E-3</v>
      </c>
    </row>
    <row r="2030" spans="1:3" x14ac:dyDescent="0.2">
      <c r="A2030" s="1">
        <v>43152</v>
      </c>
      <c r="B2030">
        <v>29.5</v>
      </c>
      <c r="C2030" s="2">
        <f t="shared" si="31"/>
        <v>-1.7473562859541759E-2</v>
      </c>
    </row>
    <row r="2031" spans="1:3" x14ac:dyDescent="0.2">
      <c r="A2031" s="1">
        <v>43151</v>
      </c>
      <c r="B2031">
        <v>30.02</v>
      </c>
      <c r="C2031" s="2">
        <f t="shared" si="31"/>
        <v>-2.174715029373956E-2</v>
      </c>
    </row>
    <row r="2032" spans="1:3" x14ac:dyDescent="0.2">
      <c r="A2032" s="1">
        <v>43150</v>
      </c>
      <c r="B2032">
        <v>30.68</v>
      </c>
      <c r="C2032" s="2">
        <f t="shared" si="31"/>
        <v>-1.4561007954461375E-2</v>
      </c>
    </row>
    <row r="2033" spans="1:3" x14ac:dyDescent="0.2">
      <c r="A2033" s="1">
        <v>43147</v>
      </c>
      <c r="B2033">
        <v>31.13</v>
      </c>
      <c r="C2033" s="2">
        <f t="shared" si="31"/>
        <v>1.4561007954461342E-2</v>
      </c>
    </row>
    <row r="2034" spans="1:3" x14ac:dyDescent="0.2">
      <c r="A2034" s="1">
        <v>43146</v>
      </c>
      <c r="B2034">
        <v>30.68</v>
      </c>
      <c r="C2034" s="2">
        <f t="shared" si="31"/>
        <v>-1.2631746905900574E-2</v>
      </c>
    </row>
    <row r="2035" spans="1:3" x14ac:dyDescent="0.2">
      <c r="A2035" s="1">
        <v>43145</v>
      </c>
      <c r="B2035">
        <v>31.07</v>
      </c>
      <c r="C2035" s="2">
        <f t="shared" si="31"/>
        <v>4.7792914565303241E-2</v>
      </c>
    </row>
    <row r="2036" spans="1:3" x14ac:dyDescent="0.2">
      <c r="A2036" s="1">
        <v>43144</v>
      </c>
      <c r="B2036">
        <v>29.62</v>
      </c>
      <c r="C2036" s="2">
        <f t="shared" si="31"/>
        <v>-1.9060934879094743E-2</v>
      </c>
    </row>
    <row r="2037" spans="1:3" x14ac:dyDescent="0.2">
      <c r="A2037" s="1">
        <v>43143</v>
      </c>
      <c r="B2037">
        <v>30.19</v>
      </c>
      <c r="C2037" s="2">
        <f t="shared" si="31"/>
        <v>-2.2274094795320498E-2</v>
      </c>
    </row>
    <row r="2038" spans="1:3" x14ac:dyDescent="0.2">
      <c r="A2038" s="1">
        <v>43140</v>
      </c>
      <c r="B2038">
        <v>30.87</v>
      </c>
      <c r="C2038" s="2">
        <f t="shared" si="31"/>
        <v>-3.4700282384006007E-2</v>
      </c>
    </row>
    <row r="2039" spans="1:3" x14ac:dyDescent="0.2">
      <c r="A2039" s="1">
        <v>43139</v>
      </c>
      <c r="B2039">
        <v>31.96</v>
      </c>
      <c r="C2039" s="2">
        <f t="shared" si="31"/>
        <v>-8.3982179499117335E-2</v>
      </c>
    </row>
    <row r="2040" spans="1:3" x14ac:dyDescent="0.2">
      <c r="A2040" s="1">
        <v>43138</v>
      </c>
      <c r="B2040">
        <v>34.76</v>
      </c>
      <c r="C2040" s="2">
        <f t="shared" si="31"/>
        <v>4.3510684444183351E-2</v>
      </c>
    </row>
    <row r="2041" spans="1:3" x14ac:dyDescent="0.2">
      <c r="A2041" s="1">
        <v>43137</v>
      </c>
      <c r="B2041">
        <v>33.28</v>
      </c>
      <c r="C2041" s="2">
        <f t="shared" si="31"/>
        <v>-3.6002708084306237E-2</v>
      </c>
    </row>
    <row r="2042" spans="1:3" x14ac:dyDescent="0.2">
      <c r="A2042" s="1">
        <v>43136</v>
      </c>
      <c r="B2042">
        <v>34.5</v>
      </c>
      <c r="C2042" s="2">
        <f t="shared" si="31"/>
        <v>-2.2356907101276562E-2</v>
      </c>
    </row>
    <row r="2043" spans="1:3" x14ac:dyDescent="0.2">
      <c r="A2043" s="1">
        <v>43133</v>
      </c>
      <c r="B2043">
        <v>35.28</v>
      </c>
      <c r="C2043" s="2">
        <f t="shared" si="31"/>
        <v>-2.6295221316676706E-2</v>
      </c>
    </row>
    <row r="2044" spans="1:3" x14ac:dyDescent="0.2">
      <c r="A2044" s="1">
        <v>43132</v>
      </c>
      <c r="B2044">
        <v>36.22</v>
      </c>
      <c r="C2044" s="2">
        <f t="shared" si="31"/>
        <v>-1.2347529627967348E-2</v>
      </c>
    </row>
    <row r="2045" spans="1:3" x14ac:dyDescent="0.2">
      <c r="A2045" s="1">
        <v>43131</v>
      </c>
      <c r="B2045">
        <v>36.67</v>
      </c>
      <c r="C2045" s="2">
        <f t="shared" si="31"/>
        <v>-1.3004789080533454E-2</v>
      </c>
    </row>
    <row r="2046" spans="1:3" x14ac:dyDescent="0.2">
      <c r="A2046" s="1">
        <v>43130</v>
      </c>
      <c r="B2046">
        <v>37.15</v>
      </c>
      <c r="C2046" s="2">
        <f t="shared" si="31"/>
        <v>-1.9723453866741316E-2</v>
      </c>
    </row>
    <row r="2047" spans="1:3" x14ac:dyDescent="0.2">
      <c r="A2047" s="1">
        <v>43129</v>
      </c>
      <c r="B2047">
        <v>37.89</v>
      </c>
      <c r="C2047" s="2">
        <f t="shared" si="31"/>
        <v>-1.3370234563171652E-2</v>
      </c>
    </row>
    <row r="2048" spans="1:3" x14ac:dyDescent="0.2">
      <c r="A2048" s="1">
        <v>43126</v>
      </c>
      <c r="B2048">
        <v>38.4</v>
      </c>
      <c r="C2048" s="2">
        <f t="shared" si="31"/>
        <v>1.7336919653276942E-2</v>
      </c>
    </row>
    <row r="2049" spans="1:3" x14ac:dyDescent="0.2">
      <c r="A2049" s="1">
        <v>43125</v>
      </c>
      <c r="B2049">
        <v>37.74</v>
      </c>
      <c r="C2049" s="2">
        <f t="shared" si="31"/>
        <v>-2.1175232899072055E-3</v>
      </c>
    </row>
    <row r="2050" spans="1:3" x14ac:dyDescent="0.2">
      <c r="A2050" s="1">
        <v>43124</v>
      </c>
      <c r="B2050">
        <v>37.82</v>
      </c>
      <c r="C2050" s="2">
        <f t="shared" si="31"/>
        <v>-1.4177186784925961E-2</v>
      </c>
    </row>
    <row r="2051" spans="1:3" x14ac:dyDescent="0.2">
      <c r="A2051" s="1">
        <v>43123</v>
      </c>
      <c r="B2051">
        <v>38.36</v>
      </c>
      <c r="C2051" s="2">
        <f t="shared" ref="C2051:C2114" si="32">+LN(B2051/B2052)</f>
        <v>-1.5629073251731606E-3</v>
      </c>
    </row>
    <row r="2052" spans="1:3" x14ac:dyDescent="0.2">
      <c r="A2052" s="1">
        <v>43122</v>
      </c>
      <c r="B2052">
        <v>38.42</v>
      </c>
      <c r="C2052" s="2">
        <f t="shared" si="32"/>
        <v>-3.6373124019342621E-3</v>
      </c>
    </row>
    <row r="2053" spans="1:3" x14ac:dyDescent="0.2">
      <c r="A2053" s="1">
        <v>43119</v>
      </c>
      <c r="B2053">
        <v>38.56</v>
      </c>
      <c r="C2053" s="2">
        <f t="shared" si="32"/>
        <v>2.1494929801940645E-2</v>
      </c>
    </row>
    <row r="2054" spans="1:3" x14ac:dyDescent="0.2">
      <c r="A2054" s="1">
        <v>43118</v>
      </c>
      <c r="B2054">
        <v>37.74</v>
      </c>
      <c r="C2054" s="2">
        <f t="shared" si="32"/>
        <v>7.9808883310130523E-3</v>
      </c>
    </row>
    <row r="2055" spans="1:3" x14ac:dyDescent="0.2">
      <c r="A2055" s="1">
        <v>43117</v>
      </c>
      <c r="B2055">
        <v>37.44</v>
      </c>
      <c r="C2055" s="2">
        <f t="shared" si="32"/>
        <v>-1.2739025777429826E-2</v>
      </c>
    </row>
    <row r="2056" spans="1:3" x14ac:dyDescent="0.2">
      <c r="A2056" s="1">
        <v>43116</v>
      </c>
      <c r="B2056">
        <v>37.92</v>
      </c>
      <c r="C2056" s="2">
        <f t="shared" si="32"/>
        <v>-5.2604013991801651E-3</v>
      </c>
    </row>
    <row r="2057" spans="1:3" x14ac:dyDescent="0.2">
      <c r="A2057" s="1">
        <v>43115</v>
      </c>
      <c r="B2057">
        <v>38.119999999999997</v>
      </c>
      <c r="C2057" s="2">
        <f t="shared" si="32"/>
        <v>-1.2513197684783949E-2</v>
      </c>
    </row>
    <row r="2058" spans="1:3" x14ac:dyDescent="0.2">
      <c r="A2058" s="1">
        <v>43112</v>
      </c>
      <c r="B2058">
        <v>38.6</v>
      </c>
      <c r="C2058" s="2">
        <f t="shared" si="32"/>
        <v>1.041676085825558E-2</v>
      </c>
    </row>
    <row r="2059" spans="1:3" x14ac:dyDescent="0.2">
      <c r="A2059" s="1">
        <v>43111</v>
      </c>
      <c r="B2059">
        <v>38.200000000000003</v>
      </c>
      <c r="C2059" s="2">
        <f t="shared" si="32"/>
        <v>-5.7426417278810217E-3</v>
      </c>
    </row>
    <row r="2060" spans="1:3" x14ac:dyDescent="0.2">
      <c r="A2060" s="1">
        <v>43110</v>
      </c>
      <c r="B2060">
        <v>38.42</v>
      </c>
      <c r="C2060" s="2">
        <f t="shared" si="32"/>
        <v>-7.2614426953255973E-3</v>
      </c>
    </row>
    <row r="2061" spans="1:3" x14ac:dyDescent="0.2">
      <c r="A2061" s="1">
        <v>43109</v>
      </c>
      <c r="B2061">
        <v>38.700000000000003</v>
      </c>
      <c r="C2061" s="2">
        <f t="shared" si="32"/>
        <v>4.6620131058113714E-3</v>
      </c>
    </row>
    <row r="2062" spans="1:3" x14ac:dyDescent="0.2">
      <c r="A2062" s="1">
        <v>43108</v>
      </c>
      <c r="B2062">
        <v>38.520000000000003</v>
      </c>
      <c r="C2062" s="2">
        <f t="shared" si="32"/>
        <v>4.1623369146873302E-3</v>
      </c>
    </row>
    <row r="2063" spans="1:3" x14ac:dyDescent="0.2">
      <c r="A2063" s="1">
        <v>43105</v>
      </c>
      <c r="B2063">
        <v>38.36</v>
      </c>
      <c r="C2063" s="2">
        <f t="shared" si="32"/>
        <v>1.7355155561272376E-2</v>
      </c>
    </row>
    <row r="2064" spans="1:3" x14ac:dyDescent="0.2">
      <c r="A2064" s="1">
        <v>43104</v>
      </c>
      <c r="B2064">
        <v>37.700000000000003</v>
      </c>
      <c r="C2064" s="2">
        <f t="shared" si="32"/>
        <v>1.5504186535965473E-2</v>
      </c>
    </row>
    <row r="2065" spans="1:3" x14ac:dyDescent="0.2">
      <c r="A2065" s="1">
        <v>43103</v>
      </c>
      <c r="B2065">
        <v>37.119999999999997</v>
      </c>
      <c r="C2065" s="2">
        <f t="shared" si="32"/>
        <v>-4.8374187317700582E-3</v>
      </c>
    </row>
    <row r="2066" spans="1:3" x14ac:dyDescent="0.2">
      <c r="A2066" s="1">
        <v>43102</v>
      </c>
      <c r="B2066">
        <v>37.299999999999997</v>
      </c>
      <c r="C2066" s="2">
        <f t="shared" si="32"/>
        <v>6.4551057925560582E-3</v>
      </c>
    </row>
    <row r="2067" spans="1:3" x14ac:dyDescent="0.2">
      <c r="A2067" s="1">
        <v>43098</v>
      </c>
      <c r="B2067">
        <v>37.06</v>
      </c>
      <c r="C2067" s="2">
        <f t="shared" si="32"/>
        <v>-8.8650681318085747E-3</v>
      </c>
    </row>
    <row r="2068" spans="1:3" x14ac:dyDescent="0.2">
      <c r="A2068" s="1">
        <v>43097</v>
      </c>
      <c r="B2068">
        <v>37.39</v>
      </c>
      <c r="C2068" s="2">
        <f t="shared" si="32"/>
        <v>1.6059960625298382E-3</v>
      </c>
    </row>
    <row r="2069" spans="1:3" x14ac:dyDescent="0.2">
      <c r="A2069" s="1">
        <v>43096</v>
      </c>
      <c r="B2069">
        <v>37.33</v>
      </c>
      <c r="C2069" s="2">
        <f t="shared" si="32"/>
        <v>8.8793802822680484E-3</v>
      </c>
    </row>
    <row r="2070" spans="1:3" x14ac:dyDescent="0.2">
      <c r="A2070" s="1">
        <v>43091</v>
      </c>
      <c r="B2070">
        <v>37</v>
      </c>
      <c r="C2070" s="2">
        <f t="shared" si="32"/>
        <v>1.4976454189557259E-2</v>
      </c>
    </row>
    <row r="2071" spans="1:3" x14ac:dyDescent="0.2">
      <c r="A2071" s="1">
        <v>43090</v>
      </c>
      <c r="B2071">
        <v>36.450000000000003</v>
      </c>
      <c r="C2071" s="2">
        <f t="shared" si="32"/>
        <v>-3.5601845080523117E-3</v>
      </c>
    </row>
    <row r="2072" spans="1:3" x14ac:dyDescent="0.2">
      <c r="A2072" s="1">
        <v>43089</v>
      </c>
      <c r="B2072">
        <v>36.58</v>
      </c>
      <c r="C2072" s="2">
        <f t="shared" si="32"/>
        <v>-1.7613244921905892E-2</v>
      </c>
    </row>
    <row r="2073" spans="1:3" x14ac:dyDescent="0.2">
      <c r="A2073" s="1">
        <v>43088</v>
      </c>
      <c r="B2073">
        <v>37.229999999999997</v>
      </c>
      <c r="C2073" s="2">
        <f t="shared" si="32"/>
        <v>-5.3705694094302418E-4</v>
      </c>
    </row>
    <row r="2074" spans="1:3" x14ac:dyDescent="0.2">
      <c r="A2074" s="1">
        <v>43087</v>
      </c>
      <c r="B2074">
        <v>37.25</v>
      </c>
      <c r="C2074" s="2">
        <f t="shared" si="32"/>
        <v>1.8423712664278662E-2</v>
      </c>
    </row>
    <row r="2075" spans="1:3" x14ac:dyDescent="0.2">
      <c r="A2075" s="1">
        <v>43084</v>
      </c>
      <c r="B2075">
        <v>36.57</v>
      </c>
      <c r="C2075" s="2">
        <f t="shared" si="32"/>
        <v>-1.2230074984061626E-2</v>
      </c>
    </row>
    <row r="2076" spans="1:3" x14ac:dyDescent="0.2">
      <c r="A2076" s="1">
        <v>43083</v>
      </c>
      <c r="B2076">
        <v>37.020000000000003</v>
      </c>
      <c r="C2076" s="2">
        <f t="shared" si="32"/>
        <v>-2.0586210216046005E-2</v>
      </c>
    </row>
    <row r="2077" spans="1:3" x14ac:dyDescent="0.2">
      <c r="A2077" s="1">
        <v>43082</v>
      </c>
      <c r="B2077">
        <v>37.79</v>
      </c>
      <c r="C2077" s="2">
        <f t="shared" si="32"/>
        <v>-2.4053447228159126E-2</v>
      </c>
    </row>
    <row r="2078" spans="1:3" x14ac:dyDescent="0.2">
      <c r="A2078" s="1">
        <v>43081</v>
      </c>
      <c r="B2078">
        <v>38.71</v>
      </c>
      <c r="C2078" s="2">
        <f t="shared" si="32"/>
        <v>2.0687879113668443E-3</v>
      </c>
    </row>
    <row r="2079" spans="1:3" x14ac:dyDescent="0.2">
      <c r="A2079" s="1">
        <v>43080</v>
      </c>
      <c r="B2079">
        <v>38.630000000000003</v>
      </c>
      <c r="C2079" s="2">
        <f t="shared" si="32"/>
        <v>-1.2934939069035296E-3</v>
      </c>
    </row>
    <row r="2080" spans="1:3" x14ac:dyDescent="0.2">
      <c r="A2080" s="1">
        <v>43077</v>
      </c>
      <c r="B2080">
        <v>38.68</v>
      </c>
      <c r="C2080" s="2">
        <f t="shared" si="32"/>
        <v>1.642158627739888E-2</v>
      </c>
    </row>
    <row r="2081" spans="1:3" x14ac:dyDescent="0.2">
      <c r="A2081" s="1">
        <v>43076</v>
      </c>
      <c r="B2081">
        <v>38.049999999999997</v>
      </c>
      <c r="C2081" s="2">
        <f t="shared" si="32"/>
        <v>-6.8098744048629145E-3</v>
      </c>
    </row>
    <row r="2082" spans="1:3" x14ac:dyDescent="0.2">
      <c r="A2082" s="1">
        <v>43075</v>
      </c>
      <c r="B2082">
        <v>38.31</v>
      </c>
      <c r="C2082" s="2">
        <f t="shared" si="32"/>
        <v>-1.0903534814103024E-2</v>
      </c>
    </row>
    <row r="2083" spans="1:3" x14ac:dyDescent="0.2">
      <c r="A2083" s="1">
        <v>43074</v>
      </c>
      <c r="B2083">
        <v>38.729999999999997</v>
      </c>
      <c r="C2083" s="2">
        <f t="shared" si="32"/>
        <v>2.1927268496151391E-2</v>
      </c>
    </row>
    <row r="2084" spans="1:3" x14ac:dyDescent="0.2">
      <c r="A2084" s="1">
        <v>43073</v>
      </c>
      <c r="B2084">
        <v>37.89</v>
      </c>
      <c r="C2084" s="2">
        <f t="shared" si="32"/>
        <v>6.8856204251633944E-3</v>
      </c>
    </row>
    <row r="2085" spans="1:3" x14ac:dyDescent="0.2">
      <c r="A2085" s="1">
        <v>43070</v>
      </c>
      <c r="B2085">
        <v>37.630000000000003</v>
      </c>
      <c r="C2085" s="2">
        <f t="shared" si="32"/>
        <v>-4.5074980201959521E-3</v>
      </c>
    </row>
    <row r="2086" spans="1:3" x14ac:dyDescent="0.2">
      <c r="A2086" s="1">
        <v>43069</v>
      </c>
      <c r="B2086">
        <v>37.799999999999997</v>
      </c>
      <c r="C2086" s="2">
        <f t="shared" si="32"/>
        <v>4.7732787526575905E-3</v>
      </c>
    </row>
    <row r="2087" spans="1:3" x14ac:dyDescent="0.2">
      <c r="A2087" s="1">
        <v>43068</v>
      </c>
      <c r="B2087">
        <v>37.619999999999997</v>
      </c>
      <c r="C2087" s="2">
        <f t="shared" si="32"/>
        <v>-9.5238815112554786E-3</v>
      </c>
    </row>
    <row r="2088" spans="1:3" x14ac:dyDescent="0.2">
      <c r="A2088" s="1">
        <v>43067</v>
      </c>
      <c r="B2088">
        <v>37.979999999999997</v>
      </c>
      <c r="C2088" s="2">
        <f t="shared" si="32"/>
        <v>0</v>
      </c>
    </row>
    <row r="2089" spans="1:3" x14ac:dyDescent="0.2">
      <c r="A2089" s="1">
        <v>43066</v>
      </c>
      <c r="B2089">
        <v>37.979999999999997</v>
      </c>
      <c r="C2089" s="2">
        <f t="shared" si="32"/>
        <v>-2.6326181539451784E-4</v>
      </c>
    </row>
    <row r="2090" spans="1:3" x14ac:dyDescent="0.2">
      <c r="A2090" s="1">
        <v>43063</v>
      </c>
      <c r="B2090">
        <v>37.99</v>
      </c>
      <c r="C2090" s="2">
        <f t="shared" si="32"/>
        <v>-6.820593073010639E-3</v>
      </c>
    </row>
    <row r="2091" spans="1:3" x14ac:dyDescent="0.2">
      <c r="A2091" s="1">
        <v>43062</v>
      </c>
      <c r="B2091">
        <v>38.25</v>
      </c>
      <c r="C2091" s="2">
        <f t="shared" si="32"/>
        <v>1.5698590351200523E-3</v>
      </c>
    </row>
    <row r="2092" spans="1:3" x14ac:dyDescent="0.2">
      <c r="A2092" s="1">
        <v>43061</v>
      </c>
      <c r="B2092">
        <v>38.19</v>
      </c>
      <c r="C2092" s="2">
        <f t="shared" si="32"/>
        <v>-3.6591781550389399E-3</v>
      </c>
    </row>
    <row r="2093" spans="1:3" x14ac:dyDescent="0.2">
      <c r="A2093" s="1">
        <v>43060</v>
      </c>
      <c r="B2093">
        <v>38.33</v>
      </c>
      <c r="C2093" s="2">
        <f t="shared" si="32"/>
        <v>1.3053128077101679E-3</v>
      </c>
    </row>
    <row r="2094" spans="1:3" x14ac:dyDescent="0.2">
      <c r="A2094" s="1">
        <v>43059</v>
      </c>
      <c r="B2094">
        <v>38.28</v>
      </c>
      <c r="C2094" s="2">
        <f t="shared" si="32"/>
        <v>6.2893289075639184E-3</v>
      </c>
    </row>
    <row r="2095" spans="1:3" x14ac:dyDescent="0.2">
      <c r="A2095" s="1">
        <v>43056</v>
      </c>
      <c r="B2095">
        <v>38.04</v>
      </c>
      <c r="C2095" s="2">
        <f t="shared" si="32"/>
        <v>-1.5649771667127776E-2</v>
      </c>
    </row>
    <row r="2096" spans="1:3" x14ac:dyDescent="0.2">
      <c r="A2096" s="1">
        <v>43055</v>
      </c>
      <c r="B2096">
        <v>38.64</v>
      </c>
      <c r="C2096" s="2">
        <f t="shared" si="32"/>
        <v>1.2238142587178813E-2</v>
      </c>
    </row>
    <row r="2097" spans="1:3" x14ac:dyDescent="0.2">
      <c r="A2097" s="1">
        <v>43054</v>
      </c>
      <c r="B2097">
        <v>38.17</v>
      </c>
      <c r="C2097" s="2">
        <f t="shared" si="32"/>
        <v>-1.9715294865225913E-2</v>
      </c>
    </row>
    <row r="2098" spans="1:3" x14ac:dyDescent="0.2">
      <c r="A2098" s="1">
        <v>43053</v>
      </c>
      <c r="B2098">
        <v>38.93</v>
      </c>
      <c r="C2098" s="2">
        <f t="shared" si="32"/>
        <v>8.2538513462194381E-3</v>
      </c>
    </row>
    <row r="2099" spans="1:3" x14ac:dyDescent="0.2">
      <c r="A2099" s="1">
        <v>43052</v>
      </c>
      <c r="B2099">
        <v>38.61</v>
      </c>
      <c r="C2099" s="2">
        <f t="shared" si="32"/>
        <v>-5.1666351046700445E-3</v>
      </c>
    </row>
    <row r="2100" spans="1:3" x14ac:dyDescent="0.2">
      <c r="A2100" s="1">
        <v>43049</v>
      </c>
      <c r="B2100">
        <v>38.81</v>
      </c>
      <c r="C2100" s="2">
        <f t="shared" si="32"/>
        <v>-2.8303119369893102E-3</v>
      </c>
    </row>
    <row r="2101" spans="1:3" x14ac:dyDescent="0.2">
      <c r="A2101" s="1">
        <v>43048</v>
      </c>
      <c r="B2101">
        <v>38.92</v>
      </c>
      <c r="C2101" s="2">
        <f t="shared" si="32"/>
        <v>-2.73711967961319E-2</v>
      </c>
    </row>
    <row r="2102" spans="1:3" x14ac:dyDescent="0.2">
      <c r="A2102" s="1">
        <v>43047</v>
      </c>
      <c r="B2102">
        <v>40</v>
      </c>
      <c r="C2102" s="2">
        <f t="shared" si="32"/>
        <v>5.5151806881101433E-3</v>
      </c>
    </row>
    <row r="2103" spans="1:3" x14ac:dyDescent="0.2">
      <c r="A2103" s="1">
        <v>43046</v>
      </c>
      <c r="B2103">
        <v>39.78</v>
      </c>
      <c r="C2103" s="2">
        <f t="shared" si="32"/>
        <v>-1.6949558313773205E-2</v>
      </c>
    </row>
    <row r="2104" spans="1:3" x14ac:dyDescent="0.2">
      <c r="A2104" s="1">
        <v>43045</v>
      </c>
      <c r="B2104">
        <v>40.46</v>
      </c>
      <c r="C2104" s="2">
        <f t="shared" si="32"/>
        <v>-3.4542348680875576E-3</v>
      </c>
    </row>
    <row r="2105" spans="1:3" x14ac:dyDescent="0.2">
      <c r="A2105" s="1">
        <v>43042</v>
      </c>
      <c r="B2105">
        <v>40.6</v>
      </c>
      <c r="C2105" s="2">
        <f t="shared" si="32"/>
        <v>1.9649929595461062E-2</v>
      </c>
    </row>
    <row r="2106" spans="1:3" x14ac:dyDescent="0.2">
      <c r="A2106" s="1">
        <v>43041</v>
      </c>
      <c r="B2106">
        <v>39.81</v>
      </c>
      <c r="C2106" s="2">
        <f t="shared" si="32"/>
        <v>-1.1240283199419433E-2</v>
      </c>
    </row>
    <row r="2107" spans="1:3" x14ac:dyDescent="0.2">
      <c r="A2107" s="1">
        <v>43040</v>
      </c>
      <c r="B2107">
        <v>40.26</v>
      </c>
      <c r="C2107" s="2">
        <f t="shared" si="32"/>
        <v>8.7315011510028396E-3</v>
      </c>
    </row>
    <row r="2108" spans="1:3" x14ac:dyDescent="0.2">
      <c r="A2108" s="1">
        <v>43039</v>
      </c>
      <c r="B2108">
        <v>39.909999999999997</v>
      </c>
      <c r="C2108" s="2">
        <f t="shared" si="32"/>
        <v>-4.9987607213190111E-3</v>
      </c>
    </row>
    <row r="2109" spans="1:3" x14ac:dyDescent="0.2">
      <c r="A2109" s="1">
        <v>43038</v>
      </c>
      <c r="B2109">
        <v>40.11</v>
      </c>
      <c r="C2109" s="2">
        <f t="shared" si="32"/>
        <v>5.5000138646461062E-3</v>
      </c>
    </row>
    <row r="2110" spans="1:3" x14ac:dyDescent="0.2">
      <c r="A2110" s="1">
        <v>43035</v>
      </c>
      <c r="B2110">
        <v>39.89</v>
      </c>
      <c r="C2110" s="2">
        <f t="shared" si="32"/>
        <v>4.7744782241704786E-3</v>
      </c>
    </row>
    <row r="2111" spans="1:3" x14ac:dyDescent="0.2">
      <c r="A2111" s="1">
        <v>43034</v>
      </c>
      <c r="B2111">
        <v>39.700000000000003</v>
      </c>
      <c r="C2111" s="2">
        <f t="shared" si="32"/>
        <v>2.5220694327099391E-3</v>
      </c>
    </row>
    <row r="2112" spans="1:3" x14ac:dyDescent="0.2">
      <c r="A2112" s="1">
        <v>43033</v>
      </c>
      <c r="B2112">
        <v>39.6</v>
      </c>
      <c r="C2112" s="2">
        <f t="shared" si="32"/>
        <v>-1.4540241126353406E-2</v>
      </c>
    </row>
    <row r="2113" spans="1:3" x14ac:dyDescent="0.2">
      <c r="A2113" s="1">
        <v>43032</v>
      </c>
      <c r="B2113">
        <v>40.18</v>
      </c>
      <c r="C2113" s="2">
        <f t="shared" si="32"/>
        <v>5.9910313991191596E-3</v>
      </c>
    </row>
    <row r="2114" spans="1:3" x14ac:dyDescent="0.2">
      <c r="A2114" s="1">
        <v>43031</v>
      </c>
      <c r="B2114">
        <v>39.94</v>
      </c>
      <c r="C2114" s="2">
        <f t="shared" si="32"/>
        <v>5.7752828445089459E-3</v>
      </c>
    </row>
    <row r="2115" spans="1:3" x14ac:dyDescent="0.2">
      <c r="A2115" s="1">
        <v>43028</v>
      </c>
      <c r="B2115">
        <v>39.71</v>
      </c>
      <c r="C2115" s="2">
        <f t="shared" ref="C2115:C2178" si="33">+LN(B2115/B2116)</f>
        <v>4.5431678345659223E-3</v>
      </c>
    </row>
    <row r="2116" spans="1:3" x14ac:dyDescent="0.2">
      <c r="A2116" s="1">
        <v>43027</v>
      </c>
      <c r="B2116">
        <v>39.53</v>
      </c>
      <c r="C2116" s="2">
        <f t="shared" si="33"/>
        <v>-3.535357217644633E-3</v>
      </c>
    </row>
    <row r="2117" spans="1:3" x14ac:dyDescent="0.2">
      <c r="A2117" s="1">
        <v>43026</v>
      </c>
      <c r="B2117">
        <v>39.67</v>
      </c>
      <c r="C2117" s="2">
        <f t="shared" si="33"/>
        <v>1.5136228924136018E-3</v>
      </c>
    </row>
    <row r="2118" spans="1:3" x14ac:dyDescent="0.2">
      <c r="A2118" s="1">
        <v>43025</v>
      </c>
      <c r="B2118">
        <v>39.61</v>
      </c>
      <c r="C2118" s="2">
        <f t="shared" si="33"/>
        <v>-1.2294722678698251E-2</v>
      </c>
    </row>
    <row r="2119" spans="1:3" x14ac:dyDescent="0.2">
      <c r="A2119" s="1">
        <v>43024</v>
      </c>
      <c r="B2119">
        <v>40.1</v>
      </c>
      <c r="C2119" s="2">
        <f t="shared" si="33"/>
        <v>7.760709873686389E-3</v>
      </c>
    </row>
    <row r="2120" spans="1:3" x14ac:dyDescent="0.2">
      <c r="A2120" s="1">
        <v>43021</v>
      </c>
      <c r="B2120">
        <v>39.79</v>
      </c>
      <c r="C2120" s="2">
        <f t="shared" si="33"/>
        <v>-7.2618323377720857E-3</v>
      </c>
    </row>
    <row r="2121" spans="1:3" x14ac:dyDescent="0.2">
      <c r="A2121" s="1">
        <v>43020</v>
      </c>
      <c r="B2121">
        <v>40.08</v>
      </c>
      <c r="C2121" s="2">
        <f t="shared" si="33"/>
        <v>6.257059583056503E-3</v>
      </c>
    </row>
    <row r="2122" spans="1:3" x14ac:dyDescent="0.2">
      <c r="A2122" s="1">
        <v>43019</v>
      </c>
      <c r="B2122">
        <v>39.83</v>
      </c>
      <c r="C2122" s="2">
        <f t="shared" si="33"/>
        <v>6.5491417962199143E-3</v>
      </c>
    </row>
    <row r="2123" spans="1:3" x14ac:dyDescent="0.2">
      <c r="A2123" s="1">
        <v>43018</v>
      </c>
      <c r="B2123">
        <v>39.57</v>
      </c>
      <c r="C2123" s="2">
        <f t="shared" si="33"/>
        <v>-7.3020593873156844E-3</v>
      </c>
    </row>
    <row r="2124" spans="1:3" x14ac:dyDescent="0.2">
      <c r="A2124" s="1">
        <v>43017</v>
      </c>
      <c r="B2124">
        <v>39.86</v>
      </c>
      <c r="C2124" s="2">
        <f t="shared" si="33"/>
        <v>7.302059387315798E-3</v>
      </c>
    </row>
    <row r="2125" spans="1:3" x14ac:dyDescent="0.2">
      <c r="A2125" s="1">
        <v>43014</v>
      </c>
      <c r="B2125">
        <v>39.57</v>
      </c>
      <c r="C2125" s="2">
        <f t="shared" si="33"/>
        <v>7.5843765486218004E-4</v>
      </c>
    </row>
    <row r="2126" spans="1:3" x14ac:dyDescent="0.2">
      <c r="A2126" s="1">
        <v>43013</v>
      </c>
      <c r="B2126">
        <v>39.54</v>
      </c>
      <c r="C2126" s="2">
        <f t="shared" si="33"/>
        <v>3.2932265355584988E-3</v>
      </c>
    </row>
    <row r="2127" spans="1:3" x14ac:dyDescent="0.2">
      <c r="A2127" s="1">
        <v>43012</v>
      </c>
      <c r="B2127">
        <v>39.409999999999997</v>
      </c>
      <c r="C2127" s="2">
        <f t="shared" si="33"/>
        <v>6.8746292389820166E-3</v>
      </c>
    </row>
    <row r="2128" spans="1:3" x14ac:dyDescent="0.2">
      <c r="A2128" s="1">
        <v>43011</v>
      </c>
      <c r="B2128">
        <v>39.14</v>
      </c>
      <c r="C2128" s="2">
        <f t="shared" si="33"/>
        <v>-5.8591429877159285E-3</v>
      </c>
    </row>
    <row r="2129" spans="1:3" x14ac:dyDescent="0.2">
      <c r="A2129" s="1">
        <v>43010</v>
      </c>
      <c r="B2129">
        <v>39.369999999999997</v>
      </c>
      <c r="C2129" s="2">
        <f t="shared" si="33"/>
        <v>9.4424588259996028E-3</v>
      </c>
    </row>
    <row r="2130" spans="1:3" x14ac:dyDescent="0.2">
      <c r="A2130" s="1">
        <v>43007</v>
      </c>
      <c r="B2130">
        <v>39</v>
      </c>
      <c r="C2130" s="2">
        <f t="shared" si="33"/>
        <v>-1.0204170174241623E-2</v>
      </c>
    </row>
    <row r="2131" spans="1:3" x14ac:dyDescent="0.2">
      <c r="A2131" s="1">
        <v>43006</v>
      </c>
      <c r="B2131">
        <v>39.4</v>
      </c>
      <c r="C2131" s="2">
        <f t="shared" si="33"/>
        <v>1.4057739490231511E-2</v>
      </c>
    </row>
    <row r="2132" spans="1:3" x14ac:dyDescent="0.2">
      <c r="A2132" s="1">
        <v>43005</v>
      </c>
      <c r="B2132">
        <v>38.85</v>
      </c>
      <c r="C2132" s="2">
        <f t="shared" si="33"/>
        <v>-2.8274019606778413E-3</v>
      </c>
    </row>
    <row r="2133" spans="1:3" x14ac:dyDescent="0.2">
      <c r="A2133" s="1">
        <v>43004</v>
      </c>
      <c r="B2133">
        <v>38.96</v>
      </c>
      <c r="C2133" s="2">
        <f t="shared" si="33"/>
        <v>-2.8194302926448384E-3</v>
      </c>
    </row>
    <row r="2134" spans="1:3" x14ac:dyDescent="0.2">
      <c r="A2134" s="1">
        <v>43003</v>
      </c>
      <c r="B2134">
        <v>39.07</v>
      </c>
      <c r="C2134" s="2">
        <f t="shared" si="33"/>
        <v>1.5736168906345636E-2</v>
      </c>
    </row>
    <row r="2135" spans="1:3" x14ac:dyDescent="0.2">
      <c r="A2135" s="1">
        <v>43000</v>
      </c>
      <c r="B2135">
        <v>38.46</v>
      </c>
      <c r="C2135" s="2">
        <f t="shared" si="33"/>
        <v>1.4140062773812693E-2</v>
      </c>
    </row>
    <row r="2136" spans="1:3" x14ac:dyDescent="0.2">
      <c r="A2136" s="1">
        <v>42999</v>
      </c>
      <c r="B2136">
        <v>37.92</v>
      </c>
      <c r="C2136" s="2">
        <f t="shared" si="33"/>
        <v>6.3492276786587445E-3</v>
      </c>
    </row>
    <row r="2137" spans="1:3" x14ac:dyDescent="0.2">
      <c r="A2137" s="1">
        <v>42998</v>
      </c>
      <c r="B2137">
        <v>37.68</v>
      </c>
      <c r="C2137" s="2">
        <f t="shared" si="33"/>
        <v>6.1227397449336767E-3</v>
      </c>
    </row>
    <row r="2138" spans="1:3" x14ac:dyDescent="0.2">
      <c r="A2138" s="1">
        <v>42997</v>
      </c>
      <c r="B2138">
        <v>37.450000000000003</v>
      </c>
      <c r="C2138" s="2">
        <f t="shared" si="33"/>
        <v>4.5497201458381004E-3</v>
      </c>
    </row>
    <row r="2139" spans="1:3" x14ac:dyDescent="0.2">
      <c r="A2139" s="1">
        <v>42996</v>
      </c>
      <c r="B2139">
        <v>37.28</v>
      </c>
      <c r="C2139" s="2">
        <f t="shared" si="33"/>
        <v>7.8093839730277916E-3</v>
      </c>
    </row>
    <row r="2140" spans="1:3" x14ac:dyDescent="0.2">
      <c r="A2140" s="1">
        <v>42993</v>
      </c>
      <c r="B2140">
        <v>36.99</v>
      </c>
      <c r="C2140" s="2">
        <f t="shared" si="33"/>
        <v>-1.2359104118865901E-2</v>
      </c>
    </row>
    <row r="2141" spans="1:3" x14ac:dyDescent="0.2">
      <c r="A2141" s="1">
        <v>42992</v>
      </c>
      <c r="B2141">
        <v>37.450000000000003</v>
      </c>
      <c r="C2141" s="2">
        <f t="shared" si="33"/>
        <v>4.0133833134587413E-3</v>
      </c>
    </row>
    <row r="2142" spans="1:3" x14ac:dyDescent="0.2">
      <c r="A2142" s="1">
        <v>42991</v>
      </c>
      <c r="B2142">
        <v>37.299999999999997</v>
      </c>
      <c r="C2142" s="2">
        <f t="shared" si="33"/>
        <v>3.4913423406089019E-3</v>
      </c>
    </row>
    <row r="2143" spans="1:3" x14ac:dyDescent="0.2">
      <c r="A2143" s="1">
        <v>42990</v>
      </c>
      <c r="B2143">
        <v>37.17</v>
      </c>
      <c r="C2143" s="2">
        <f t="shared" si="33"/>
        <v>-1.3442669049438477E-3</v>
      </c>
    </row>
    <row r="2144" spans="1:3" x14ac:dyDescent="0.2">
      <c r="A2144" s="1">
        <v>42989</v>
      </c>
      <c r="B2144">
        <v>37.22</v>
      </c>
      <c r="C2144" s="2">
        <f t="shared" si="33"/>
        <v>6.4690252551259471E-3</v>
      </c>
    </row>
    <row r="2145" spans="1:3" x14ac:dyDescent="0.2">
      <c r="A2145" s="1">
        <v>42986</v>
      </c>
      <c r="B2145">
        <v>36.979999999999997</v>
      </c>
      <c r="C2145" s="2">
        <f t="shared" si="33"/>
        <v>1.4984614938506323E-2</v>
      </c>
    </row>
    <row r="2146" spans="1:3" x14ac:dyDescent="0.2">
      <c r="A2146" s="1">
        <v>42985</v>
      </c>
      <c r="B2146">
        <v>36.43</v>
      </c>
      <c r="C2146" s="2">
        <f t="shared" si="33"/>
        <v>7.1625650564658121E-3</v>
      </c>
    </row>
    <row r="2147" spans="1:3" x14ac:dyDescent="0.2">
      <c r="A2147" s="1">
        <v>42984</v>
      </c>
      <c r="B2147">
        <v>36.17</v>
      </c>
      <c r="C2147" s="2">
        <f t="shared" si="33"/>
        <v>-8.2907286771886327E-4</v>
      </c>
    </row>
    <row r="2148" spans="1:3" x14ac:dyDescent="0.2">
      <c r="A2148" s="1">
        <v>42983</v>
      </c>
      <c r="B2148">
        <v>36.200000000000003</v>
      </c>
      <c r="C2148" s="2">
        <f t="shared" si="33"/>
        <v>6.0958903093385267E-3</v>
      </c>
    </row>
    <row r="2149" spans="1:3" x14ac:dyDescent="0.2">
      <c r="A2149" s="1">
        <v>42982</v>
      </c>
      <c r="B2149">
        <v>35.979999999999997</v>
      </c>
      <c r="C2149" s="2">
        <f t="shared" si="33"/>
        <v>-1.0230975457141408E-2</v>
      </c>
    </row>
    <row r="2150" spans="1:3" x14ac:dyDescent="0.2">
      <c r="A2150" s="1">
        <v>42979</v>
      </c>
      <c r="B2150">
        <v>36.35</v>
      </c>
      <c r="C2150" s="2">
        <f t="shared" si="33"/>
        <v>1.0230975457141512E-2</v>
      </c>
    </row>
    <row r="2151" spans="1:3" x14ac:dyDescent="0.2">
      <c r="A2151" s="1">
        <v>42978</v>
      </c>
      <c r="B2151">
        <v>35.979999999999997</v>
      </c>
      <c r="C2151" s="2">
        <f t="shared" si="33"/>
        <v>9.2140816620820635E-3</v>
      </c>
    </row>
    <row r="2152" spans="1:3" x14ac:dyDescent="0.2">
      <c r="A2152" s="1">
        <v>42977</v>
      </c>
      <c r="B2152">
        <v>35.65</v>
      </c>
      <c r="C2152" s="2">
        <f t="shared" si="33"/>
        <v>1.3555700374413757E-2</v>
      </c>
    </row>
    <row r="2153" spans="1:3" x14ac:dyDescent="0.2">
      <c r="A2153" s="1">
        <v>42976</v>
      </c>
      <c r="B2153">
        <v>35.17</v>
      </c>
      <c r="C2153" s="2">
        <f t="shared" si="33"/>
        <v>-4.2559292498681135E-3</v>
      </c>
    </row>
    <row r="2154" spans="1:3" x14ac:dyDescent="0.2">
      <c r="A2154" s="1">
        <v>42975</v>
      </c>
      <c r="B2154">
        <v>35.32</v>
      </c>
      <c r="C2154" s="2">
        <f t="shared" si="33"/>
        <v>-3.3917500011208836E-3</v>
      </c>
    </row>
    <row r="2155" spans="1:3" x14ac:dyDescent="0.2">
      <c r="A2155" s="1">
        <v>42972</v>
      </c>
      <c r="B2155">
        <v>35.44</v>
      </c>
      <c r="C2155" s="2">
        <f t="shared" si="33"/>
        <v>-5.0661521246353793E-3</v>
      </c>
    </row>
    <row r="2156" spans="1:3" x14ac:dyDescent="0.2">
      <c r="A2156" s="1">
        <v>42971</v>
      </c>
      <c r="B2156">
        <v>35.619999999999997</v>
      </c>
      <c r="C2156" s="2">
        <f t="shared" si="33"/>
        <v>1.6131664380916576E-2</v>
      </c>
    </row>
    <row r="2157" spans="1:3" x14ac:dyDescent="0.2">
      <c r="A2157" s="1">
        <v>42970</v>
      </c>
      <c r="B2157">
        <v>35.049999999999997</v>
      </c>
      <c r="C2157" s="2">
        <f t="shared" si="33"/>
        <v>-8.8056242888436692E-3</v>
      </c>
    </row>
    <row r="2158" spans="1:3" x14ac:dyDescent="0.2">
      <c r="A2158" s="1">
        <v>42969</v>
      </c>
      <c r="B2158">
        <v>35.36</v>
      </c>
      <c r="C2158" s="2">
        <f t="shared" si="33"/>
        <v>1.1662769089623232E-2</v>
      </c>
    </row>
    <row r="2159" spans="1:3" x14ac:dyDescent="0.2">
      <c r="A2159" s="1">
        <v>42968</v>
      </c>
      <c r="B2159">
        <v>34.950000000000003</v>
      </c>
      <c r="C2159" s="2">
        <f t="shared" si="33"/>
        <v>8.5873770841780449E-4</v>
      </c>
    </row>
    <row r="2160" spans="1:3" x14ac:dyDescent="0.2">
      <c r="A2160" s="1">
        <v>42965</v>
      </c>
      <c r="B2160">
        <v>34.92</v>
      </c>
      <c r="C2160" s="2">
        <f t="shared" si="33"/>
        <v>-1.5909426469977152E-2</v>
      </c>
    </row>
    <row r="2161" spans="1:3" x14ac:dyDescent="0.2">
      <c r="A2161" s="1">
        <v>42964</v>
      </c>
      <c r="B2161">
        <v>35.479999999999997</v>
      </c>
      <c r="C2161" s="2">
        <f t="shared" si="33"/>
        <v>7.6390242744175845E-3</v>
      </c>
    </row>
    <row r="2162" spans="1:3" x14ac:dyDescent="0.2">
      <c r="A2162" s="1">
        <v>42963</v>
      </c>
      <c r="B2162">
        <v>35.21</v>
      </c>
      <c r="C2162" s="2">
        <f t="shared" si="33"/>
        <v>1.9900504080100092E-3</v>
      </c>
    </row>
    <row r="2163" spans="1:3" x14ac:dyDescent="0.2">
      <c r="A2163" s="1">
        <v>42961</v>
      </c>
      <c r="B2163">
        <v>35.14</v>
      </c>
      <c r="C2163" s="2">
        <f t="shared" si="33"/>
        <v>1.3465323062019096E-2</v>
      </c>
    </row>
    <row r="2164" spans="1:3" x14ac:dyDescent="0.2">
      <c r="A2164" s="1">
        <v>42958</v>
      </c>
      <c r="B2164">
        <v>34.67</v>
      </c>
      <c r="C2164" s="2">
        <f t="shared" si="33"/>
        <v>-9.7589752696421658E-3</v>
      </c>
    </row>
    <row r="2165" spans="1:3" x14ac:dyDescent="0.2">
      <c r="A2165" s="1">
        <v>42957</v>
      </c>
      <c r="B2165">
        <v>35.01</v>
      </c>
      <c r="C2165" s="2">
        <f t="shared" si="33"/>
        <v>-1.7834867636034313E-2</v>
      </c>
    </row>
    <row r="2166" spans="1:3" x14ac:dyDescent="0.2">
      <c r="A2166" s="1">
        <v>42956</v>
      </c>
      <c r="B2166">
        <v>35.64</v>
      </c>
      <c r="C2166" s="2">
        <f t="shared" si="33"/>
        <v>4.4994451612299707E-3</v>
      </c>
    </row>
    <row r="2167" spans="1:3" x14ac:dyDescent="0.2">
      <c r="A2167" s="1">
        <v>42955</v>
      </c>
      <c r="B2167">
        <v>35.479999999999997</v>
      </c>
      <c r="C2167" s="2">
        <f t="shared" si="33"/>
        <v>-2.2522532043252426E-3</v>
      </c>
    </row>
    <row r="2168" spans="1:3" x14ac:dyDescent="0.2">
      <c r="A2168" s="1">
        <v>42954</v>
      </c>
      <c r="B2168">
        <v>35.56</v>
      </c>
      <c r="C2168" s="2">
        <f t="shared" si="33"/>
        <v>-5.6085396596094253E-3</v>
      </c>
    </row>
    <row r="2169" spans="1:3" x14ac:dyDescent="0.2">
      <c r="A2169" s="1">
        <v>42951</v>
      </c>
      <c r="B2169">
        <v>35.76</v>
      </c>
      <c r="C2169" s="2">
        <f t="shared" si="33"/>
        <v>2.8003378703191561E-3</v>
      </c>
    </row>
    <row r="2170" spans="1:3" x14ac:dyDescent="0.2">
      <c r="A2170" s="1">
        <v>42950</v>
      </c>
      <c r="B2170">
        <v>35.659999999999997</v>
      </c>
      <c r="C2170" s="2">
        <f t="shared" si="33"/>
        <v>3.3707897084889957E-3</v>
      </c>
    </row>
    <row r="2171" spans="1:3" x14ac:dyDescent="0.2">
      <c r="A2171" s="1">
        <v>42949</v>
      </c>
      <c r="B2171">
        <v>35.54</v>
      </c>
      <c r="C2171" s="2">
        <f t="shared" si="33"/>
        <v>-8.9636454504816044E-3</v>
      </c>
    </row>
    <row r="2172" spans="1:3" x14ac:dyDescent="0.2">
      <c r="A2172" s="1">
        <v>42948</v>
      </c>
      <c r="B2172">
        <v>35.86</v>
      </c>
      <c r="C2172" s="2">
        <f t="shared" si="33"/>
        <v>-6.6703971618484199E-3</v>
      </c>
    </row>
    <row r="2173" spans="1:3" x14ac:dyDescent="0.2">
      <c r="A2173" s="1">
        <v>42947</v>
      </c>
      <c r="B2173">
        <v>36.1</v>
      </c>
      <c r="C2173" s="2">
        <f t="shared" si="33"/>
        <v>1.1142176553241803E-2</v>
      </c>
    </row>
    <row r="2174" spans="1:3" x14ac:dyDescent="0.2">
      <c r="A2174" s="1">
        <v>42944</v>
      </c>
      <c r="B2174">
        <v>35.700000000000003</v>
      </c>
      <c r="C2174" s="2">
        <f t="shared" si="33"/>
        <v>-8.9236509622166189E-3</v>
      </c>
    </row>
    <row r="2175" spans="1:3" x14ac:dyDescent="0.2">
      <c r="A2175" s="1">
        <v>42943</v>
      </c>
      <c r="B2175">
        <v>36.020000000000003</v>
      </c>
      <c r="C2175" s="2">
        <f t="shared" si="33"/>
        <v>-2.2185255910252173E-3</v>
      </c>
    </row>
    <row r="2176" spans="1:3" x14ac:dyDescent="0.2">
      <c r="A2176" s="1">
        <v>42942</v>
      </c>
      <c r="B2176">
        <v>36.1</v>
      </c>
      <c r="C2176" s="2">
        <f t="shared" si="33"/>
        <v>5.5417014441248977E-4</v>
      </c>
    </row>
    <row r="2177" spans="1:3" x14ac:dyDescent="0.2">
      <c r="A2177" s="1">
        <v>42941</v>
      </c>
      <c r="B2177">
        <v>36.08</v>
      </c>
      <c r="C2177" s="2">
        <f t="shared" si="33"/>
        <v>-8.3114009494348641E-4</v>
      </c>
    </row>
    <row r="2178" spans="1:3" x14ac:dyDescent="0.2">
      <c r="A2178" s="1">
        <v>42940</v>
      </c>
      <c r="B2178">
        <v>36.11</v>
      </c>
      <c r="C2178" s="2">
        <f t="shared" si="33"/>
        <v>1.6755488334369874E-2</v>
      </c>
    </row>
    <row r="2179" spans="1:3" x14ac:dyDescent="0.2">
      <c r="A2179" s="1">
        <v>42937</v>
      </c>
      <c r="B2179">
        <v>35.51</v>
      </c>
      <c r="C2179" s="2">
        <f t="shared" ref="C2179:C2242" si="34">+LN(B2179/B2180)</f>
        <v>-2.6949818251134093E-2</v>
      </c>
    </row>
    <row r="2180" spans="1:3" x14ac:dyDescent="0.2">
      <c r="A2180" s="1">
        <v>42936</v>
      </c>
      <c r="B2180">
        <v>36.479999999999997</v>
      </c>
      <c r="C2180" s="2">
        <f t="shared" si="34"/>
        <v>2.694981825113401E-2</v>
      </c>
    </row>
    <row r="2181" spans="1:3" x14ac:dyDescent="0.2">
      <c r="A2181" s="1">
        <v>42935</v>
      </c>
      <c r="B2181">
        <v>35.51</v>
      </c>
      <c r="C2181" s="2">
        <f t="shared" si="34"/>
        <v>-2.8157116897291107E-4</v>
      </c>
    </row>
    <row r="2182" spans="1:3" x14ac:dyDescent="0.2">
      <c r="A2182" s="1">
        <v>42934</v>
      </c>
      <c r="B2182">
        <v>35.520000000000003</v>
      </c>
      <c r="C2182" s="2">
        <f t="shared" si="34"/>
        <v>2.5369992465888737E-3</v>
      </c>
    </row>
    <row r="2183" spans="1:3" x14ac:dyDescent="0.2">
      <c r="A2183" s="1">
        <v>42933</v>
      </c>
      <c r="B2183">
        <v>35.43</v>
      </c>
      <c r="C2183" s="2">
        <f t="shared" si="34"/>
        <v>-1.6920477810245603E-3</v>
      </c>
    </row>
    <row r="2184" spans="1:3" x14ac:dyDescent="0.2">
      <c r="A2184" s="1">
        <v>42930</v>
      </c>
      <c r="B2184">
        <v>35.49</v>
      </c>
      <c r="C2184" s="2">
        <f t="shared" si="34"/>
        <v>1.1334777063281232E-2</v>
      </c>
    </row>
    <row r="2185" spans="1:3" x14ac:dyDescent="0.2">
      <c r="A2185" s="1">
        <v>42929</v>
      </c>
      <c r="B2185">
        <v>35.090000000000003</v>
      </c>
      <c r="C2185" s="2">
        <f t="shared" si="34"/>
        <v>-1.0207063383012697E-2</v>
      </c>
    </row>
    <row r="2186" spans="1:3" x14ac:dyDescent="0.2">
      <c r="A2186" s="1">
        <v>42928</v>
      </c>
      <c r="B2186">
        <v>35.450000000000003</v>
      </c>
      <c r="C2186" s="2">
        <f t="shared" si="34"/>
        <v>1.2203926120430772E-2</v>
      </c>
    </row>
    <row r="2187" spans="1:3" x14ac:dyDescent="0.2">
      <c r="A2187" s="1">
        <v>42927</v>
      </c>
      <c r="B2187">
        <v>35.020000000000003</v>
      </c>
      <c r="C2187" s="2">
        <f t="shared" si="34"/>
        <v>-6.2624742102728968E-3</v>
      </c>
    </row>
    <row r="2188" spans="1:3" x14ac:dyDescent="0.2">
      <c r="A2188" s="1">
        <v>42926</v>
      </c>
      <c r="B2188">
        <v>35.24</v>
      </c>
      <c r="C2188" s="2">
        <f t="shared" si="34"/>
        <v>9.9815458692960914E-3</v>
      </c>
    </row>
    <row r="2189" spans="1:3" x14ac:dyDescent="0.2">
      <c r="A2189" s="1">
        <v>42923</v>
      </c>
      <c r="B2189">
        <v>34.89</v>
      </c>
      <c r="C2189" s="2">
        <f t="shared" si="34"/>
        <v>-2.0042955886519424E-3</v>
      </c>
    </row>
    <row r="2190" spans="1:3" x14ac:dyDescent="0.2">
      <c r="A2190" s="1">
        <v>42922</v>
      </c>
      <c r="B2190">
        <v>34.96</v>
      </c>
      <c r="C2190" s="2">
        <f t="shared" si="34"/>
        <v>-1.5046415871070371E-2</v>
      </c>
    </row>
    <row r="2191" spans="1:3" x14ac:dyDescent="0.2">
      <c r="A2191" s="1">
        <v>42921</v>
      </c>
      <c r="B2191">
        <v>35.49</v>
      </c>
      <c r="C2191" s="2">
        <f t="shared" si="34"/>
        <v>2.5391465186764594E-3</v>
      </c>
    </row>
    <row r="2192" spans="1:3" x14ac:dyDescent="0.2">
      <c r="A2192" s="1">
        <v>42920</v>
      </c>
      <c r="B2192">
        <v>35.4</v>
      </c>
      <c r="C2192" s="2">
        <f t="shared" si="34"/>
        <v>1.7094433359300255E-2</v>
      </c>
    </row>
    <row r="2193" spans="1:3" x14ac:dyDescent="0.2">
      <c r="A2193" s="1">
        <v>42919</v>
      </c>
      <c r="B2193">
        <v>34.799999999999997</v>
      </c>
      <c r="C2193" s="2">
        <f t="shared" si="34"/>
        <v>-2.0478531343540791E-2</v>
      </c>
    </row>
    <row r="2194" spans="1:3" x14ac:dyDescent="0.2">
      <c r="A2194" s="1">
        <v>42916</v>
      </c>
      <c r="B2194">
        <v>35.520000000000003</v>
      </c>
      <c r="C2194" s="2">
        <f t="shared" si="34"/>
        <v>7.0631738760086604E-3</v>
      </c>
    </row>
    <row r="2195" spans="1:3" x14ac:dyDescent="0.2">
      <c r="A2195" s="1">
        <v>42915</v>
      </c>
      <c r="B2195">
        <v>35.270000000000003</v>
      </c>
      <c r="C2195" s="2">
        <f t="shared" si="34"/>
        <v>-3.4279516340485157E-2</v>
      </c>
    </row>
    <row r="2196" spans="1:3" x14ac:dyDescent="0.2">
      <c r="A2196" s="1">
        <v>42914</v>
      </c>
      <c r="B2196">
        <v>36.5</v>
      </c>
      <c r="C2196" s="2">
        <f t="shared" si="34"/>
        <v>6.8728792877620504E-3</v>
      </c>
    </row>
    <row r="2197" spans="1:3" x14ac:dyDescent="0.2">
      <c r="A2197" s="1">
        <v>42913</v>
      </c>
      <c r="B2197">
        <v>36.25</v>
      </c>
      <c r="C2197" s="2">
        <f t="shared" si="34"/>
        <v>-3.1231323119802479E-2</v>
      </c>
    </row>
    <row r="2198" spans="1:3" x14ac:dyDescent="0.2">
      <c r="A2198" s="1">
        <v>42912</v>
      </c>
      <c r="B2198">
        <v>37.4</v>
      </c>
      <c r="C2198" s="2">
        <f t="shared" si="34"/>
        <v>5.0931620619550748E-3</v>
      </c>
    </row>
    <row r="2199" spans="1:3" x14ac:dyDescent="0.2">
      <c r="A2199" s="1">
        <v>42909</v>
      </c>
      <c r="B2199">
        <v>37.21</v>
      </c>
      <c r="C2199" s="2">
        <f t="shared" si="34"/>
        <v>-1.0426508037317709E-2</v>
      </c>
    </row>
    <row r="2200" spans="1:3" x14ac:dyDescent="0.2">
      <c r="A2200" s="1">
        <v>42908</v>
      </c>
      <c r="B2200">
        <v>37.6</v>
      </c>
      <c r="C2200" s="2">
        <f t="shared" si="34"/>
        <v>7.7426631627822567E-3</v>
      </c>
    </row>
    <row r="2201" spans="1:3" x14ac:dyDescent="0.2">
      <c r="A2201" s="1">
        <v>42907</v>
      </c>
      <c r="B2201">
        <v>37.31</v>
      </c>
      <c r="C2201" s="2">
        <f t="shared" si="34"/>
        <v>7.2629774550879815E-3</v>
      </c>
    </row>
    <row r="2202" spans="1:3" x14ac:dyDescent="0.2">
      <c r="A2202" s="1">
        <v>42906</v>
      </c>
      <c r="B2202">
        <v>37.04</v>
      </c>
      <c r="C2202" s="2">
        <f t="shared" si="34"/>
        <v>-6.1903037131884869E-3</v>
      </c>
    </row>
    <row r="2203" spans="1:3" x14ac:dyDescent="0.2">
      <c r="A2203" s="1">
        <v>42905</v>
      </c>
      <c r="B2203">
        <v>37.270000000000003</v>
      </c>
      <c r="C2203" s="2">
        <f t="shared" si="34"/>
        <v>1.1061761249489934E-2</v>
      </c>
    </row>
    <row r="2204" spans="1:3" x14ac:dyDescent="0.2">
      <c r="A2204" s="1">
        <v>42902</v>
      </c>
      <c r="B2204">
        <v>36.86</v>
      </c>
      <c r="C2204" s="2">
        <f t="shared" si="34"/>
        <v>9.814691653231452E-3</v>
      </c>
    </row>
    <row r="2205" spans="1:3" x14ac:dyDescent="0.2">
      <c r="A2205" s="1">
        <v>42901</v>
      </c>
      <c r="B2205">
        <v>36.5</v>
      </c>
      <c r="C2205" s="2">
        <f t="shared" si="34"/>
        <v>0</v>
      </c>
    </row>
    <row r="2206" spans="1:3" x14ac:dyDescent="0.2">
      <c r="A2206" s="1">
        <v>42900</v>
      </c>
      <c r="B2206">
        <v>36.5</v>
      </c>
      <c r="C2206" s="2">
        <f t="shared" si="34"/>
        <v>1.6451881966883691E-3</v>
      </c>
    </row>
    <row r="2207" spans="1:3" x14ac:dyDescent="0.2">
      <c r="A2207" s="1">
        <v>42899</v>
      </c>
      <c r="B2207">
        <v>36.44</v>
      </c>
      <c r="C2207" s="2">
        <f t="shared" si="34"/>
        <v>1.604460421477066E-2</v>
      </c>
    </row>
    <row r="2208" spans="1:3" x14ac:dyDescent="0.2">
      <c r="A2208" s="1">
        <v>42898</v>
      </c>
      <c r="B2208">
        <v>35.86</v>
      </c>
      <c r="C2208" s="2">
        <f t="shared" si="34"/>
        <v>-1.8237587549781015E-2</v>
      </c>
    </row>
    <row r="2209" spans="1:3" x14ac:dyDescent="0.2">
      <c r="A2209" s="1">
        <v>42895</v>
      </c>
      <c r="B2209">
        <v>36.520000000000003</v>
      </c>
      <c r="C2209" s="2">
        <f t="shared" si="34"/>
        <v>1.0958905206373314E-3</v>
      </c>
    </row>
    <row r="2210" spans="1:3" x14ac:dyDescent="0.2">
      <c r="A2210" s="1">
        <v>42894</v>
      </c>
      <c r="B2210">
        <v>36.479999999999997</v>
      </c>
      <c r="C2210" s="2">
        <f t="shared" si="34"/>
        <v>5.7732119113193666E-3</v>
      </c>
    </row>
    <row r="2211" spans="1:3" x14ac:dyDescent="0.2">
      <c r="A2211" s="1">
        <v>42893</v>
      </c>
      <c r="B2211">
        <v>36.270000000000003</v>
      </c>
      <c r="C2211" s="2">
        <f t="shared" si="34"/>
        <v>-1.6135998946866122E-2</v>
      </c>
    </row>
    <row r="2212" spans="1:3" x14ac:dyDescent="0.2">
      <c r="A2212" s="1">
        <v>42892</v>
      </c>
      <c r="B2212">
        <v>36.86</v>
      </c>
      <c r="C2212" s="2">
        <f t="shared" si="34"/>
        <v>4.0777547329341876E-3</v>
      </c>
    </row>
    <row r="2213" spans="1:3" x14ac:dyDescent="0.2">
      <c r="A2213" s="1">
        <v>42891</v>
      </c>
      <c r="B2213">
        <v>36.71</v>
      </c>
      <c r="C2213" s="2">
        <f t="shared" si="34"/>
        <v>-3.1901914579637633E-2</v>
      </c>
    </row>
    <row r="2214" spans="1:3" x14ac:dyDescent="0.2">
      <c r="A2214" s="1">
        <v>42888</v>
      </c>
      <c r="B2214">
        <v>37.9</v>
      </c>
      <c r="C2214" s="2">
        <f t="shared" si="34"/>
        <v>3.490287168106003E-2</v>
      </c>
    </row>
    <row r="2215" spans="1:3" x14ac:dyDescent="0.2">
      <c r="A2215" s="1">
        <v>42887</v>
      </c>
      <c r="B2215">
        <v>36.6</v>
      </c>
      <c r="C2215" s="2">
        <f t="shared" si="34"/>
        <v>2.1821056396979222E-2</v>
      </c>
    </row>
    <row r="2216" spans="1:3" x14ac:dyDescent="0.2">
      <c r="A2216" s="1">
        <v>42886</v>
      </c>
      <c r="B2216">
        <v>35.81</v>
      </c>
      <c r="C2216" s="2">
        <f t="shared" si="34"/>
        <v>1.4344220071090315E-2</v>
      </c>
    </row>
    <row r="2217" spans="1:3" x14ac:dyDescent="0.2">
      <c r="A2217" s="1">
        <v>42885</v>
      </c>
      <c r="B2217">
        <v>35.299999999999997</v>
      </c>
      <c r="C2217" s="2">
        <f t="shared" si="34"/>
        <v>3.4052246298388717E-3</v>
      </c>
    </row>
    <row r="2218" spans="1:3" x14ac:dyDescent="0.2">
      <c r="A2218" s="1">
        <v>42884</v>
      </c>
      <c r="B2218">
        <v>35.18</v>
      </c>
      <c r="C2218" s="2">
        <f t="shared" si="34"/>
        <v>-2.609209597995427E-2</v>
      </c>
    </row>
    <row r="2219" spans="1:3" x14ac:dyDescent="0.2">
      <c r="A2219" s="1">
        <v>42881</v>
      </c>
      <c r="B2219">
        <v>36.11</v>
      </c>
      <c r="C2219" s="2">
        <f t="shared" si="34"/>
        <v>1.1699297787297464E-2</v>
      </c>
    </row>
    <row r="2220" spans="1:3" x14ac:dyDescent="0.2">
      <c r="A2220" s="1">
        <v>42880</v>
      </c>
      <c r="B2220">
        <v>35.69</v>
      </c>
      <c r="C2220" s="2">
        <f t="shared" si="34"/>
        <v>-5.0307540421221956E-3</v>
      </c>
    </row>
    <row r="2221" spans="1:3" x14ac:dyDescent="0.2">
      <c r="A2221" s="1">
        <v>42879</v>
      </c>
      <c r="B2221">
        <v>35.869999999999997</v>
      </c>
      <c r="C2221" s="2">
        <f t="shared" si="34"/>
        <v>5.8716791091968741E-3</v>
      </c>
    </row>
    <row r="2222" spans="1:3" x14ac:dyDescent="0.2">
      <c r="A2222" s="1">
        <v>42878</v>
      </c>
      <c r="B2222">
        <v>35.659999999999997</v>
      </c>
      <c r="C2222" s="2">
        <f t="shared" si="34"/>
        <v>-1.9610596003241149E-3</v>
      </c>
    </row>
    <row r="2223" spans="1:3" x14ac:dyDescent="0.2">
      <c r="A2223" s="1">
        <v>42877</v>
      </c>
      <c r="B2223">
        <v>35.729999999999997</v>
      </c>
      <c r="C2223" s="2">
        <f t="shared" si="34"/>
        <v>-3.3528950103111016E-3</v>
      </c>
    </row>
    <row r="2224" spans="1:3" x14ac:dyDescent="0.2">
      <c r="A2224" s="1">
        <v>42874</v>
      </c>
      <c r="B2224">
        <v>35.85</v>
      </c>
      <c r="C2224" s="2">
        <f t="shared" si="34"/>
        <v>3.0730573143473243E-3</v>
      </c>
    </row>
    <row r="2225" spans="1:3" x14ac:dyDescent="0.2">
      <c r="A2225" s="1">
        <v>42873</v>
      </c>
      <c r="B2225">
        <v>35.74</v>
      </c>
      <c r="C2225" s="2">
        <f t="shared" si="34"/>
        <v>6.1745916073126872E-3</v>
      </c>
    </row>
    <row r="2226" spans="1:3" x14ac:dyDescent="0.2">
      <c r="A2226" s="1">
        <v>42872</v>
      </c>
      <c r="B2226">
        <v>35.520000000000003</v>
      </c>
      <c r="C2226" s="2">
        <f t="shared" si="34"/>
        <v>-2.7216342464476437E-2</v>
      </c>
    </row>
    <row r="2227" spans="1:3" x14ac:dyDescent="0.2">
      <c r="A2227" s="1">
        <v>42871</v>
      </c>
      <c r="B2227">
        <v>36.5</v>
      </c>
      <c r="C2227" s="2">
        <f t="shared" si="34"/>
        <v>-2.7359798188747488E-3</v>
      </c>
    </row>
    <row r="2228" spans="1:3" x14ac:dyDescent="0.2">
      <c r="A2228" s="1">
        <v>42870</v>
      </c>
      <c r="B2228">
        <v>36.6</v>
      </c>
      <c r="C2228" s="2">
        <f t="shared" si="34"/>
        <v>3.0099899589642394E-3</v>
      </c>
    </row>
    <row r="2229" spans="1:3" x14ac:dyDescent="0.2">
      <c r="A2229" s="1">
        <v>42867</v>
      </c>
      <c r="B2229">
        <v>36.49</v>
      </c>
      <c r="C2229" s="2">
        <f t="shared" si="34"/>
        <v>2.4973550926254896E-2</v>
      </c>
    </row>
    <row r="2230" spans="1:3" x14ac:dyDescent="0.2">
      <c r="A2230" s="1">
        <v>42866</v>
      </c>
      <c r="B2230">
        <v>35.590000000000003</v>
      </c>
      <c r="C2230" s="2">
        <f t="shared" si="34"/>
        <v>-8.4257833941413457E-4</v>
      </c>
    </row>
    <row r="2231" spans="1:3" x14ac:dyDescent="0.2">
      <c r="A2231" s="1">
        <v>42865</v>
      </c>
      <c r="B2231">
        <v>35.619999999999997</v>
      </c>
      <c r="C2231" s="2">
        <f t="shared" si="34"/>
        <v>1.385181158377977E-2</v>
      </c>
    </row>
    <row r="2232" spans="1:3" x14ac:dyDescent="0.2">
      <c r="A2232" s="1">
        <v>42864</v>
      </c>
      <c r="B2232">
        <v>35.130000000000003</v>
      </c>
      <c r="C2232" s="2">
        <f t="shared" si="34"/>
        <v>2.0127188927303412E-2</v>
      </c>
    </row>
    <row r="2233" spans="1:3" x14ac:dyDescent="0.2">
      <c r="A2233" s="1">
        <v>42863</v>
      </c>
      <c r="B2233">
        <v>34.43</v>
      </c>
      <c r="C2233" s="2">
        <f t="shared" si="34"/>
        <v>5.8258248083384173E-3</v>
      </c>
    </row>
    <row r="2234" spans="1:3" x14ac:dyDescent="0.2">
      <c r="A2234" s="1">
        <v>42860</v>
      </c>
      <c r="B2234">
        <v>34.229999999999997</v>
      </c>
      <c r="C2234" s="2">
        <f t="shared" si="34"/>
        <v>0</v>
      </c>
    </row>
    <row r="2235" spans="1:3" x14ac:dyDescent="0.2">
      <c r="A2235" s="1">
        <v>42859</v>
      </c>
      <c r="B2235">
        <v>34.229999999999997</v>
      </c>
      <c r="C2235" s="2">
        <f t="shared" si="34"/>
        <v>2.3398665252947599E-3</v>
      </c>
    </row>
    <row r="2236" spans="1:3" x14ac:dyDescent="0.2">
      <c r="A2236" s="1">
        <v>42858</v>
      </c>
      <c r="B2236">
        <v>34.15</v>
      </c>
      <c r="C2236" s="2">
        <f t="shared" si="34"/>
        <v>-8.165691333633358E-3</v>
      </c>
    </row>
    <row r="2237" spans="1:3" x14ac:dyDescent="0.2">
      <c r="A2237" s="1">
        <v>42857</v>
      </c>
      <c r="B2237">
        <v>34.43</v>
      </c>
      <c r="C2237" s="2">
        <f t="shared" si="34"/>
        <v>1.2273678331328263E-2</v>
      </c>
    </row>
    <row r="2238" spans="1:3" x14ac:dyDescent="0.2">
      <c r="A2238" s="1">
        <v>42853</v>
      </c>
      <c r="B2238">
        <v>34.01</v>
      </c>
      <c r="C2238" s="2">
        <f t="shared" si="34"/>
        <v>-9.9474196492543333E-3</v>
      </c>
    </row>
    <row r="2239" spans="1:3" x14ac:dyDescent="0.2">
      <c r="A2239" s="1">
        <v>42852</v>
      </c>
      <c r="B2239">
        <v>34.35</v>
      </c>
      <c r="C2239" s="2">
        <f t="shared" si="34"/>
        <v>1.0241494052196921E-2</v>
      </c>
    </row>
    <row r="2240" spans="1:3" x14ac:dyDescent="0.2">
      <c r="A2240" s="1">
        <v>42851</v>
      </c>
      <c r="B2240">
        <v>34</v>
      </c>
      <c r="C2240" s="2">
        <f t="shared" si="34"/>
        <v>-1.1757790890119504E-3</v>
      </c>
    </row>
    <row r="2241" spans="1:3" x14ac:dyDescent="0.2">
      <c r="A2241" s="1">
        <v>42850</v>
      </c>
      <c r="B2241">
        <v>34.04</v>
      </c>
      <c r="C2241" s="2">
        <f t="shared" si="34"/>
        <v>-7.9005531651850959E-3</v>
      </c>
    </row>
    <row r="2242" spans="1:3" x14ac:dyDescent="0.2">
      <c r="A2242" s="1">
        <v>42849</v>
      </c>
      <c r="B2242">
        <v>34.31</v>
      </c>
      <c r="C2242" s="2">
        <f t="shared" si="34"/>
        <v>3.3188231138475174E-2</v>
      </c>
    </row>
    <row r="2243" spans="1:3" x14ac:dyDescent="0.2">
      <c r="A2243" s="1">
        <v>42846</v>
      </c>
      <c r="B2243">
        <v>33.19</v>
      </c>
      <c r="C2243" s="2">
        <f t="shared" ref="C2243:C2306" si="35">+LN(B2243/B2244)</f>
        <v>-1.9985750973106106E-2</v>
      </c>
    </row>
    <row r="2244" spans="1:3" x14ac:dyDescent="0.2">
      <c r="A2244" s="1">
        <v>42845</v>
      </c>
      <c r="B2244">
        <v>33.86</v>
      </c>
      <c r="C2244" s="2">
        <f t="shared" si="35"/>
        <v>1.4577083941706611E-2</v>
      </c>
    </row>
    <row r="2245" spans="1:3" x14ac:dyDescent="0.2">
      <c r="A2245" s="1">
        <v>42844</v>
      </c>
      <c r="B2245">
        <v>33.369999999999997</v>
      </c>
      <c r="C2245" s="2">
        <f t="shared" si="35"/>
        <v>9.9383441105053445E-3</v>
      </c>
    </row>
    <row r="2246" spans="1:3" x14ac:dyDescent="0.2">
      <c r="A2246" s="1">
        <v>42843</v>
      </c>
      <c r="B2246">
        <v>33.04</v>
      </c>
      <c r="C2246" s="2">
        <f t="shared" si="35"/>
        <v>-8.7389436668710071E-3</v>
      </c>
    </row>
    <row r="2247" spans="1:3" x14ac:dyDescent="0.2">
      <c r="A2247" s="1">
        <v>42838</v>
      </c>
      <c r="B2247">
        <v>33.33</v>
      </c>
      <c r="C2247" s="2">
        <f t="shared" si="35"/>
        <v>-1.7985616359148672E-3</v>
      </c>
    </row>
    <row r="2248" spans="1:3" x14ac:dyDescent="0.2">
      <c r="A2248" s="1">
        <v>42837</v>
      </c>
      <c r="B2248">
        <v>33.39</v>
      </c>
      <c r="C2248" s="2">
        <f t="shared" si="35"/>
        <v>9.6299269618616862E-3</v>
      </c>
    </row>
    <row r="2249" spans="1:3" x14ac:dyDescent="0.2">
      <c r="A2249" s="1">
        <v>42836</v>
      </c>
      <c r="B2249">
        <v>33.07</v>
      </c>
      <c r="C2249" s="2">
        <f t="shared" si="35"/>
        <v>1.4621034144231247E-2</v>
      </c>
    </row>
    <row r="2250" spans="1:3" x14ac:dyDescent="0.2">
      <c r="A2250" s="1">
        <v>42835</v>
      </c>
      <c r="B2250">
        <v>32.590000000000003</v>
      </c>
      <c r="C2250" s="2">
        <f t="shared" si="35"/>
        <v>-9.2010434339749754E-4</v>
      </c>
    </row>
    <row r="2251" spans="1:3" x14ac:dyDescent="0.2">
      <c r="A2251" s="1">
        <v>42832</v>
      </c>
      <c r="B2251">
        <v>32.619999999999997</v>
      </c>
      <c r="C2251" s="2">
        <f t="shared" si="35"/>
        <v>-6.7216873913598287E-3</v>
      </c>
    </row>
    <row r="2252" spans="1:3" x14ac:dyDescent="0.2">
      <c r="A2252" s="1">
        <v>42831</v>
      </c>
      <c r="B2252">
        <v>32.840000000000003</v>
      </c>
      <c r="C2252" s="2">
        <f t="shared" si="35"/>
        <v>9.7919999046177184E-3</v>
      </c>
    </row>
    <row r="2253" spans="1:3" x14ac:dyDescent="0.2">
      <c r="A2253" s="1">
        <v>42830</v>
      </c>
      <c r="B2253">
        <v>32.520000000000003</v>
      </c>
      <c r="C2253" s="2">
        <f t="shared" si="35"/>
        <v>6.1519534391810983E-4</v>
      </c>
    </row>
    <row r="2254" spans="1:3" x14ac:dyDescent="0.2">
      <c r="A2254" s="1">
        <v>42829</v>
      </c>
      <c r="B2254">
        <v>32.5</v>
      </c>
      <c r="C2254" s="2">
        <f t="shared" si="35"/>
        <v>1.3942905969012886E-2</v>
      </c>
    </row>
    <row r="2255" spans="1:3" x14ac:dyDescent="0.2">
      <c r="A2255" s="1">
        <v>42828</v>
      </c>
      <c r="B2255">
        <v>32.049999999999997</v>
      </c>
      <c r="C2255" s="2">
        <f t="shared" si="35"/>
        <v>8.7747350852542955E-3</v>
      </c>
    </row>
    <row r="2256" spans="1:3" x14ac:dyDescent="0.2">
      <c r="A2256" s="1">
        <v>42825</v>
      </c>
      <c r="B2256">
        <v>31.77</v>
      </c>
      <c r="C2256" s="2">
        <f t="shared" si="35"/>
        <v>3.1525877308761999E-3</v>
      </c>
    </row>
    <row r="2257" spans="1:3" x14ac:dyDescent="0.2">
      <c r="A2257" s="1">
        <v>42824</v>
      </c>
      <c r="B2257">
        <v>31.67</v>
      </c>
      <c r="C2257" s="2">
        <f t="shared" si="35"/>
        <v>3.1625579806481168E-3</v>
      </c>
    </row>
    <row r="2258" spans="1:3" x14ac:dyDescent="0.2">
      <c r="A2258" s="1">
        <v>42823</v>
      </c>
      <c r="B2258">
        <v>31.57</v>
      </c>
      <c r="C2258" s="2">
        <f t="shared" si="35"/>
        <v>-7.5734031911523702E-3</v>
      </c>
    </row>
    <row r="2259" spans="1:3" x14ac:dyDescent="0.2">
      <c r="A2259" s="1">
        <v>42822</v>
      </c>
      <c r="B2259">
        <v>31.81</v>
      </c>
      <c r="C2259" s="2">
        <f t="shared" si="35"/>
        <v>-9.0753243749174747E-3</v>
      </c>
    </row>
    <row r="2260" spans="1:3" x14ac:dyDescent="0.2">
      <c r="A2260" s="1">
        <v>42821</v>
      </c>
      <c r="B2260">
        <v>32.1</v>
      </c>
      <c r="C2260" s="2">
        <f t="shared" si="35"/>
        <v>1.3801975683104189E-2</v>
      </c>
    </row>
    <row r="2261" spans="1:3" x14ac:dyDescent="0.2">
      <c r="A2261" s="1">
        <v>42818</v>
      </c>
      <c r="B2261">
        <v>31.66</v>
      </c>
      <c r="C2261" s="2">
        <f t="shared" si="35"/>
        <v>-2.2085511422381505E-3</v>
      </c>
    </row>
    <row r="2262" spans="1:3" x14ac:dyDescent="0.2">
      <c r="A2262" s="1">
        <v>42817</v>
      </c>
      <c r="B2262">
        <v>31.73</v>
      </c>
      <c r="C2262" s="2">
        <f t="shared" si="35"/>
        <v>6.6403406054257666E-3</v>
      </c>
    </row>
    <row r="2263" spans="1:3" x14ac:dyDescent="0.2">
      <c r="A2263" s="1">
        <v>42816</v>
      </c>
      <c r="B2263">
        <v>31.52</v>
      </c>
      <c r="C2263" s="2">
        <f t="shared" si="35"/>
        <v>9.5633499023924304E-3</v>
      </c>
    </row>
    <row r="2264" spans="1:3" x14ac:dyDescent="0.2">
      <c r="A2264" s="1">
        <v>42815</v>
      </c>
      <c r="B2264">
        <v>31.22</v>
      </c>
      <c r="C2264" s="2">
        <f t="shared" si="35"/>
        <v>-3.1979560353164113E-3</v>
      </c>
    </row>
    <row r="2265" spans="1:3" x14ac:dyDescent="0.2">
      <c r="A2265" s="1">
        <v>42814</v>
      </c>
      <c r="B2265">
        <v>31.32</v>
      </c>
      <c r="C2265" s="2">
        <f t="shared" si="35"/>
        <v>-1.834913866819643E-2</v>
      </c>
    </row>
    <row r="2266" spans="1:3" x14ac:dyDescent="0.2">
      <c r="A2266" s="1">
        <v>42811</v>
      </c>
      <c r="B2266">
        <v>31.9</v>
      </c>
      <c r="C2266" s="2">
        <f t="shared" si="35"/>
        <v>1.2547053088964341E-3</v>
      </c>
    </row>
    <row r="2267" spans="1:3" x14ac:dyDescent="0.2">
      <c r="A2267" s="1">
        <v>42810</v>
      </c>
      <c r="B2267">
        <v>31.86</v>
      </c>
      <c r="C2267" s="2">
        <f t="shared" si="35"/>
        <v>7.561472700576488E-3</v>
      </c>
    </row>
    <row r="2268" spans="1:3" x14ac:dyDescent="0.2">
      <c r="A2268" s="1">
        <v>42809</v>
      </c>
      <c r="B2268">
        <v>31.62</v>
      </c>
      <c r="C2268" s="2">
        <f t="shared" si="35"/>
        <v>1.0810916104215676E-2</v>
      </c>
    </row>
    <row r="2269" spans="1:3" x14ac:dyDescent="0.2">
      <c r="A2269" s="1">
        <v>42808</v>
      </c>
      <c r="B2269">
        <v>31.28</v>
      </c>
      <c r="C2269" s="2">
        <f t="shared" si="35"/>
        <v>4.8069312235936449E-3</v>
      </c>
    </row>
    <row r="2270" spans="1:3" x14ac:dyDescent="0.2">
      <c r="A2270" s="1">
        <v>42807</v>
      </c>
      <c r="B2270">
        <v>31.13</v>
      </c>
      <c r="C2270" s="2">
        <f t="shared" si="35"/>
        <v>1.0008154561547114E-2</v>
      </c>
    </row>
    <row r="2271" spans="1:3" x14ac:dyDescent="0.2">
      <c r="A2271" s="1">
        <v>42804</v>
      </c>
      <c r="B2271">
        <v>30.82</v>
      </c>
      <c r="C2271" s="2">
        <f t="shared" si="35"/>
        <v>-3.2441200608920607E-4</v>
      </c>
    </row>
    <row r="2272" spans="1:3" x14ac:dyDescent="0.2">
      <c r="A2272" s="1">
        <v>42803</v>
      </c>
      <c r="B2272">
        <v>30.83</v>
      </c>
      <c r="C2272" s="2">
        <f t="shared" si="35"/>
        <v>1.1089480897895625E-2</v>
      </c>
    </row>
    <row r="2273" spans="1:3" x14ac:dyDescent="0.2">
      <c r="A2273" s="1">
        <v>42802</v>
      </c>
      <c r="B2273">
        <v>30.49</v>
      </c>
      <c r="C2273" s="2">
        <f t="shared" si="35"/>
        <v>6.5811359610175278E-3</v>
      </c>
    </row>
    <row r="2274" spans="1:3" x14ac:dyDescent="0.2">
      <c r="A2274" s="1">
        <v>42801</v>
      </c>
      <c r="B2274">
        <v>30.29</v>
      </c>
      <c r="C2274" s="2">
        <f t="shared" si="35"/>
        <v>3.9695718681761055E-3</v>
      </c>
    </row>
    <row r="2275" spans="1:3" x14ac:dyDescent="0.2">
      <c r="A2275" s="1">
        <v>42800</v>
      </c>
      <c r="B2275">
        <v>30.17</v>
      </c>
      <c r="C2275" s="2">
        <f t="shared" si="35"/>
        <v>-5.9484643345375093E-3</v>
      </c>
    </row>
    <row r="2276" spans="1:3" x14ac:dyDescent="0.2">
      <c r="A2276" s="1">
        <v>42797</v>
      </c>
      <c r="B2276">
        <v>30.35</v>
      </c>
      <c r="C2276" s="2">
        <f t="shared" si="35"/>
        <v>2.6393944718801181E-3</v>
      </c>
    </row>
    <row r="2277" spans="1:3" x14ac:dyDescent="0.2">
      <c r="A2277" s="1">
        <v>42796</v>
      </c>
      <c r="B2277">
        <v>30.27</v>
      </c>
      <c r="C2277" s="2">
        <f t="shared" si="35"/>
        <v>1.2633146737780803E-2</v>
      </c>
    </row>
    <row r="2278" spans="1:3" x14ac:dyDescent="0.2">
      <c r="A2278" s="1">
        <v>42795</v>
      </c>
      <c r="B2278">
        <v>29.89</v>
      </c>
      <c r="C2278" s="2">
        <f t="shared" si="35"/>
        <v>-2.6729050327252905E-3</v>
      </c>
    </row>
    <row r="2279" spans="1:3" x14ac:dyDescent="0.2">
      <c r="A2279" s="1">
        <v>42794</v>
      </c>
      <c r="B2279">
        <v>29.97</v>
      </c>
      <c r="C2279" s="2">
        <f t="shared" si="35"/>
        <v>2.3384009319311195E-3</v>
      </c>
    </row>
    <row r="2280" spans="1:3" x14ac:dyDescent="0.2">
      <c r="A2280" s="1">
        <v>42793</v>
      </c>
      <c r="B2280">
        <v>29.9</v>
      </c>
      <c r="C2280" s="2">
        <f t="shared" si="35"/>
        <v>1.3468217050866611E-2</v>
      </c>
    </row>
    <row r="2281" spans="1:3" x14ac:dyDescent="0.2">
      <c r="A2281" s="1">
        <v>42790</v>
      </c>
      <c r="B2281">
        <v>29.5</v>
      </c>
      <c r="C2281" s="2">
        <f t="shared" si="35"/>
        <v>4.4165181352454662E-3</v>
      </c>
    </row>
    <row r="2282" spans="1:3" x14ac:dyDescent="0.2">
      <c r="A2282" s="1">
        <v>42789</v>
      </c>
      <c r="B2282">
        <v>29.37</v>
      </c>
      <c r="C2282" s="2">
        <f t="shared" si="35"/>
        <v>-3.0596658239554989E-3</v>
      </c>
    </row>
    <row r="2283" spans="1:3" x14ac:dyDescent="0.2">
      <c r="A2283" s="1">
        <v>42788</v>
      </c>
      <c r="B2283">
        <v>29.46</v>
      </c>
      <c r="C2283" s="2">
        <f t="shared" si="35"/>
        <v>-1.3568523112899083E-3</v>
      </c>
    </row>
    <row r="2284" spans="1:3" x14ac:dyDescent="0.2">
      <c r="A2284" s="1">
        <v>42787</v>
      </c>
      <c r="B2284">
        <v>29.5</v>
      </c>
      <c r="C2284" s="2">
        <f t="shared" si="35"/>
        <v>1.7439320412209979E-2</v>
      </c>
    </row>
    <row r="2285" spans="1:3" x14ac:dyDescent="0.2">
      <c r="A2285" s="1">
        <v>42786</v>
      </c>
      <c r="B2285">
        <v>28.99</v>
      </c>
      <c r="C2285" s="2">
        <f t="shared" si="35"/>
        <v>4.1479492587202255E-3</v>
      </c>
    </row>
    <row r="2286" spans="1:3" x14ac:dyDescent="0.2">
      <c r="A2286" s="1">
        <v>42783</v>
      </c>
      <c r="B2286">
        <v>28.87</v>
      </c>
      <c r="C2286" s="2">
        <f t="shared" si="35"/>
        <v>0</v>
      </c>
    </row>
    <row r="2287" spans="1:3" x14ac:dyDescent="0.2">
      <c r="A2287" s="1">
        <v>42782</v>
      </c>
      <c r="B2287">
        <v>28.87</v>
      </c>
      <c r="C2287" s="2">
        <f t="shared" si="35"/>
        <v>2.1355616418462377E-2</v>
      </c>
    </row>
    <row r="2288" spans="1:3" x14ac:dyDescent="0.2">
      <c r="A2288" s="1">
        <v>42781</v>
      </c>
      <c r="B2288">
        <v>28.26</v>
      </c>
      <c r="C2288" s="2">
        <f t="shared" si="35"/>
        <v>-1.1259795245339847E-2</v>
      </c>
    </row>
    <row r="2289" spans="1:3" x14ac:dyDescent="0.2">
      <c r="A2289" s="1">
        <v>42780</v>
      </c>
      <c r="B2289">
        <v>28.58</v>
      </c>
      <c r="C2289" s="2">
        <f t="shared" si="35"/>
        <v>9.8453678525293013E-3</v>
      </c>
    </row>
    <row r="2290" spans="1:3" x14ac:dyDescent="0.2">
      <c r="A2290" s="1">
        <v>42779</v>
      </c>
      <c r="B2290">
        <v>28.3</v>
      </c>
      <c r="C2290" s="2">
        <f t="shared" si="35"/>
        <v>2.4765623837940038E-3</v>
      </c>
    </row>
    <row r="2291" spans="1:3" x14ac:dyDescent="0.2">
      <c r="A2291" s="1">
        <v>42776</v>
      </c>
      <c r="B2291">
        <v>28.23</v>
      </c>
      <c r="C2291" s="2">
        <f t="shared" si="35"/>
        <v>4.971601149245765E-3</v>
      </c>
    </row>
    <row r="2292" spans="1:3" x14ac:dyDescent="0.2">
      <c r="A2292" s="1">
        <v>42775</v>
      </c>
      <c r="B2292">
        <v>28.09</v>
      </c>
      <c r="C2292" s="2">
        <f t="shared" si="35"/>
        <v>3.9576775111823247E-2</v>
      </c>
    </row>
    <row r="2293" spans="1:3" x14ac:dyDescent="0.2">
      <c r="A2293" s="1">
        <v>42774</v>
      </c>
      <c r="B2293">
        <v>27</v>
      </c>
      <c r="C2293" s="2">
        <f t="shared" si="35"/>
        <v>4.8264433769292523E-3</v>
      </c>
    </row>
    <row r="2294" spans="1:3" x14ac:dyDescent="0.2">
      <c r="A2294" s="1">
        <v>42773</v>
      </c>
      <c r="B2294">
        <v>26.87</v>
      </c>
      <c r="C2294" s="2">
        <f t="shared" si="35"/>
        <v>1.802527211216717E-2</v>
      </c>
    </row>
    <row r="2295" spans="1:3" x14ac:dyDescent="0.2">
      <c r="A2295" s="1">
        <v>42772</v>
      </c>
      <c r="B2295">
        <v>26.39</v>
      </c>
      <c r="C2295" s="2">
        <f t="shared" si="35"/>
        <v>-1.7280670439640974E-2</v>
      </c>
    </row>
    <row r="2296" spans="1:3" x14ac:dyDescent="0.2">
      <c r="A2296" s="1">
        <v>42769</v>
      </c>
      <c r="B2296">
        <v>26.85</v>
      </c>
      <c r="C2296" s="2">
        <f t="shared" si="35"/>
        <v>8.603007987908062E-3</v>
      </c>
    </row>
    <row r="2297" spans="1:3" x14ac:dyDescent="0.2">
      <c r="A2297" s="1">
        <v>42768</v>
      </c>
      <c r="B2297">
        <v>26.62</v>
      </c>
      <c r="C2297" s="2">
        <f t="shared" si="35"/>
        <v>7.9200866579248377E-3</v>
      </c>
    </row>
    <row r="2298" spans="1:3" x14ac:dyDescent="0.2">
      <c r="A2298" s="1">
        <v>42767</v>
      </c>
      <c r="B2298">
        <v>26.41</v>
      </c>
      <c r="C2298" s="2">
        <f t="shared" si="35"/>
        <v>3.793631256839557E-3</v>
      </c>
    </row>
    <row r="2299" spans="1:3" x14ac:dyDescent="0.2">
      <c r="A2299" s="1">
        <v>42766</v>
      </c>
      <c r="B2299">
        <v>26.31</v>
      </c>
      <c r="C2299" s="2">
        <f t="shared" si="35"/>
        <v>-1.6585378289814278E-2</v>
      </c>
    </row>
    <row r="2300" spans="1:3" x14ac:dyDescent="0.2">
      <c r="A2300" s="1">
        <v>42765</v>
      </c>
      <c r="B2300">
        <v>26.75</v>
      </c>
      <c r="C2300" s="2">
        <f t="shared" si="35"/>
        <v>-1.1891630284194222E-2</v>
      </c>
    </row>
    <row r="2301" spans="1:3" x14ac:dyDescent="0.2">
      <c r="A2301" s="1">
        <v>42762</v>
      </c>
      <c r="B2301">
        <v>27.07</v>
      </c>
      <c r="C2301" s="2">
        <f t="shared" si="35"/>
        <v>-1.1076242594454972E-3</v>
      </c>
    </row>
    <row r="2302" spans="1:3" x14ac:dyDescent="0.2">
      <c r="A2302" s="1">
        <v>42761</v>
      </c>
      <c r="B2302">
        <v>27.1</v>
      </c>
      <c r="C2302" s="2">
        <f t="shared" si="35"/>
        <v>8.1512122307065577E-3</v>
      </c>
    </row>
    <row r="2303" spans="1:3" x14ac:dyDescent="0.2">
      <c r="A2303" s="1">
        <v>42760</v>
      </c>
      <c r="B2303">
        <v>26.88</v>
      </c>
      <c r="C2303" s="2">
        <f t="shared" si="35"/>
        <v>-1.3303965626362815E-2</v>
      </c>
    </row>
    <row r="2304" spans="1:3" x14ac:dyDescent="0.2">
      <c r="A2304" s="1">
        <v>42759</v>
      </c>
      <c r="B2304">
        <v>27.24</v>
      </c>
      <c r="C2304" s="2">
        <f t="shared" si="35"/>
        <v>-1.4673516939498429E-3</v>
      </c>
    </row>
    <row r="2305" spans="1:3" x14ac:dyDescent="0.2">
      <c r="A2305" s="1">
        <v>42758</v>
      </c>
      <c r="B2305">
        <v>27.28</v>
      </c>
      <c r="C2305" s="2">
        <f t="shared" si="35"/>
        <v>3.6663611776433327E-4</v>
      </c>
    </row>
    <row r="2306" spans="1:3" x14ac:dyDescent="0.2">
      <c r="A2306" s="1">
        <v>42755</v>
      </c>
      <c r="B2306">
        <v>27.27</v>
      </c>
      <c r="C2306" s="2">
        <f t="shared" si="35"/>
        <v>-9.8522964430115944E-3</v>
      </c>
    </row>
    <row r="2307" spans="1:3" x14ac:dyDescent="0.2">
      <c r="A2307" s="1">
        <v>42754</v>
      </c>
      <c r="B2307">
        <v>27.54</v>
      </c>
      <c r="C2307" s="2">
        <f t="shared" ref="C2307:C2370" si="36">+LN(B2307/B2308)</f>
        <v>1.4534886279830986E-3</v>
      </c>
    </row>
    <row r="2308" spans="1:3" x14ac:dyDescent="0.2">
      <c r="A2308" s="1">
        <v>42753</v>
      </c>
      <c r="B2308">
        <v>27.5</v>
      </c>
      <c r="C2308" s="2">
        <f t="shared" si="36"/>
        <v>0</v>
      </c>
    </row>
    <row r="2309" spans="1:3" x14ac:dyDescent="0.2">
      <c r="A2309" s="1">
        <v>42752</v>
      </c>
      <c r="B2309">
        <v>27.5</v>
      </c>
      <c r="C2309" s="2">
        <f t="shared" si="36"/>
        <v>6.9330691869119677E-3</v>
      </c>
    </row>
    <row r="2310" spans="1:3" x14ac:dyDescent="0.2">
      <c r="A2310" s="1">
        <v>42751</v>
      </c>
      <c r="B2310">
        <v>27.31</v>
      </c>
      <c r="C2310" s="2">
        <f t="shared" si="36"/>
        <v>-1.3818401697256894E-2</v>
      </c>
    </row>
    <row r="2311" spans="1:3" x14ac:dyDescent="0.2">
      <c r="A2311" s="1">
        <v>42748</v>
      </c>
      <c r="B2311">
        <v>27.69</v>
      </c>
      <c r="C2311" s="2">
        <f t="shared" si="36"/>
        <v>1.4551002462623561E-2</v>
      </c>
    </row>
    <row r="2312" spans="1:3" x14ac:dyDescent="0.2">
      <c r="A2312" s="1">
        <v>42747</v>
      </c>
      <c r="B2312">
        <v>27.29</v>
      </c>
      <c r="C2312" s="2">
        <f t="shared" si="36"/>
        <v>-1.9594240817552285E-2</v>
      </c>
    </row>
    <row r="2313" spans="1:3" x14ac:dyDescent="0.2">
      <c r="A2313" s="1">
        <v>42746</v>
      </c>
      <c r="B2313">
        <v>27.83</v>
      </c>
      <c r="C2313" s="2">
        <f t="shared" si="36"/>
        <v>2.3265316893419891E-2</v>
      </c>
    </row>
    <row r="2314" spans="1:3" x14ac:dyDescent="0.2">
      <c r="A2314" s="1">
        <v>42745</v>
      </c>
      <c r="B2314">
        <v>27.19</v>
      </c>
      <c r="C2314" s="2">
        <f t="shared" si="36"/>
        <v>-1.102738578940524E-3</v>
      </c>
    </row>
    <row r="2315" spans="1:3" x14ac:dyDescent="0.2">
      <c r="A2315" s="1">
        <v>42744</v>
      </c>
      <c r="B2315">
        <v>27.22</v>
      </c>
      <c r="C2315" s="2">
        <f t="shared" si="36"/>
        <v>-2.0364340102877777E-2</v>
      </c>
    </row>
    <row r="2316" spans="1:3" x14ac:dyDescent="0.2">
      <c r="A2316" s="1">
        <v>42741</v>
      </c>
      <c r="B2316">
        <v>27.78</v>
      </c>
      <c r="C2316" s="2">
        <f t="shared" si="36"/>
        <v>-7.1968337039362684E-4</v>
      </c>
    </row>
    <row r="2317" spans="1:3" x14ac:dyDescent="0.2">
      <c r="A2317" s="1">
        <v>42740</v>
      </c>
      <c r="B2317">
        <v>27.8</v>
      </c>
      <c r="C2317" s="2">
        <f t="shared" si="36"/>
        <v>1.5953927942241684E-2</v>
      </c>
    </row>
    <row r="2318" spans="1:3" x14ac:dyDescent="0.2">
      <c r="A2318" s="1">
        <v>42739</v>
      </c>
      <c r="B2318">
        <v>27.36</v>
      </c>
      <c r="C2318" s="2">
        <f t="shared" si="36"/>
        <v>5.1300955310296208E-3</v>
      </c>
    </row>
    <row r="2319" spans="1:3" x14ac:dyDescent="0.2">
      <c r="A2319" s="1">
        <v>42738</v>
      </c>
      <c r="B2319">
        <v>27.22</v>
      </c>
      <c r="C2319" s="2">
        <f t="shared" si="36"/>
        <v>-3.3009382622936263E-3</v>
      </c>
    </row>
    <row r="2320" spans="1:3" x14ac:dyDescent="0.2">
      <c r="A2320" s="1">
        <v>42737</v>
      </c>
      <c r="B2320">
        <v>27.31</v>
      </c>
      <c r="C2320" s="2">
        <f t="shared" si="36"/>
        <v>1.4383430709086533E-2</v>
      </c>
    </row>
    <row r="2321" spans="1:3" x14ac:dyDescent="0.2">
      <c r="A2321" s="1">
        <v>42734</v>
      </c>
      <c r="B2321">
        <v>26.92</v>
      </c>
      <c r="C2321" s="2">
        <f t="shared" si="36"/>
        <v>-5.1871179661147713E-3</v>
      </c>
    </row>
    <row r="2322" spans="1:3" x14ac:dyDescent="0.2">
      <c r="A2322" s="1">
        <v>42733</v>
      </c>
      <c r="B2322">
        <v>27.06</v>
      </c>
      <c r="C2322" s="2">
        <f t="shared" si="36"/>
        <v>1.1896051068844936E-2</v>
      </c>
    </row>
    <row r="2323" spans="1:3" x14ac:dyDescent="0.2">
      <c r="A2323" s="1">
        <v>42732</v>
      </c>
      <c r="B2323">
        <v>26.74</v>
      </c>
      <c r="C2323" s="2">
        <f t="shared" si="36"/>
        <v>-1.1896051068844875E-2</v>
      </c>
    </row>
    <row r="2324" spans="1:3" x14ac:dyDescent="0.2">
      <c r="A2324" s="1">
        <v>42731</v>
      </c>
      <c r="B2324">
        <v>27.06</v>
      </c>
      <c r="C2324" s="2">
        <f t="shared" si="36"/>
        <v>4.8157159191343441E-3</v>
      </c>
    </row>
    <row r="2325" spans="1:3" x14ac:dyDescent="0.2">
      <c r="A2325" s="1">
        <v>42727</v>
      </c>
      <c r="B2325">
        <v>26.93</v>
      </c>
      <c r="C2325" s="2">
        <f t="shared" si="36"/>
        <v>2.7099889488192565E-2</v>
      </c>
    </row>
    <row r="2326" spans="1:3" x14ac:dyDescent="0.2">
      <c r="A2326" s="1">
        <v>42726</v>
      </c>
      <c r="B2326">
        <v>26.21</v>
      </c>
      <c r="C2326" s="2">
        <f t="shared" si="36"/>
        <v>-8.3587112808828391E-3</v>
      </c>
    </row>
    <row r="2327" spans="1:3" x14ac:dyDescent="0.2">
      <c r="A2327" s="1">
        <v>42725</v>
      </c>
      <c r="B2327">
        <v>26.43</v>
      </c>
      <c r="C2327" s="2">
        <f t="shared" si="36"/>
        <v>-9.0396095777251339E-3</v>
      </c>
    </row>
    <row r="2328" spans="1:3" x14ac:dyDescent="0.2">
      <c r="A2328" s="1">
        <v>42724</v>
      </c>
      <c r="B2328">
        <v>26.67</v>
      </c>
      <c r="C2328" s="2">
        <f t="shared" si="36"/>
        <v>-1.0443959161083151E-2</v>
      </c>
    </row>
    <row r="2329" spans="1:3" x14ac:dyDescent="0.2">
      <c r="A2329" s="1">
        <v>42723</v>
      </c>
      <c r="B2329">
        <v>26.95</v>
      </c>
      <c r="C2329" s="2">
        <f t="shared" si="36"/>
        <v>7.4488240129904747E-3</v>
      </c>
    </row>
    <row r="2330" spans="1:3" x14ac:dyDescent="0.2">
      <c r="A2330" s="1">
        <v>42720</v>
      </c>
      <c r="B2330">
        <v>26.75</v>
      </c>
      <c r="C2330" s="2">
        <f t="shared" si="36"/>
        <v>1.1656458358529912E-2</v>
      </c>
    </row>
    <row r="2331" spans="1:3" x14ac:dyDescent="0.2">
      <c r="A2331" s="1">
        <v>42719</v>
      </c>
      <c r="B2331">
        <v>26.44</v>
      </c>
      <c r="C2331" s="2">
        <f t="shared" si="36"/>
        <v>3.3067218832788944E-2</v>
      </c>
    </row>
    <row r="2332" spans="1:3" x14ac:dyDescent="0.2">
      <c r="A2332" s="1">
        <v>42718</v>
      </c>
      <c r="B2332">
        <v>25.58</v>
      </c>
      <c r="C2332" s="2">
        <f t="shared" si="36"/>
        <v>-1.5131229523960486E-2</v>
      </c>
    </row>
    <row r="2333" spans="1:3" x14ac:dyDescent="0.2">
      <c r="A2333" s="1">
        <v>42717</v>
      </c>
      <c r="B2333">
        <v>25.97</v>
      </c>
      <c r="C2333" s="2">
        <f t="shared" si="36"/>
        <v>1.2788393622187724E-2</v>
      </c>
    </row>
    <row r="2334" spans="1:3" x14ac:dyDescent="0.2">
      <c r="A2334" s="1">
        <v>42716</v>
      </c>
      <c r="B2334">
        <v>25.64</v>
      </c>
      <c r="C2334" s="2">
        <f t="shared" si="36"/>
        <v>-1.394290596901275E-2</v>
      </c>
    </row>
    <row r="2335" spans="1:3" x14ac:dyDescent="0.2">
      <c r="A2335" s="1">
        <v>42713</v>
      </c>
      <c r="B2335">
        <v>26</v>
      </c>
      <c r="C2335" s="2">
        <f t="shared" si="36"/>
        <v>1.8242306768089574E-2</v>
      </c>
    </row>
    <row r="2336" spans="1:3" x14ac:dyDescent="0.2">
      <c r="A2336" s="1">
        <v>42712</v>
      </c>
      <c r="B2336">
        <v>25.53</v>
      </c>
      <c r="C2336" s="2">
        <f t="shared" si="36"/>
        <v>-5.8582475683678697E-3</v>
      </c>
    </row>
    <row r="2337" spans="1:3" x14ac:dyDescent="0.2">
      <c r="A2337" s="1">
        <v>42711</v>
      </c>
      <c r="B2337">
        <v>25.68</v>
      </c>
      <c r="C2337" s="2">
        <f t="shared" si="36"/>
        <v>-2.7221482879847391E-3</v>
      </c>
    </row>
    <row r="2338" spans="1:3" x14ac:dyDescent="0.2">
      <c r="A2338" s="1">
        <v>42710</v>
      </c>
      <c r="B2338">
        <v>25.75</v>
      </c>
      <c r="C2338" s="2">
        <f t="shared" si="36"/>
        <v>1.0540796405782486E-2</v>
      </c>
    </row>
    <row r="2339" spans="1:3" x14ac:dyDescent="0.2">
      <c r="A2339" s="1">
        <v>42709</v>
      </c>
      <c r="B2339">
        <v>25.48</v>
      </c>
      <c r="C2339" s="2">
        <f t="shared" si="36"/>
        <v>1.065308950413422E-2</v>
      </c>
    </row>
    <row r="2340" spans="1:3" x14ac:dyDescent="0.2">
      <c r="A2340" s="1">
        <v>42706</v>
      </c>
      <c r="B2340">
        <v>25.21</v>
      </c>
      <c r="C2340" s="2">
        <f t="shared" si="36"/>
        <v>1.5993943496118806E-2</v>
      </c>
    </row>
    <row r="2341" spans="1:3" x14ac:dyDescent="0.2">
      <c r="A2341" s="1">
        <v>42705</v>
      </c>
      <c r="B2341">
        <v>24.81</v>
      </c>
      <c r="C2341" s="2">
        <f t="shared" si="36"/>
        <v>-3.4855013418082698E-2</v>
      </c>
    </row>
    <row r="2342" spans="1:3" x14ac:dyDescent="0.2">
      <c r="A2342" s="1">
        <v>42704</v>
      </c>
      <c r="B2342">
        <v>25.69</v>
      </c>
      <c r="C2342" s="2">
        <f t="shared" si="36"/>
        <v>7.4233589574118526E-3</v>
      </c>
    </row>
    <row r="2343" spans="1:3" x14ac:dyDescent="0.2">
      <c r="A2343" s="1">
        <v>42703</v>
      </c>
      <c r="B2343">
        <v>25.5</v>
      </c>
      <c r="C2343" s="2">
        <f t="shared" si="36"/>
        <v>1.3423020332140771E-2</v>
      </c>
    </row>
    <row r="2344" spans="1:3" x14ac:dyDescent="0.2">
      <c r="A2344" s="1">
        <v>42702</v>
      </c>
      <c r="B2344">
        <v>25.16</v>
      </c>
      <c r="C2344" s="2">
        <f t="shared" si="36"/>
        <v>-1.1853161297020737E-2</v>
      </c>
    </row>
    <row r="2345" spans="1:3" x14ac:dyDescent="0.2">
      <c r="A2345" s="1">
        <v>42699</v>
      </c>
      <c r="B2345">
        <v>25.46</v>
      </c>
      <c r="C2345" s="2">
        <f t="shared" si="36"/>
        <v>3.5412195180700586E-3</v>
      </c>
    </row>
    <row r="2346" spans="1:3" x14ac:dyDescent="0.2">
      <c r="A2346" s="1">
        <v>42698</v>
      </c>
      <c r="B2346">
        <v>25.37</v>
      </c>
      <c r="C2346" s="2">
        <f t="shared" si="36"/>
        <v>1.1895461440988584E-2</v>
      </c>
    </row>
    <row r="2347" spans="1:3" x14ac:dyDescent="0.2">
      <c r="A2347" s="1">
        <v>42697</v>
      </c>
      <c r="B2347">
        <v>25.07</v>
      </c>
      <c r="C2347" s="2">
        <f t="shared" si="36"/>
        <v>1.5273608813113886E-2</v>
      </c>
    </row>
    <row r="2348" spans="1:3" x14ac:dyDescent="0.2">
      <c r="A2348" s="1">
        <v>42696</v>
      </c>
      <c r="B2348">
        <v>24.69</v>
      </c>
      <c r="C2348" s="2">
        <f t="shared" si="36"/>
        <v>-2.5196293918887253E-2</v>
      </c>
    </row>
    <row r="2349" spans="1:3" x14ac:dyDescent="0.2">
      <c r="A2349" s="1">
        <v>42695</v>
      </c>
      <c r="B2349">
        <v>25.32</v>
      </c>
      <c r="C2349" s="2">
        <f t="shared" si="36"/>
        <v>-1.6063029017677324E-2</v>
      </c>
    </row>
    <row r="2350" spans="1:3" x14ac:dyDescent="0.2">
      <c r="A2350" s="1">
        <v>42692</v>
      </c>
      <c r="B2350">
        <v>25.73</v>
      </c>
      <c r="C2350" s="2">
        <f t="shared" si="36"/>
        <v>-3.1043874368696421E-3</v>
      </c>
    </row>
    <row r="2351" spans="1:3" x14ac:dyDescent="0.2">
      <c r="A2351" s="1">
        <v>42691</v>
      </c>
      <c r="B2351">
        <v>25.81</v>
      </c>
      <c r="C2351" s="2">
        <f t="shared" si="36"/>
        <v>1.4046270733990621E-2</v>
      </c>
    </row>
    <row r="2352" spans="1:3" x14ac:dyDescent="0.2">
      <c r="A2352" s="1">
        <v>42690</v>
      </c>
      <c r="B2352">
        <v>25.45</v>
      </c>
      <c r="C2352" s="2">
        <f t="shared" si="36"/>
        <v>1.1794772352235732E-3</v>
      </c>
    </row>
    <row r="2353" spans="1:3" x14ac:dyDescent="0.2">
      <c r="A2353" s="1">
        <v>42689</v>
      </c>
      <c r="B2353">
        <v>25.42</v>
      </c>
      <c r="C2353" s="2">
        <f t="shared" si="36"/>
        <v>-5.883523541787168E-3</v>
      </c>
    </row>
    <row r="2354" spans="1:3" x14ac:dyDescent="0.2">
      <c r="A2354" s="1">
        <v>42688</v>
      </c>
      <c r="B2354">
        <v>25.57</v>
      </c>
      <c r="C2354" s="2">
        <f t="shared" si="36"/>
        <v>-2.051552502555249E-2</v>
      </c>
    </row>
    <row r="2355" spans="1:3" x14ac:dyDescent="0.2">
      <c r="A2355" s="1">
        <v>42685</v>
      </c>
      <c r="B2355">
        <v>26.1</v>
      </c>
      <c r="C2355" s="2">
        <f t="shared" si="36"/>
        <v>1.9175461292718545E-3</v>
      </c>
    </row>
    <row r="2356" spans="1:3" x14ac:dyDescent="0.2">
      <c r="A2356" s="1">
        <v>42684</v>
      </c>
      <c r="B2356">
        <v>26.05</v>
      </c>
      <c r="C2356" s="2">
        <f t="shared" si="36"/>
        <v>-3.2480196539438469E-2</v>
      </c>
    </row>
    <row r="2357" spans="1:3" x14ac:dyDescent="0.2">
      <c r="A2357" s="1">
        <v>42683</v>
      </c>
      <c r="B2357">
        <v>26.91</v>
      </c>
      <c r="C2357" s="2">
        <f t="shared" si="36"/>
        <v>4.2511144845561108E-2</v>
      </c>
    </row>
    <row r="2358" spans="1:3" x14ac:dyDescent="0.2">
      <c r="A2358" s="1">
        <v>42682</v>
      </c>
      <c r="B2358">
        <v>25.79</v>
      </c>
      <c r="C2358" s="2">
        <f t="shared" si="36"/>
        <v>0</v>
      </c>
    </row>
    <row r="2359" spans="1:3" x14ac:dyDescent="0.2">
      <c r="A2359" s="1">
        <v>42681</v>
      </c>
      <c r="B2359">
        <v>25.79</v>
      </c>
      <c r="C2359" s="2">
        <f t="shared" si="36"/>
        <v>2.4731388061013659E-2</v>
      </c>
    </row>
    <row r="2360" spans="1:3" x14ac:dyDescent="0.2">
      <c r="A2360" s="1">
        <v>42678</v>
      </c>
      <c r="B2360">
        <v>25.16</v>
      </c>
      <c r="C2360" s="2">
        <f t="shared" si="36"/>
        <v>-2.2013467537178835E-2</v>
      </c>
    </row>
    <row r="2361" spans="1:3" x14ac:dyDescent="0.2">
      <c r="A2361" s="1">
        <v>42677</v>
      </c>
      <c r="B2361">
        <v>25.72</v>
      </c>
      <c r="C2361" s="2">
        <f t="shared" si="36"/>
        <v>4.676547883901803E-3</v>
      </c>
    </row>
    <row r="2362" spans="1:3" x14ac:dyDescent="0.2">
      <c r="A2362" s="1">
        <v>42676</v>
      </c>
      <c r="B2362">
        <v>25.6</v>
      </c>
      <c r="C2362" s="2">
        <f t="shared" si="36"/>
        <v>1.4955020948743458E-2</v>
      </c>
    </row>
    <row r="2363" spans="1:3" x14ac:dyDescent="0.2">
      <c r="A2363" s="1">
        <v>42675</v>
      </c>
      <c r="B2363">
        <v>25.22</v>
      </c>
      <c r="C2363" s="2">
        <f t="shared" si="36"/>
        <v>-2.1961666974267921E-2</v>
      </c>
    </row>
    <row r="2364" spans="1:3" x14ac:dyDescent="0.2">
      <c r="A2364" s="1">
        <v>42674</v>
      </c>
      <c r="B2364">
        <v>25.78</v>
      </c>
      <c r="C2364" s="2">
        <f t="shared" si="36"/>
        <v>-6.187181377256535E-3</v>
      </c>
    </row>
    <row r="2365" spans="1:3" x14ac:dyDescent="0.2">
      <c r="A2365" s="1">
        <v>42671</v>
      </c>
      <c r="B2365">
        <v>25.94</v>
      </c>
      <c r="C2365" s="2">
        <f t="shared" si="36"/>
        <v>-3.1869161374728665E-2</v>
      </c>
    </row>
    <row r="2366" spans="1:3" x14ac:dyDescent="0.2">
      <c r="A2366" s="1">
        <v>42670</v>
      </c>
      <c r="B2366">
        <v>26.78</v>
      </c>
      <c r="C2366" s="2">
        <f t="shared" si="36"/>
        <v>6.7441244753729526E-3</v>
      </c>
    </row>
    <row r="2367" spans="1:3" x14ac:dyDescent="0.2">
      <c r="A2367" s="1">
        <v>42669</v>
      </c>
      <c r="B2367">
        <v>26.6</v>
      </c>
      <c r="C2367" s="2">
        <f t="shared" si="36"/>
        <v>-7.4906717291576257E-3</v>
      </c>
    </row>
    <row r="2368" spans="1:3" x14ac:dyDescent="0.2">
      <c r="A2368" s="1">
        <v>42668</v>
      </c>
      <c r="B2368">
        <v>26.8</v>
      </c>
      <c r="C2368" s="2">
        <f t="shared" si="36"/>
        <v>-7.064539513102196E-3</v>
      </c>
    </row>
    <row r="2369" spans="1:3" x14ac:dyDescent="0.2">
      <c r="A2369" s="1">
        <v>42667</v>
      </c>
      <c r="B2369">
        <v>26.99</v>
      </c>
      <c r="C2369" s="2">
        <f t="shared" si="36"/>
        <v>8.9319536878976185E-3</v>
      </c>
    </row>
    <row r="2370" spans="1:3" x14ac:dyDescent="0.2">
      <c r="A2370" s="1">
        <v>42664</v>
      </c>
      <c r="B2370">
        <v>26.75</v>
      </c>
      <c r="C2370" s="2">
        <f t="shared" si="36"/>
        <v>-1.4842573037928852E-2</v>
      </c>
    </row>
    <row r="2371" spans="1:3" x14ac:dyDescent="0.2">
      <c r="A2371" s="1">
        <v>42663</v>
      </c>
      <c r="B2371">
        <v>27.15</v>
      </c>
      <c r="C2371" s="2">
        <f t="shared" ref="C2371:C2434" si="37">+LN(B2371/B2372)</f>
        <v>-3.6825631055104296E-4</v>
      </c>
    </row>
    <row r="2372" spans="1:3" x14ac:dyDescent="0.2">
      <c r="A2372" s="1">
        <v>42662</v>
      </c>
      <c r="B2372">
        <v>27.16</v>
      </c>
      <c r="C2372" s="2">
        <f t="shared" si="37"/>
        <v>1.8426391799213294E-3</v>
      </c>
    </row>
    <row r="2373" spans="1:3" x14ac:dyDescent="0.2">
      <c r="A2373" s="1">
        <v>42661</v>
      </c>
      <c r="B2373">
        <v>27.11</v>
      </c>
      <c r="C2373" s="2">
        <f t="shared" si="37"/>
        <v>5.9193661555679671E-3</v>
      </c>
    </row>
    <row r="2374" spans="1:3" x14ac:dyDescent="0.2">
      <c r="A2374" s="1">
        <v>42660</v>
      </c>
      <c r="B2374">
        <v>26.95</v>
      </c>
      <c r="C2374" s="2">
        <f t="shared" si="37"/>
        <v>-2.1293021799509825E-2</v>
      </c>
    </row>
    <row r="2375" spans="1:3" x14ac:dyDescent="0.2">
      <c r="A2375" s="1">
        <v>42657</v>
      </c>
      <c r="B2375">
        <v>27.53</v>
      </c>
      <c r="C2375" s="2">
        <f t="shared" si="37"/>
        <v>7.6572844519266388E-3</v>
      </c>
    </row>
    <row r="2376" spans="1:3" x14ac:dyDescent="0.2">
      <c r="A2376" s="1">
        <v>42656</v>
      </c>
      <c r="B2376">
        <v>27.32</v>
      </c>
      <c r="C2376" s="2">
        <f t="shared" si="37"/>
        <v>-1.7416985994002116E-2</v>
      </c>
    </row>
    <row r="2377" spans="1:3" x14ac:dyDescent="0.2">
      <c r="A2377" s="1">
        <v>42655</v>
      </c>
      <c r="B2377">
        <v>27.8</v>
      </c>
      <c r="C2377" s="2">
        <f t="shared" si="37"/>
        <v>-1.6765151008907603E-2</v>
      </c>
    </row>
    <row r="2378" spans="1:3" x14ac:dyDescent="0.2">
      <c r="A2378" s="1">
        <v>42654</v>
      </c>
      <c r="B2378">
        <v>28.27</v>
      </c>
      <c r="C2378" s="2">
        <f t="shared" si="37"/>
        <v>-3.883500026397633E-3</v>
      </c>
    </row>
    <row r="2379" spans="1:3" x14ac:dyDescent="0.2">
      <c r="A2379" s="1">
        <v>42653</v>
      </c>
      <c r="B2379">
        <v>28.38</v>
      </c>
      <c r="C2379" s="2">
        <f t="shared" si="37"/>
        <v>1.2052609565507225E-2</v>
      </c>
    </row>
    <row r="2380" spans="1:3" x14ac:dyDescent="0.2">
      <c r="A2380" s="1">
        <v>42650</v>
      </c>
      <c r="B2380">
        <v>28.04</v>
      </c>
      <c r="C2380" s="2">
        <f t="shared" si="37"/>
        <v>-4.6255197218919627E-3</v>
      </c>
    </row>
    <row r="2381" spans="1:3" x14ac:dyDescent="0.2">
      <c r="A2381" s="1">
        <v>42649</v>
      </c>
      <c r="B2381">
        <v>28.17</v>
      </c>
      <c r="C2381" s="2">
        <f t="shared" si="37"/>
        <v>-5.3106869372377104E-3</v>
      </c>
    </row>
    <row r="2382" spans="1:3" x14ac:dyDescent="0.2">
      <c r="A2382" s="1">
        <v>42648</v>
      </c>
      <c r="B2382">
        <v>28.32</v>
      </c>
      <c r="C2382" s="2">
        <f t="shared" si="37"/>
        <v>-2.1164029063775016E-3</v>
      </c>
    </row>
    <row r="2383" spans="1:3" x14ac:dyDescent="0.2">
      <c r="A2383" s="1">
        <v>42647</v>
      </c>
      <c r="B2383">
        <v>28.38</v>
      </c>
      <c r="C2383" s="2">
        <f t="shared" si="37"/>
        <v>-3.1662295580495493E-3</v>
      </c>
    </row>
    <row r="2384" spans="1:3" x14ac:dyDescent="0.2">
      <c r="A2384" s="1">
        <v>42646</v>
      </c>
      <c r="B2384">
        <v>28.47</v>
      </c>
      <c r="C2384" s="2">
        <f t="shared" si="37"/>
        <v>-4.9054057720727077E-3</v>
      </c>
    </row>
    <row r="2385" spans="1:3" x14ac:dyDescent="0.2">
      <c r="A2385" s="1">
        <v>42643</v>
      </c>
      <c r="B2385">
        <v>28.61</v>
      </c>
      <c r="C2385" s="2">
        <f t="shared" si="37"/>
        <v>7.367161894858581E-3</v>
      </c>
    </row>
    <row r="2386" spans="1:3" x14ac:dyDescent="0.2">
      <c r="A2386" s="1">
        <v>42642</v>
      </c>
      <c r="B2386">
        <v>28.4</v>
      </c>
      <c r="C2386" s="2">
        <f t="shared" si="37"/>
        <v>-1.0159484826113169E-2</v>
      </c>
    </row>
    <row r="2387" spans="1:3" x14ac:dyDescent="0.2">
      <c r="A2387" s="1">
        <v>42641</v>
      </c>
      <c r="B2387">
        <v>28.69</v>
      </c>
      <c r="C2387" s="2">
        <f t="shared" si="37"/>
        <v>0</v>
      </c>
    </row>
    <row r="2388" spans="1:3" x14ac:dyDescent="0.2">
      <c r="A2388" s="1">
        <v>42640</v>
      </c>
      <c r="B2388">
        <v>28.69</v>
      </c>
      <c r="C2388" s="2">
        <f t="shared" si="37"/>
        <v>9.1037043303651109E-3</v>
      </c>
    </row>
    <row r="2389" spans="1:3" x14ac:dyDescent="0.2">
      <c r="A2389" s="1">
        <v>42639</v>
      </c>
      <c r="B2389">
        <v>28.43</v>
      </c>
      <c r="C2389" s="2">
        <f t="shared" si="37"/>
        <v>3.3258920990382738E-2</v>
      </c>
    </row>
    <row r="2390" spans="1:3" x14ac:dyDescent="0.2">
      <c r="A2390" s="1">
        <v>42636</v>
      </c>
      <c r="B2390">
        <v>27.5</v>
      </c>
      <c r="C2390" s="2">
        <f t="shared" si="37"/>
        <v>1.8198367169858993E-3</v>
      </c>
    </row>
    <row r="2391" spans="1:3" x14ac:dyDescent="0.2">
      <c r="A2391" s="1">
        <v>42635</v>
      </c>
      <c r="B2391">
        <v>27.45</v>
      </c>
      <c r="C2391" s="2">
        <f t="shared" si="37"/>
        <v>9.8847592325419249E-3</v>
      </c>
    </row>
    <row r="2392" spans="1:3" x14ac:dyDescent="0.2">
      <c r="A2392" s="1">
        <v>42634</v>
      </c>
      <c r="B2392">
        <v>27.18</v>
      </c>
      <c r="C2392" s="2">
        <f t="shared" si="37"/>
        <v>7.3610603250227229E-4</v>
      </c>
    </row>
    <row r="2393" spans="1:3" x14ac:dyDescent="0.2">
      <c r="A2393" s="1">
        <v>42633</v>
      </c>
      <c r="B2393">
        <v>27.16</v>
      </c>
      <c r="C2393" s="2">
        <f t="shared" si="37"/>
        <v>2.580646593491713E-3</v>
      </c>
    </row>
    <row r="2394" spans="1:3" x14ac:dyDescent="0.2">
      <c r="A2394" s="1">
        <v>42632</v>
      </c>
      <c r="B2394">
        <v>27.09</v>
      </c>
      <c r="C2394" s="2">
        <f t="shared" si="37"/>
        <v>7.4101858162304484E-3</v>
      </c>
    </row>
    <row r="2395" spans="1:3" x14ac:dyDescent="0.2">
      <c r="A2395" s="1">
        <v>42629</v>
      </c>
      <c r="B2395">
        <v>26.89</v>
      </c>
      <c r="C2395" s="2">
        <f t="shared" si="37"/>
        <v>-1.7327622473576342E-2</v>
      </c>
    </row>
    <row r="2396" spans="1:3" x14ac:dyDescent="0.2">
      <c r="A2396" s="1">
        <v>42628</v>
      </c>
      <c r="B2396">
        <v>27.36</v>
      </c>
      <c r="C2396" s="2">
        <f t="shared" si="37"/>
        <v>6.9686693160932152E-3</v>
      </c>
    </row>
    <row r="2397" spans="1:3" x14ac:dyDescent="0.2">
      <c r="A2397" s="1">
        <v>42627</v>
      </c>
      <c r="B2397">
        <v>27.17</v>
      </c>
      <c r="C2397" s="2">
        <f t="shared" si="37"/>
        <v>2.1202207650602906E-2</v>
      </c>
    </row>
    <row r="2398" spans="1:3" x14ac:dyDescent="0.2">
      <c r="A2398" s="1">
        <v>42626</v>
      </c>
      <c r="B2398">
        <v>26.6</v>
      </c>
      <c r="C2398" s="2">
        <f t="shared" si="37"/>
        <v>-2.6281224062694691E-3</v>
      </c>
    </row>
    <row r="2399" spans="1:3" x14ac:dyDescent="0.2">
      <c r="A2399" s="1">
        <v>42625</v>
      </c>
      <c r="B2399">
        <v>26.67</v>
      </c>
      <c r="C2399" s="2">
        <f t="shared" si="37"/>
        <v>-3.7425193383381116E-3</v>
      </c>
    </row>
    <row r="2400" spans="1:3" x14ac:dyDescent="0.2">
      <c r="A2400" s="1">
        <v>42622</v>
      </c>
      <c r="B2400">
        <v>26.77</v>
      </c>
      <c r="C2400" s="2">
        <f t="shared" si="37"/>
        <v>-2.8357635768247635E-2</v>
      </c>
    </row>
    <row r="2401" spans="1:3" x14ac:dyDescent="0.2">
      <c r="A2401" s="1">
        <v>42621</v>
      </c>
      <c r="B2401">
        <v>27.54</v>
      </c>
      <c r="C2401" s="2">
        <f t="shared" si="37"/>
        <v>-1.262870833888889E-2</v>
      </c>
    </row>
    <row r="2402" spans="1:3" x14ac:dyDescent="0.2">
      <c r="A2402" s="1">
        <v>42620</v>
      </c>
      <c r="B2402">
        <v>27.89</v>
      </c>
      <c r="C2402" s="2">
        <f t="shared" si="37"/>
        <v>3.206103383487334E-2</v>
      </c>
    </row>
    <row r="2403" spans="1:3" x14ac:dyDescent="0.2">
      <c r="A2403" s="1">
        <v>42619</v>
      </c>
      <c r="B2403">
        <v>27.01</v>
      </c>
      <c r="C2403" s="2">
        <f t="shared" si="37"/>
        <v>-5.1698785754201813E-3</v>
      </c>
    </row>
    <row r="2404" spans="1:3" x14ac:dyDescent="0.2">
      <c r="A2404" s="1">
        <v>42618</v>
      </c>
      <c r="B2404">
        <v>27.15</v>
      </c>
      <c r="C2404" s="2">
        <f t="shared" si="37"/>
        <v>0</v>
      </c>
    </row>
    <row r="2405" spans="1:3" x14ac:dyDescent="0.2">
      <c r="A2405" s="1">
        <v>42615</v>
      </c>
      <c r="B2405">
        <v>27.15</v>
      </c>
      <c r="C2405" s="2">
        <f t="shared" si="37"/>
        <v>1.2229168526411944E-2</v>
      </c>
    </row>
    <row r="2406" spans="1:3" x14ac:dyDescent="0.2">
      <c r="A2406" s="1">
        <v>42614</v>
      </c>
      <c r="B2406">
        <v>26.82</v>
      </c>
      <c r="C2406" s="2">
        <f t="shared" si="37"/>
        <v>-1.1123585218662429E-2</v>
      </c>
    </row>
    <row r="2407" spans="1:3" x14ac:dyDescent="0.2">
      <c r="A2407" s="1">
        <v>42613</v>
      </c>
      <c r="B2407">
        <v>27.12</v>
      </c>
      <c r="C2407" s="2">
        <f t="shared" si="37"/>
        <v>-8.4450657957954624E-3</v>
      </c>
    </row>
    <row r="2408" spans="1:3" x14ac:dyDescent="0.2">
      <c r="A2408" s="1">
        <v>42612</v>
      </c>
      <c r="B2408">
        <v>27.35</v>
      </c>
      <c r="C2408" s="2">
        <f t="shared" si="37"/>
        <v>2.5552214117427731E-2</v>
      </c>
    </row>
    <row r="2409" spans="1:3" x14ac:dyDescent="0.2">
      <c r="A2409" s="1">
        <v>42611</v>
      </c>
      <c r="B2409">
        <v>26.66</v>
      </c>
      <c r="C2409" s="2">
        <f t="shared" si="37"/>
        <v>-1.1189971293543698E-2</v>
      </c>
    </row>
    <row r="2410" spans="1:3" x14ac:dyDescent="0.2">
      <c r="A2410" s="1">
        <v>42608</v>
      </c>
      <c r="B2410">
        <v>26.96</v>
      </c>
      <c r="C2410" s="2">
        <f t="shared" si="37"/>
        <v>1.113379220598824E-3</v>
      </c>
    </row>
    <row r="2411" spans="1:3" x14ac:dyDescent="0.2">
      <c r="A2411" s="1">
        <v>42607</v>
      </c>
      <c r="B2411">
        <v>26.93</v>
      </c>
      <c r="C2411" s="2">
        <f t="shared" si="37"/>
        <v>-2.2761628775416005E-2</v>
      </c>
    </row>
    <row r="2412" spans="1:3" x14ac:dyDescent="0.2">
      <c r="A2412" s="1">
        <v>42606</v>
      </c>
      <c r="B2412">
        <v>27.55</v>
      </c>
      <c r="C2412" s="2">
        <f t="shared" si="37"/>
        <v>4.3652306494116238E-3</v>
      </c>
    </row>
    <row r="2413" spans="1:3" x14ac:dyDescent="0.2">
      <c r="A2413" s="1">
        <v>42605</v>
      </c>
      <c r="B2413">
        <v>27.43</v>
      </c>
      <c r="C2413" s="2">
        <f t="shared" si="37"/>
        <v>5.4834719742503984E-3</v>
      </c>
    </row>
    <row r="2414" spans="1:3" x14ac:dyDescent="0.2">
      <c r="A2414" s="1">
        <v>42604</v>
      </c>
      <c r="B2414">
        <v>27.28</v>
      </c>
      <c r="C2414" s="2">
        <f t="shared" si="37"/>
        <v>6.9891768782575671E-3</v>
      </c>
    </row>
    <row r="2415" spans="1:3" x14ac:dyDescent="0.2">
      <c r="A2415" s="1">
        <v>42601</v>
      </c>
      <c r="B2415">
        <v>27.09</v>
      </c>
      <c r="C2415" s="2">
        <f t="shared" si="37"/>
        <v>-1.2837146760680831E-2</v>
      </c>
    </row>
    <row r="2416" spans="1:3" x14ac:dyDescent="0.2">
      <c r="A2416" s="1">
        <v>42600</v>
      </c>
      <c r="B2416">
        <v>27.44</v>
      </c>
      <c r="C2416" s="2">
        <f t="shared" si="37"/>
        <v>6.2146060001874795E-3</v>
      </c>
    </row>
    <row r="2417" spans="1:3" x14ac:dyDescent="0.2">
      <c r="A2417" s="1">
        <v>42599</v>
      </c>
      <c r="B2417">
        <v>27.27</v>
      </c>
      <c r="C2417" s="2">
        <f t="shared" si="37"/>
        <v>-1.9248823839094265E-2</v>
      </c>
    </row>
    <row r="2418" spans="1:3" x14ac:dyDescent="0.2">
      <c r="A2418" s="1">
        <v>42598</v>
      </c>
      <c r="B2418">
        <v>27.8</v>
      </c>
      <c r="C2418" s="2">
        <f t="shared" si="37"/>
        <v>-3.5964754928199136E-4</v>
      </c>
    </row>
    <row r="2419" spans="1:3" x14ac:dyDescent="0.2">
      <c r="A2419" s="1">
        <v>42594</v>
      </c>
      <c r="B2419">
        <v>27.81</v>
      </c>
      <c r="C2419" s="2">
        <f t="shared" si="37"/>
        <v>-2.7661338088347046E-2</v>
      </c>
    </row>
    <row r="2420" spans="1:3" x14ac:dyDescent="0.2">
      <c r="A2420" s="1">
        <v>42593</v>
      </c>
      <c r="B2420">
        <v>28.59</v>
      </c>
      <c r="C2420" s="2">
        <f t="shared" si="37"/>
        <v>6.6678611670600157E-3</v>
      </c>
    </row>
    <row r="2421" spans="1:3" x14ac:dyDescent="0.2">
      <c r="A2421" s="1">
        <v>42592</v>
      </c>
      <c r="B2421">
        <v>28.4</v>
      </c>
      <c r="C2421" s="2">
        <f t="shared" si="37"/>
        <v>-1.7590154051795588E-3</v>
      </c>
    </row>
    <row r="2422" spans="1:3" x14ac:dyDescent="0.2">
      <c r="A2422" s="1">
        <v>42591</v>
      </c>
      <c r="B2422">
        <v>28.45</v>
      </c>
      <c r="C2422" s="2">
        <f t="shared" si="37"/>
        <v>1.0245629282498236E-2</v>
      </c>
    </row>
    <row r="2423" spans="1:3" x14ac:dyDescent="0.2">
      <c r="A2423" s="1">
        <v>42590</v>
      </c>
      <c r="B2423">
        <v>28.16</v>
      </c>
      <c r="C2423" s="2">
        <f t="shared" si="37"/>
        <v>-2.8368813351996149E-3</v>
      </c>
    </row>
    <row r="2424" spans="1:3" x14ac:dyDescent="0.2">
      <c r="A2424" s="1">
        <v>42587</v>
      </c>
      <c r="B2424">
        <v>28.24</v>
      </c>
      <c r="C2424" s="2">
        <f t="shared" si="37"/>
        <v>-1.1267724846342269E-2</v>
      </c>
    </row>
    <row r="2425" spans="1:3" x14ac:dyDescent="0.2">
      <c r="A2425" s="1">
        <v>42586</v>
      </c>
      <c r="B2425">
        <v>28.56</v>
      </c>
      <c r="C2425" s="2">
        <f t="shared" si="37"/>
        <v>1.6593496355231351E-2</v>
      </c>
    </row>
    <row r="2426" spans="1:3" x14ac:dyDescent="0.2">
      <c r="A2426" s="1">
        <v>42585</v>
      </c>
      <c r="B2426">
        <v>28.09</v>
      </c>
      <c r="C2426" s="2">
        <f t="shared" si="37"/>
        <v>-2.6696351837956312E-2</v>
      </c>
    </row>
    <row r="2427" spans="1:3" x14ac:dyDescent="0.2">
      <c r="A2427" s="1">
        <v>42584</v>
      </c>
      <c r="B2427">
        <v>28.85</v>
      </c>
      <c r="C2427" s="2">
        <f t="shared" si="37"/>
        <v>-1.7523210792206173E-2</v>
      </c>
    </row>
    <row r="2428" spans="1:3" x14ac:dyDescent="0.2">
      <c r="A2428" s="1">
        <v>42583</v>
      </c>
      <c r="B2428">
        <v>29.36</v>
      </c>
      <c r="C2428" s="2">
        <f t="shared" si="37"/>
        <v>1.1992605613002052E-2</v>
      </c>
    </row>
    <row r="2429" spans="1:3" x14ac:dyDescent="0.2">
      <c r="A2429" s="1">
        <v>42580</v>
      </c>
      <c r="B2429">
        <v>29.01</v>
      </c>
      <c r="C2429" s="2">
        <f t="shared" si="37"/>
        <v>7.9598966740909265E-3</v>
      </c>
    </row>
    <row r="2430" spans="1:3" x14ac:dyDescent="0.2">
      <c r="A2430" s="1">
        <v>42579</v>
      </c>
      <c r="B2430">
        <v>28.78</v>
      </c>
      <c r="C2430" s="2">
        <f t="shared" si="37"/>
        <v>-5.5440197441160395E-3</v>
      </c>
    </row>
    <row r="2431" spans="1:3" x14ac:dyDescent="0.2">
      <c r="A2431" s="1">
        <v>42578</v>
      </c>
      <c r="B2431">
        <v>28.94</v>
      </c>
      <c r="C2431" s="2">
        <f t="shared" si="37"/>
        <v>-1.0360905779210976E-3</v>
      </c>
    </row>
    <row r="2432" spans="1:3" x14ac:dyDescent="0.2">
      <c r="A2432" s="1">
        <v>42577</v>
      </c>
      <c r="B2432">
        <v>28.97</v>
      </c>
      <c r="C2432" s="2">
        <f t="shared" si="37"/>
        <v>1.9519615915162353E-2</v>
      </c>
    </row>
    <row r="2433" spans="1:3" x14ac:dyDescent="0.2">
      <c r="A2433" s="1">
        <v>42576</v>
      </c>
      <c r="B2433">
        <v>28.41</v>
      </c>
      <c r="C2433" s="2">
        <f t="shared" si="37"/>
        <v>-1.2591981697359962E-2</v>
      </c>
    </row>
    <row r="2434" spans="1:3" x14ac:dyDescent="0.2">
      <c r="A2434" s="1">
        <v>42573</v>
      </c>
      <c r="B2434">
        <v>28.77</v>
      </c>
      <c r="C2434" s="2">
        <f t="shared" si="37"/>
        <v>1.739433383433195E-3</v>
      </c>
    </row>
    <row r="2435" spans="1:3" x14ac:dyDescent="0.2">
      <c r="A2435" s="1">
        <v>42572</v>
      </c>
      <c r="B2435">
        <v>28.72</v>
      </c>
      <c r="C2435" s="2">
        <f t="shared" ref="C2435:C2498" si="38">+LN(B2435/B2436)</f>
        <v>-1.3917886728226083E-3</v>
      </c>
    </row>
    <row r="2436" spans="1:3" x14ac:dyDescent="0.2">
      <c r="A2436" s="1">
        <v>42571</v>
      </c>
      <c r="B2436">
        <v>28.76</v>
      </c>
      <c r="C2436" s="2">
        <f t="shared" si="38"/>
        <v>1.9309007838941031E-2</v>
      </c>
    </row>
    <row r="2437" spans="1:3" x14ac:dyDescent="0.2">
      <c r="A2437" s="1">
        <v>42570</v>
      </c>
      <c r="B2437">
        <v>28.21</v>
      </c>
      <c r="C2437" s="2">
        <f t="shared" si="38"/>
        <v>1.8966394264436044E-2</v>
      </c>
    </row>
    <row r="2438" spans="1:3" x14ac:dyDescent="0.2">
      <c r="A2438" s="1">
        <v>42569</v>
      </c>
      <c r="B2438">
        <v>27.68</v>
      </c>
      <c r="C2438" s="2">
        <f t="shared" si="38"/>
        <v>-5.0450557458280431E-3</v>
      </c>
    </row>
    <row r="2439" spans="1:3" x14ac:dyDescent="0.2">
      <c r="A2439" s="1">
        <v>42566</v>
      </c>
      <c r="B2439">
        <v>27.82</v>
      </c>
      <c r="C2439" s="2">
        <f t="shared" si="38"/>
        <v>8.301798266102162E-3</v>
      </c>
    </row>
    <row r="2440" spans="1:3" x14ac:dyDescent="0.2">
      <c r="A2440" s="1">
        <v>42565</v>
      </c>
      <c r="B2440">
        <v>27.59</v>
      </c>
      <c r="C2440" s="2">
        <f t="shared" si="38"/>
        <v>-8.661187308604686E-3</v>
      </c>
    </row>
    <row r="2441" spans="1:3" x14ac:dyDescent="0.2">
      <c r="A2441" s="1">
        <v>42564</v>
      </c>
      <c r="B2441">
        <v>27.83</v>
      </c>
      <c r="C2441" s="2">
        <f t="shared" si="38"/>
        <v>-1.0722046963966052E-2</v>
      </c>
    </row>
    <row r="2442" spans="1:3" x14ac:dyDescent="0.2">
      <c r="A2442" s="1">
        <v>42563</v>
      </c>
      <c r="B2442">
        <v>28.13</v>
      </c>
      <c r="C2442" s="2">
        <f t="shared" si="38"/>
        <v>-6.0251821474265697E-3</v>
      </c>
    </row>
    <row r="2443" spans="1:3" x14ac:dyDescent="0.2">
      <c r="A2443" s="1">
        <v>42562</v>
      </c>
      <c r="B2443">
        <v>28.3</v>
      </c>
      <c r="C2443" s="2">
        <f t="shared" si="38"/>
        <v>9.5864394724949464E-3</v>
      </c>
    </row>
    <row r="2444" spans="1:3" x14ac:dyDescent="0.2">
      <c r="A2444" s="1">
        <v>42559</v>
      </c>
      <c r="B2444">
        <v>28.03</v>
      </c>
      <c r="C2444" s="2">
        <f t="shared" si="38"/>
        <v>3.2266710769973873E-2</v>
      </c>
    </row>
    <row r="2445" spans="1:3" x14ac:dyDescent="0.2">
      <c r="A2445" s="1">
        <v>42558</v>
      </c>
      <c r="B2445">
        <v>27.14</v>
      </c>
      <c r="C2445" s="2">
        <f t="shared" si="38"/>
        <v>1.5222124255895491E-2</v>
      </c>
    </row>
    <row r="2446" spans="1:3" x14ac:dyDescent="0.2">
      <c r="A2446" s="1">
        <v>42557</v>
      </c>
      <c r="B2446">
        <v>26.73</v>
      </c>
      <c r="C2446" s="2">
        <f t="shared" si="38"/>
        <v>-6.3397564569657762E-3</v>
      </c>
    </row>
    <row r="2447" spans="1:3" x14ac:dyDescent="0.2">
      <c r="A2447" s="1">
        <v>42556</v>
      </c>
      <c r="B2447">
        <v>26.9</v>
      </c>
      <c r="C2447" s="2">
        <f t="shared" si="38"/>
        <v>-4.451045924259424E-3</v>
      </c>
    </row>
    <row r="2448" spans="1:3" x14ac:dyDescent="0.2">
      <c r="A2448" s="1">
        <v>42555</v>
      </c>
      <c r="B2448">
        <v>27.02</v>
      </c>
      <c r="C2448" s="2">
        <f t="shared" si="38"/>
        <v>-3.7002775630351774E-4</v>
      </c>
    </row>
    <row r="2449" spans="1:3" x14ac:dyDescent="0.2">
      <c r="A2449" s="1">
        <v>42552</v>
      </c>
      <c r="B2449">
        <v>27.03</v>
      </c>
      <c r="C2449" s="2">
        <f t="shared" si="38"/>
        <v>1.1104942840271153E-3</v>
      </c>
    </row>
    <row r="2450" spans="1:3" x14ac:dyDescent="0.2">
      <c r="A2450" s="1">
        <v>42551</v>
      </c>
      <c r="B2450">
        <v>27</v>
      </c>
      <c r="C2450" s="2">
        <f t="shared" si="38"/>
        <v>5.1986749092376768E-3</v>
      </c>
    </row>
    <row r="2451" spans="1:3" x14ac:dyDescent="0.2">
      <c r="A2451" s="1">
        <v>42550</v>
      </c>
      <c r="B2451">
        <v>26.86</v>
      </c>
      <c r="C2451" s="2">
        <f t="shared" si="38"/>
        <v>1.3493458102915032E-2</v>
      </c>
    </row>
    <row r="2452" spans="1:3" x14ac:dyDescent="0.2">
      <c r="A2452" s="1">
        <v>42549</v>
      </c>
      <c r="B2452">
        <v>26.5</v>
      </c>
      <c r="C2452" s="2">
        <f t="shared" si="38"/>
        <v>3.104292187038429E-2</v>
      </c>
    </row>
    <row r="2453" spans="1:3" x14ac:dyDescent="0.2">
      <c r="A2453" s="1">
        <v>42548</v>
      </c>
      <c r="B2453">
        <v>25.69</v>
      </c>
      <c r="C2453" s="2">
        <f t="shared" si="38"/>
        <v>9.3860681252605216E-3</v>
      </c>
    </row>
    <row r="2454" spans="1:3" x14ac:dyDescent="0.2">
      <c r="A2454" s="1">
        <v>42545</v>
      </c>
      <c r="B2454">
        <v>25.45</v>
      </c>
      <c r="C2454" s="2">
        <f t="shared" si="38"/>
        <v>-5.3177569106949325E-2</v>
      </c>
    </row>
    <row r="2455" spans="1:3" x14ac:dyDescent="0.2">
      <c r="A2455" s="1">
        <v>42544</v>
      </c>
      <c r="B2455">
        <v>26.84</v>
      </c>
      <c r="C2455" s="2">
        <f t="shared" si="38"/>
        <v>1.5393583487283148E-2</v>
      </c>
    </row>
    <row r="2456" spans="1:3" x14ac:dyDescent="0.2">
      <c r="A2456" s="1">
        <v>42543</v>
      </c>
      <c r="B2456">
        <v>26.43</v>
      </c>
      <c r="C2456" s="2">
        <f t="shared" si="38"/>
        <v>-4.530019071750011E-3</v>
      </c>
    </row>
    <row r="2457" spans="1:3" x14ac:dyDescent="0.2">
      <c r="A2457" s="1">
        <v>42542</v>
      </c>
      <c r="B2457">
        <v>26.55</v>
      </c>
      <c r="C2457" s="2">
        <f t="shared" si="38"/>
        <v>1.2888730352632811E-2</v>
      </c>
    </row>
    <row r="2458" spans="1:3" x14ac:dyDescent="0.2">
      <c r="A2458" s="1">
        <v>42541</v>
      </c>
      <c r="B2458">
        <v>26.21</v>
      </c>
      <c r="C2458" s="2">
        <f t="shared" si="38"/>
        <v>3.2967887766289922E-2</v>
      </c>
    </row>
    <row r="2459" spans="1:3" x14ac:dyDescent="0.2">
      <c r="A2459" s="1">
        <v>42538</v>
      </c>
      <c r="B2459">
        <v>25.36</v>
      </c>
      <c r="C2459" s="2">
        <f t="shared" si="38"/>
        <v>-1.9524243774686194E-2</v>
      </c>
    </row>
    <row r="2460" spans="1:3" x14ac:dyDescent="0.2">
      <c r="A2460" s="1">
        <v>42537</v>
      </c>
      <c r="B2460">
        <v>25.86</v>
      </c>
      <c r="C2460" s="2">
        <f t="shared" si="38"/>
        <v>-1.2680285175909176E-2</v>
      </c>
    </row>
    <row r="2461" spans="1:3" x14ac:dyDescent="0.2">
      <c r="A2461" s="1">
        <v>42536</v>
      </c>
      <c r="B2461">
        <v>26.19</v>
      </c>
      <c r="C2461" s="2">
        <f t="shared" si="38"/>
        <v>9.5914796313227614E-3</v>
      </c>
    </row>
    <row r="2462" spans="1:3" x14ac:dyDescent="0.2">
      <c r="A2462" s="1">
        <v>42535</v>
      </c>
      <c r="B2462">
        <v>25.94</v>
      </c>
      <c r="C2462" s="2">
        <f t="shared" si="38"/>
        <v>-2.310359133184147E-3</v>
      </c>
    </row>
    <row r="2463" spans="1:3" x14ac:dyDescent="0.2">
      <c r="A2463" s="1">
        <v>42534</v>
      </c>
      <c r="B2463">
        <v>26</v>
      </c>
      <c r="C2463" s="2">
        <f t="shared" si="38"/>
        <v>-3.216928293339167E-2</v>
      </c>
    </row>
    <row r="2464" spans="1:3" x14ac:dyDescent="0.2">
      <c r="A2464" s="1">
        <v>42531</v>
      </c>
      <c r="B2464">
        <v>26.85</v>
      </c>
      <c r="C2464" s="2">
        <f t="shared" si="38"/>
        <v>-1.4420660326437866E-2</v>
      </c>
    </row>
    <row r="2465" spans="1:3" x14ac:dyDescent="0.2">
      <c r="A2465" s="1">
        <v>42530</v>
      </c>
      <c r="B2465">
        <v>27.24</v>
      </c>
      <c r="C2465" s="2">
        <f t="shared" si="38"/>
        <v>-1.8338534389355651E-3</v>
      </c>
    </row>
    <row r="2466" spans="1:3" x14ac:dyDescent="0.2">
      <c r="A2466" s="1">
        <v>42529</v>
      </c>
      <c r="B2466">
        <v>27.29</v>
      </c>
      <c r="C2466" s="2">
        <f t="shared" si="38"/>
        <v>0</v>
      </c>
    </row>
    <row r="2467" spans="1:3" x14ac:dyDescent="0.2">
      <c r="A2467" s="1">
        <v>42528</v>
      </c>
      <c r="B2467">
        <v>27.29</v>
      </c>
      <c r="C2467" s="2">
        <f t="shared" si="38"/>
        <v>2.3356019969684422E-2</v>
      </c>
    </row>
    <row r="2468" spans="1:3" x14ac:dyDescent="0.2">
      <c r="A2468" s="1">
        <v>42527</v>
      </c>
      <c r="B2468">
        <v>26.66</v>
      </c>
      <c r="C2468" s="2">
        <f t="shared" si="38"/>
        <v>-3.3701585914529841E-3</v>
      </c>
    </row>
    <row r="2469" spans="1:3" x14ac:dyDescent="0.2">
      <c r="A2469" s="1">
        <v>42524</v>
      </c>
      <c r="B2469">
        <v>26.75</v>
      </c>
      <c r="C2469" s="2">
        <f t="shared" si="38"/>
        <v>-1.6314785302363848E-2</v>
      </c>
    </row>
    <row r="2470" spans="1:3" x14ac:dyDescent="0.2">
      <c r="A2470" s="1">
        <v>42523</v>
      </c>
      <c r="B2470">
        <v>27.19</v>
      </c>
      <c r="C2470" s="2">
        <f t="shared" si="38"/>
        <v>7.7534078647694656E-3</v>
      </c>
    </row>
    <row r="2471" spans="1:3" x14ac:dyDescent="0.2">
      <c r="A2471" s="1">
        <v>42522</v>
      </c>
      <c r="B2471">
        <v>26.98</v>
      </c>
      <c r="C2471" s="2">
        <f t="shared" si="38"/>
        <v>1.6442821875548339E-2</v>
      </c>
    </row>
    <row r="2472" spans="1:3" x14ac:dyDescent="0.2">
      <c r="A2472" s="1">
        <v>42521</v>
      </c>
      <c r="B2472">
        <v>26.54</v>
      </c>
      <c r="C2472" s="2">
        <f t="shared" si="38"/>
        <v>3.7686075441309191E-4</v>
      </c>
    </row>
    <row r="2473" spans="1:3" x14ac:dyDescent="0.2">
      <c r="A2473" s="1">
        <v>42520</v>
      </c>
      <c r="B2473">
        <v>26.53</v>
      </c>
      <c r="C2473" s="2">
        <f t="shared" si="38"/>
        <v>6.4284585153419728E-3</v>
      </c>
    </row>
    <row r="2474" spans="1:3" x14ac:dyDescent="0.2">
      <c r="A2474" s="1">
        <v>42517</v>
      </c>
      <c r="B2474">
        <v>26.36</v>
      </c>
      <c r="C2474" s="2">
        <f t="shared" si="38"/>
        <v>1.413586098090761E-2</v>
      </c>
    </row>
    <row r="2475" spans="1:3" x14ac:dyDescent="0.2">
      <c r="A2475" s="1">
        <v>42516</v>
      </c>
      <c r="B2475">
        <v>25.99</v>
      </c>
      <c r="C2475" s="2">
        <f t="shared" si="38"/>
        <v>6.9498349228762739E-3</v>
      </c>
    </row>
    <row r="2476" spans="1:3" x14ac:dyDescent="0.2">
      <c r="A2476" s="1">
        <v>42515</v>
      </c>
      <c r="B2476">
        <v>25.81</v>
      </c>
      <c r="C2476" s="2">
        <f t="shared" si="38"/>
        <v>-4.6385858200505611E-3</v>
      </c>
    </row>
    <row r="2477" spans="1:3" x14ac:dyDescent="0.2">
      <c r="A2477" s="1">
        <v>42514</v>
      </c>
      <c r="B2477">
        <v>25.93</v>
      </c>
      <c r="C2477" s="2">
        <f t="shared" si="38"/>
        <v>9.2987884287806626E-3</v>
      </c>
    </row>
    <row r="2478" spans="1:3" x14ac:dyDescent="0.2">
      <c r="A2478" s="1">
        <v>42513</v>
      </c>
      <c r="B2478">
        <v>25.69</v>
      </c>
      <c r="C2478" s="2">
        <f t="shared" si="38"/>
        <v>7.0312789680722354E-3</v>
      </c>
    </row>
    <row r="2479" spans="1:3" x14ac:dyDescent="0.2">
      <c r="A2479" s="1">
        <v>42510</v>
      </c>
      <c r="B2479">
        <v>25.51</v>
      </c>
      <c r="C2479" s="2">
        <f t="shared" si="38"/>
        <v>4.1622654699139804E-2</v>
      </c>
    </row>
    <row r="2480" spans="1:3" x14ac:dyDescent="0.2">
      <c r="A2480" s="1">
        <v>42509</v>
      </c>
      <c r="B2480">
        <v>24.47</v>
      </c>
      <c r="C2480" s="2">
        <f t="shared" si="38"/>
        <v>2.8647451554240752E-3</v>
      </c>
    </row>
    <row r="2481" spans="1:3" x14ac:dyDescent="0.2">
      <c r="A2481" s="1">
        <v>42508</v>
      </c>
      <c r="B2481">
        <v>24.4</v>
      </c>
      <c r="C2481" s="2">
        <f t="shared" si="38"/>
        <v>7.8173613491889522E-3</v>
      </c>
    </row>
    <row r="2482" spans="1:3" x14ac:dyDescent="0.2">
      <c r="A2482" s="1">
        <v>42507</v>
      </c>
      <c r="B2482">
        <v>24.21</v>
      </c>
      <c r="C2482" s="2">
        <f t="shared" si="38"/>
        <v>2.481390851385476E-3</v>
      </c>
    </row>
    <row r="2483" spans="1:3" x14ac:dyDescent="0.2">
      <c r="A2483" s="1">
        <v>42506</v>
      </c>
      <c r="B2483">
        <v>24.15</v>
      </c>
      <c r="C2483" s="2">
        <f t="shared" si="38"/>
        <v>-1.2414650880649882E-3</v>
      </c>
    </row>
    <row r="2484" spans="1:3" x14ac:dyDescent="0.2">
      <c r="A2484" s="1">
        <v>42503</v>
      </c>
      <c r="B2484">
        <v>24.18</v>
      </c>
      <c r="C2484" s="2">
        <f t="shared" si="38"/>
        <v>1.6680953924010773E-2</v>
      </c>
    </row>
    <row r="2485" spans="1:3" x14ac:dyDescent="0.2">
      <c r="A2485" s="1">
        <v>42502</v>
      </c>
      <c r="B2485">
        <v>23.78</v>
      </c>
      <c r="C2485" s="2">
        <f t="shared" si="38"/>
        <v>-9.2089390853098366E-3</v>
      </c>
    </row>
    <row r="2486" spans="1:3" x14ac:dyDescent="0.2">
      <c r="A2486" s="1">
        <v>42501</v>
      </c>
      <c r="B2486">
        <v>24</v>
      </c>
      <c r="C2486" s="2">
        <f t="shared" si="38"/>
        <v>-3.3277900926745796E-3</v>
      </c>
    </row>
    <row r="2487" spans="1:3" x14ac:dyDescent="0.2">
      <c r="A2487" s="1">
        <v>42500</v>
      </c>
      <c r="B2487">
        <v>24.08</v>
      </c>
      <c r="C2487" s="2">
        <f t="shared" si="38"/>
        <v>1.5484720363305986E-2</v>
      </c>
    </row>
    <row r="2488" spans="1:3" x14ac:dyDescent="0.2">
      <c r="A2488" s="1">
        <v>42499</v>
      </c>
      <c r="B2488">
        <v>23.71</v>
      </c>
      <c r="C2488" s="2">
        <f t="shared" si="38"/>
        <v>3.7821439535610048E-2</v>
      </c>
    </row>
    <row r="2489" spans="1:3" x14ac:dyDescent="0.2">
      <c r="A2489" s="1">
        <v>42496</v>
      </c>
      <c r="B2489">
        <v>22.83</v>
      </c>
      <c r="C2489" s="2">
        <f t="shared" si="38"/>
        <v>4.8298666887534288E-3</v>
      </c>
    </row>
    <row r="2490" spans="1:3" x14ac:dyDescent="0.2">
      <c r="A2490" s="1">
        <v>42495</v>
      </c>
      <c r="B2490">
        <v>22.72</v>
      </c>
      <c r="C2490" s="2">
        <f t="shared" si="38"/>
        <v>1.6419272793372613E-2</v>
      </c>
    </row>
    <row r="2491" spans="1:3" x14ac:dyDescent="0.2">
      <c r="A2491" s="1">
        <v>42494</v>
      </c>
      <c r="B2491">
        <v>22.35</v>
      </c>
      <c r="C2491" s="2">
        <f t="shared" si="38"/>
        <v>7.1845841150754005E-3</v>
      </c>
    </row>
    <row r="2492" spans="1:3" x14ac:dyDescent="0.2">
      <c r="A2492" s="1">
        <v>42493</v>
      </c>
      <c r="B2492">
        <v>22.19</v>
      </c>
      <c r="C2492" s="2">
        <f t="shared" si="38"/>
        <v>2.7075828815444087E-3</v>
      </c>
    </row>
    <row r="2493" spans="1:3" x14ac:dyDescent="0.2">
      <c r="A2493" s="1">
        <v>42492</v>
      </c>
      <c r="B2493">
        <v>22.13</v>
      </c>
      <c r="C2493" s="2">
        <f t="shared" si="38"/>
        <v>-2.7075828815443874E-3</v>
      </c>
    </row>
    <row r="2494" spans="1:3" x14ac:dyDescent="0.2">
      <c r="A2494" s="1">
        <v>42489</v>
      </c>
      <c r="B2494">
        <v>22.19</v>
      </c>
      <c r="C2494" s="2">
        <f t="shared" si="38"/>
        <v>3.6117420751476076E-3</v>
      </c>
    </row>
    <row r="2495" spans="1:3" x14ac:dyDescent="0.2">
      <c r="A2495" s="1">
        <v>42488</v>
      </c>
      <c r="B2495">
        <v>22.11</v>
      </c>
      <c r="C2495" s="2">
        <f t="shared" si="38"/>
        <v>-1.5260619318908392E-2</v>
      </c>
    </row>
    <row r="2496" spans="1:3" x14ac:dyDescent="0.2">
      <c r="A2496" s="1">
        <v>42487</v>
      </c>
      <c r="B2496">
        <v>22.45</v>
      </c>
      <c r="C2496" s="2">
        <f t="shared" si="38"/>
        <v>9.8478862121579615E-3</v>
      </c>
    </row>
    <row r="2497" spans="1:3" x14ac:dyDescent="0.2">
      <c r="A2497" s="1">
        <v>42486</v>
      </c>
      <c r="B2497">
        <v>22.23</v>
      </c>
      <c r="C2497" s="2">
        <f t="shared" si="38"/>
        <v>3.6052314849605569E-3</v>
      </c>
    </row>
    <row r="2498" spans="1:3" x14ac:dyDescent="0.2">
      <c r="A2498" s="1">
        <v>42485</v>
      </c>
      <c r="B2498">
        <v>22.15</v>
      </c>
      <c r="C2498" s="2">
        <f t="shared" si="38"/>
        <v>3.6182762224996126E-3</v>
      </c>
    </row>
    <row r="2499" spans="1:3" x14ac:dyDescent="0.2">
      <c r="A2499" s="1">
        <v>42482</v>
      </c>
      <c r="B2499">
        <v>22.07</v>
      </c>
      <c r="C2499" s="2">
        <f t="shared" ref="C2499:C2562" si="39">+LN(B2499/B2500)</f>
        <v>-1.3054428018253324E-2</v>
      </c>
    </row>
    <row r="2500" spans="1:3" x14ac:dyDescent="0.2">
      <c r="A2500" s="1">
        <v>42481</v>
      </c>
      <c r="B2500">
        <v>22.36</v>
      </c>
      <c r="C2500" s="2">
        <f t="shared" si="39"/>
        <v>4.4823024394996056E-3</v>
      </c>
    </row>
    <row r="2501" spans="1:3" x14ac:dyDescent="0.2">
      <c r="A2501" s="1">
        <v>42480</v>
      </c>
      <c r="B2501">
        <v>22.26</v>
      </c>
      <c r="C2501" s="2">
        <f t="shared" si="39"/>
        <v>-9.3897403498389188E-3</v>
      </c>
    </row>
    <row r="2502" spans="1:3" x14ac:dyDescent="0.2">
      <c r="A2502" s="1">
        <v>42479</v>
      </c>
      <c r="B2502">
        <v>22.47</v>
      </c>
      <c r="C2502" s="2">
        <f t="shared" si="39"/>
        <v>-3.9973404326202888E-3</v>
      </c>
    </row>
    <row r="2503" spans="1:3" x14ac:dyDescent="0.2">
      <c r="A2503" s="1">
        <v>42478</v>
      </c>
      <c r="B2503">
        <v>22.56</v>
      </c>
      <c r="C2503" s="2">
        <f t="shared" si="39"/>
        <v>6.6711388170223804E-3</v>
      </c>
    </row>
    <row r="2504" spans="1:3" x14ac:dyDescent="0.2">
      <c r="A2504" s="1">
        <v>42475</v>
      </c>
      <c r="B2504">
        <v>22.41</v>
      </c>
      <c r="C2504" s="2">
        <f t="shared" si="39"/>
        <v>1.7865123107972684E-3</v>
      </c>
    </row>
    <row r="2505" spans="1:3" x14ac:dyDescent="0.2">
      <c r="A2505" s="1">
        <v>42474</v>
      </c>
      <c r="B2505">
        <v>22.37</v>
      </c>
      <c r="C2505" s="2">
        <f t="shared" si="39"/>
        <v>-4.0151738082588985E-3</v>
      </c>
    </row>
    <row r="2506" spans="1:3" x14ac:dyDescent="0.2">
      <c r="A2506" s="1">
        <v>42473</v>
      </c>
      <c r="B2506">
        <v>22.46</v>
      </c>
      <c r="C2506" s="2">
        <f t="shared" si="39"/>
        <v>8.908686558016329E-4</v>
      </c>
    </row>
    <row r="2507" spans="1:3" x14ac:dyDescent="0.2">
      <c r="A2507" s="1">
        <v>42472</v>
      </c>
      <c r="B2507">
        <v>22.44</v>
      </c>
      <c r="C2507" s="2">
        <f t="shared" si="39"/>
        <v>-1.3360055427421402E-3</v>
      </c>
    </row>
    <row r="2508" spans="1:3" x14ac:dyDescent="0.2">
      <c r="A2508" s="1">
        <v>42471</v>
      </c>
      <c r="B2508">
        <v>22.47</v>
      </c>
      <c r="C2508" s="2">
        <f t="shared" si="39"/>
        <v>-4.8834725242781468E-3</v>
      </c>
    </row>
    <row r="2509" spans="1:3" x14ac:dyDescent="0.2">
      <c r="A2509" s="1">
        <v>42468</v>
      </c>
      <c r="B2509">
        <v>22.58</v>
      </c>
      <c r="C2509" s="2">
        <f t="shared" si="39"/>
        <v>3.5492495111414894E-3</v>
      </c>
    </row>
    <row r="2510" spans="1:3" x14ac:dyDescent="0.2">
      <c r="A2510" s="1">
        <v>42467</v>
      </c>
      <c r="B2510">
        <v>22.5</v>
      </c>
      <c r="C2510" s="2">
        <f t="shared" si="39"/>
        <v>2.0202707317519469E-2</v>
      </c>
    </row>
    <row r="2511" spans="1:3" x14ac:dyDescent="0.2">
      <c r="A2511" s="1">
        <v>42466</v>
      </c>
      <c r="B2511">
        <v>22.05</v>
      </c>
      <c r="C2511" s="2">
        <f t="shared" si="39"/>
        <v>1.1861452936326542E-2</v>
      </c>
    </row>
    <row r="2512" spans="1:3" x14ac:dyDescent="0.2">
      <c r="A2512" s="1">
        <v>42465</v>
      </c>
      <c r="B2512">
        <v>21.79</v>
      </c>
      <c r="C2512" s="2">
        <f t="shared" si="39"/>
        <v>-1.6837712922554569E-2</v>
      </c>
    </row>
    <row r="2513" spans="1:3" x14ac:dyDescent="0.2">
      <c r="A2513" s="1">
        <v>42464</v>
      </c>
      <c r="B2513">
        <v>22.16</v>
      </c>
      <c r="C2513" s="2">
        <f t="shared" si="39"/>
        <v>6.791966340712702E-3</v>
      </c>
    </row>
    <row r="2514" spans="1:3" x14ac:dyDescent="0.2">
      <c r="A2514" s="1">
        <v>42461</v>
      </c>
      <c r="B2514">
        <v>22.01</v>
      </c>
      <c r="C2514" s="2">
        <f t="shared" si="39"/>
        <v>4.5444218005447643E-4</v>
      </c>
    </row>
    <row r="2515" spans="1:3" x14ac:dyDescent="0.2">
      <c r="A2515" s="1">
        <v>42460</v>
      </c>
      <c r="B2515">
        <v>22</v>
      </c>
      <c r="C2515" s="2">
        <f t="shared" si="39"/>
        <v>0</v>
      </c>
    </row>
    <row r="2516" spans="1:3" x14ac:dyDescent="0.2">
      <c r="A2516" s="1">
        <v>42459</v>
      </c>
      <c r="B2516">
        <v>22</v>
      </c>
      <c r="C2516" s="2">
        <f t="shared" si="39"/>
        <v>6.8415318167165638E-3</v>
      </c>
    </row>
    <row r="2517" spans="1:3" x14ac:dyDescent="0.2">
      <c r="A2517" s="1">
        <v>42458</v>
      </c>
      <c r="B2517">
        <v>21.85</v>
      </c>
      <c r="C2517" s="2">
        <f t="shared" si="39"/>
        <v>1.7544309650909525E-2</v>
      </c>
    </row>
    <row r="2518" spans="1:3" x14ac:dyDescent="0.2">
      <c r="A2518" s="1">
        <v>42453</v>
      </c>
      <c r="B2518">
        <v>21.47</v>
      </c>
      <c r="C2518" s="2">
        <f t="shared" si="39"/>
        <v>-1.1116371999510911E-2</v>
      </c>
    </row>
    <row r="2519" spans="1:3" x14ac:dyDescent="0.2">
      <c r="A2519" s="1">
        <v>42452</v>
      </c>
      <c r="B2519">
        <v>21.71</v>
      </c>
      <c r="C2519" s="2">
        <f t="shared" si="39"/>
        <v>6.0060240602119487E-3</v>
      </c>
    </row>
    <row r="2520" spans="1:3" x14ac:dyDescent="0.2">
      <c r="A2520" s="1">
        <v>42451</v>
      </c>
      <c r="B2520">
        <v>21.58</v>
      </c>
      <c r="C2520" s="2">
        <f t="shared" si="39"/>
        <v>2.7842245364048603E-3</v>
      </c>
    </row>
    <row r="2521" spans="1:3" x14ac:dyDescent="0.2">
      <c r="A2521" s="1">
        <v>42450</v>
      </c>
      <c r="B2521">
        <v>21.52</v>
      </c>
      <c r="C2521" s="2">
        <f t="shared" si="39"/>
        <v>-4.6457608268801807E-4</v>
      </c>
    </row>
    <row r="2522" spans="1:3" x14ac:dyDescent="0.2">
      <c r="A2522" s="1">
        <v>42447</v>
      </c>
      <c r="B2522">
        <v>21.53</v>
      </c>
      <c r="C2522" s="2">
        <f t="shared" si="39"/>
        <v>-1.2003837580256783E-2</v>
      </c>
    </row>
    <row r="2523" spans="1:3" x14ac:dyDescent="0.2">
      <c r="A2523" s="1">
        <v>42446</v>
      </c>
      <c r="B2523">
        <v>21.79</v>
      </c>
      <c r="C2523" s="2">
        <f t="shared" si="39"/>
        <v>-3.6646857321480345E-3</v>
      </c>
    </row>
    <row r="2524" spans="1:3" x14ac:dyDescent="0.2">
      <c r="A2524" s="1">
        <v>42445</v>
      </c>
      <c r="B2524">
        <v>21.87</v>
      </c>
      <c r="C2524" s="2">
        <f t="shared" si="39"/>
        <v>5.0424127009346589E-3</v>
      </c>
    </row>
    <row r="2525" spans="1:3" x14ac:dyDescent="0.2">
      <c r="A2525" s="1">
        <v>42444</v>
      </c>
      <c r="B2525">
        <v>21.76</v>
      </c>
      <c r="C2525" s="2">
        <f t="shared" si="39"/>
        <v>-6.8697316196331577E-3</v>
      </c>
    </row>
    <row r="2526" spans="1:3" x14ac:dyDescent="0.2">
      <c r="A2526" s="1">
        <v>42443</v>
      </c>
      <c r="B2526">
        <v>21.91</v>
      </c>
      <c r="C2526" s="2">
        <f t="shared" si="39"/>
        <v>1.2861913642407822E-2</v>
      </c>
    </row>
    <row r="2527" spans="1:3" x14ac:dyDescent="0.2">
      <c r="A2527" s="1">
        <v>42440</v>
      </c>
      <c r="B2527">
        <v>21.63</v>
      </c>
      <c r="C2527" s="2">
        <f t="shared" si="39"/>
        <v>1.6313575491523569E-2</v>
      </c>
    </row>
    <row r="2528" spans="1:3" x14ac:dyDescent="0.2">
      <c r="A2528" s="1">
        <v>42439</v>
      </c>
      <c r="B2528">
        <v>21.28</v>
      </c>
      <c r="C2528" s="2">
        <f t="shared" si="39"/>
        <v>-1.9544596072970169E-2</v>
      </c>
    </row>
    <row r="2529" spans="1:3" x14ac:dyDescent="0.2">
      <c r="A2529" s="1">
        <v>42438</v>
      </c>
      <c r="B2529">
        <v>21.7</v>
      </c>
      <c r="C2529" s="2">
        <f t="shared" si="39"/>
        <v>1.8605187831034268E-2</v>
      </c>
    </row>
    <row r="2530" spans="1:3" x14ac:dyDescent="0.2">
      <c r="A2530" s="1">
        <v>42437</v>
      </c>
      <c r="B2530">
        <v>21.3</v>
      </c>
      <c r="C2530" s="2">
        <f t="shared" si="39"/>
        <v>-1.9526422350355153E-2</v>
      </c>
    </row>
    <row r="2531" spans="1:3" x14ac:dyDescent="0.2">
      <c r="A2531" s="1">
        <v>42436</v>
      </c>
      <c r="B2531">
        <v>21.72</v>
      </c>
      <c r="C2531" s="2">
        <f t="shared" si="39"/>
        <v>8.7861836894630018E-3</v>
      </c>
    </row>
    <row r="2532" spans="1:3" x14ac:dyDescent="0.2">
      <c r="A2532" s="1">
        <v>42433</v>
      </c>
      <c r="B2532">
        <v>21.53</v>
      </c>
      <c r="C2532" s="2">
        <f t="shared" si="39"/>
        <v>-4.1715008347905942E-3</v>
      </c>
    </row>
    <row r="2533" spans="1:3" x14ac:dyDescent="0.2">
      <c r="A2533" s="1">
        <v>42432</v>
      </c>
      <c r="B2533">
        <v>21.62</v>
      </c>
      <c r="C2533" s="2">
        <f t="shared" si="39"/>
        <v>-1.3324341396312901E-2</v>
      </c>
    </row>
    <row r="2534" spans="1:3" x14ac:dyDescent="0.2">
      <c r="A2534" s="1">
        <v>42431</v>
      </c>
      <c r="B2534">
        <v>21.91</v>
      </c>
      <c r="C2534" s="2">
        <f t="shared" si="39"/>
        <v>-2.2117805253618991E-2</v>
      </c>
    </row>
    <row r="2535" spans="1:3" x14ac:dyDescent="0.2">
      <c r="A2535" s="1">
        <v>42430</v>
      </c>
      <c r="B2535">
        <v>22.4</v>
      </c>
      <c r="C2535" s="2">
        <f t="shared" si="39"/>
        <v>8.5183209546579042E-3</v>
      </c>
    </row>
    <row r="2536" spans="1:3" x14ac:dyDescent="0.2">
      <c r="A2536" s="1">
        <v>42429</v>
      </c>
      <c r="B2536">
        <v>22.21</v>
      </c>
      <c r="C2536" s="2">
        <f t="shared" si="39"/>
        <v>1.2687075476539193E-2</v>
      </c>
    </row>
    <row r="2537" spans="1:3" x14ac:dyDescent="0.2">
      <c r="A2537" s="1">
        <v>42426</v>
      </c>
      <c r="B2537">
        <v>21.93</v>
      </c>
      <c r="C2537" s="2">
        <f t="shared" si="39"/>
        <v>9.6220673640622506E-3</v>
      </c>
    </row>
    <row r="2538" spans="1:3" x14ac:dyDescent="0.2">
      <c r="A2538" s="1">
        <v>42425</v>
      </c>
      <c r="B2538">
        <v>21.72</v>
      </c>
      <c r="C2538" s="2">
        <f t="shared" si="39"/>
        <v>2.9908771392573034E-2</v>
      </c>
    </row>
    <row r="2539" spans="1:3" x14ac:dyDescent="0.2">
      <c r="A2539" s="1">
        <v>42424</v>
      </c>
      <c r="B2539">
        <v>21.08</v>
      </c>
      <c r="C2539" s="2">
        <f t="shared" si="39"/>
        <v>-3.3151818191254042E-3</v>
      </c>
    </row>
    <row r="2540" spans="1:3" x14ac:dyDescent="0.2">
      <c r="A2540" s="1">
        <v>42423</v>
      </c>
      <c r="B2540">
        <v>21.15</v>
      </c>
      <c r="C2540" s="2">
        <f t="shared" si="39"/>
        <v>-9.2943314794058762E-2</v>
      </c>
    </row>
    <row r="2541" spans="1:3" x14ac:dyDescent="0.2">
      <c r="A2541" s="1">
        <v>42422</v>
      </c>
      <c r="B2541">
        <v>23.21</v>
      </c>
      <c r="C2541" s="2">
        <f t="shared" si="39"/>
        <v>1.4757212251655926E-2</v>
      </c>
    </row>
    <row r="2542" spans="1:3" x14ac:dyDescent="0.2">
      <c r="A2542" s="1">
        <v>42419</v>
      </c>
      <c r="B2542">
        <v>22.87</v>
      </c>
      <c r="C2542" s="2">
        <f t="shared" si="39"/>
        <v>1.3126232468803716E-3</v>
      </c>
    </row>
    <row r="2543" spans="1:3" x14ac:dyDescent="0.2">
      <c r="A2543" s="1">
        <v>42418</v>
      </c>
      <c r="B2543">
        <v>22.84</v>
      </c>
      <c r="C2543" s="2">
        <f t="shared" si="39"/>
        <v>2.258231893574306E-2</v>
      </c>
    </row>
    <row r="2544" spans="1:3" x14ac:dyDescent="0.2">
      <c r="A2544" s="1">
        <v>42417</v>
      </c>
      <c r="B2544">
        <v>22.33</v>
      </c>
      <c r="C2544" s="2">
        <f t="shared" si="39"/>
        <v>1.8531603772251558E-2</v>
      </c>
    </row>
    <row r="2545" spans="1:3" x14ac:dyDescent="0.2">
      <c r="A2545" s="1">
        <v>42416</v>
      </c>
      <c r="B2545">
        <v>21.92</v>
      </c>
      <c r="C2545" s="2">
        <f t="shared" si="39"/>
        <v>-7.7255553522108987E-3</v>
      </c>
    </row>
    <row r="2546" spans="1:3" x14ac:dyDescent="0.2">
      <c r="A2546" s="1">
        <v>42415</v>
      </c>
      <c r="B2546">
        <v>22.09</v>
      </c>
      <c r="C2546" s="2">
        <f t="shared" si="39"/>
        <v>3.9238821058287854E-2</v>
      </c>
    </row>
    <row r="2547" spans="1:3" x14ac:dyDescent="0.2">
      <c r="A2547" s="1">
        <v>42412</v>
      </c>
      <c r="B2547">
        <v>21.24</v>
      </c>
      <c r="C2547" s="2">
        <f t="shared" si="39"/>
        <v>3.6437396202431048E-2</v>
      </c>
    </row>
    <row r="2548" spans="1:3" x14ac:dyDescent="0.2">
      <c r="A2548" s="1">
        <v>42411</v>
      </c>
      <c r="B2548">
        <v>20.48</v>
      </c>
      <c r="C2548" s="2">
        <f t="shared" si="39"/>
        <v>8.3354245790137858E-3</v>
      </c>
    </row>
    <row r="2549" spans="1:3" x14ac:dyDescent="0.2">
      <c r="A2549" s="1">
        <v>42410</v>
      </c>
      <c r="B2549">
        <v>20.309999999999999</v>
      </c>
      <c r="C2549" s="2">
        <f t="shared" si="39"/>
        <v>3.6604738489928915E-2</v>
      </c>
    </row>
    <row r="2550" spans="1:3" x14ac:dyDescent="0.2">
      <c r="A2550" s="1">
        <v>42409</v>
      </c>
      <c r="B2550">
        <v>19.579999999999998</v>
      </c>
      <c r="C2550" s="2">
        <f t="shared" si="39"/>
        <v>7.6903737130154292E-3</v>
      </c>
    </row>
    <row r="2551" spans="1:3" x14ac:dyDescent="0.2">
      <c r="A2551" s="1">
        <v>42408</v>
      </c>
      <c r="B2551">
        <v>19.43</v>
      </c>
      <c r="C2551" s="2">
        <f t="shared" si="39"/>
        <v>-2.8914010164642245E-2</v>
      </c>
    </row>
    <row r="2552" spans="1:3" x14ac:dyDescent="0.2">
      <c r="A2552" s="1">
        <v>42405</v>
      </c>
      <c r="B2552">
        <v>20</v>
      </c>
      <c r="C2552" s="2">
        <f t="shared" si="39"/>
        <v>-6.8592791465611827E-2</v>
      </c>
    </row>
    <row r="2553" spans="1:3" x14ac:dyDescent="0.2">
      <c r="A2553" s="1">
        <v>42404</v>
      </c>
      <c r="B2553">
        <v>21.42</v>
      </c>
      <c r="C2553" s="2">
        <f t="shared" si="39"/>
        <v>-3.5316671924899845E-2</v>
      </c>
    </row>
    <row r="2554" spans="1:3" x14ac:dyDescent="0.2">
      <c r="A2554" s="1">
        <v>42403</v>
      </c>
      <c r="B2554">
        <v>22.19</v>
      </c>
      <c r="C2554" s="2">
        <f t="shared" si="39"/>
        <v>-1.2984288080987746E-2</v>
      </c>
    </row>
    <row r="2555" spans="1:3" x14ac:dyDescent="0.2">
      <c r="A2555" s="1">
        <v>42402</v>
      </c>
      <c r="B2555">
        <v>22.48</v>
      </c>
      <c r="C2555" s="2">
        <f t="shared" si="39"/>
        <v>-3.3679107007874957E-2</v>
      </c>
    </row>
    <row r="2556" spans="1:3" x14ac:dyDescent="0.2">
      <c r="A2556" s="1">
        <v>42401</v>
      </c>
      <c r="B2556">
        <v>23.25</v>
      </c>
      <c r="C2556" s="2">
        <f t="shared" si="39"/>
        <v>1.9544596072970131E-2</v>
      </c>
    </row>
    <row r="2557" spans="1:3" x14ac:dyDescent="0.2">
      <c r="A2557" s="1">
        <v>42398</v>
      </c>
      <c r="B2557">
        <v>22.8</v>
      </c>
      <c r="C2557" s="2">
        <f t="shared" si="39"/>
        <v>1.9934214900817111E-2</v>
      </c>
    </row>
    <row r="2558" spans="1:3" x14ac:dyDescent="0.2">
      <c r="A2558" s="1">
        <v>42397</v>
      </c>
      <c r="B2558">
        <v>22.35</v>
      </c>
      <c r="C2558" s="2">
        <f t="shared" si="39"/>
        <v>-4.3342305798832005E-2</v>
      </c>
    </row>
    <row r="2559" spans="1:3" x14ac:dyDescent="0.2">
      <c r="A2559" s="1">
        <v>42396</v>
      </c>
      <c r="B2559">
        <v>23.34</v>
      </c>
      <c r="C2559" s="2">
        <f t="shared" si="39"/>
        <v>1.7722529988596785E-2</v>
      </c>
    </row>
    <row r="2560" spans="1:3" x14ac:dyDescent="0.2">
      <c r="A2560" s="1">
        <v>42395</v>
      </c>
      <c r="B2560">
        <v>22.93</v>
      </c>
      <c r="C2560" s="2">
        <f t="shared" si="39"/>
        <v>-1.7429198311938239E-3</v>
      </c>
    </row>
    <row r="2561" spans="1:3" x14ac:dyDescent="0.2">
      <c r="A2561" s="1">
        <v>42394</v>
      </c>
      <c r="B2561">
        <v>22.97</v>
      </c>
      <c r="C2561" s="2">
        <f t="shared" si="39"/>
        <v>1.2705537841455491E-2</v>
      </c>
    </row>
    <row r="2562" spans="1:3" x14ac:dyDescent="0.2">
      <c r="A2562" s="1">
        <v>42391</v>
      </c>
      <c r="B2562">
        <v>22.68</v>
      </c>
      <c r="C2562" s="2">
        <f t="shared" si="39"/>
        <v>4.2789684591213052E-2</v>
      </c>
    </row>
    <row r="2563" spans="1:3" x14ac:dyDescent="0.2">
      <c r="A2563" s="1">
        <v>42390</v>
      </c>
      <c r="B2563">
        <v>21.73</v>
      </c>
      <c r="C2563" s="2">
        <f t="shared" ref="C2563:C2626" si="40">+LN(B2563/B2564)</f>
        <v>-9.1996326635482425E-4</v>
      </c>
    </row>
    <row r="2564" spans="1:3" x14ac:dyDescent="0.2">
      <c r="A2564" s="1">
        <v>42389</v>
      </c>
      <c r="B2564">
        <v>21.75</v>
      </c>
      <c r="C2564" s="2">
        <f t="shared" si="40"/>
        <v>-3.833614874354721E-2</v>
      </c>
    </row>
    <row r="2565" spans="1:3" x14ac:dyDescent="0.2">
      <c r="A2565" s="1">
        <v>42388</v>
      </c>
      <c r="B2565">
        <v>22.6</v>
      </c>
      <c r="C2565" s="2">
        <f t="shared" si="40"/>
        <v>3.4664735716387743E-2</v>
      </c>
    </row>
    <row r="2566" spans="1:3" x14ac:dyDescent="0.2">
      <c r="A2566" s="1">
        <v>42387</v>
      </c>
      <c r="B2566">
        <v>21.83</v>
      </c>
      <c r="C2566" s="2">
        <f t="shared" si="40"/>
        <v>-3.4664735716387757E-2</v>
      </c>
    </row>
    <row r="2567" spans="1:3" x14ac:dyDescent="0.2">
      <c r="A2567" s="1">
        <v>42384</v>
      </c>
      <c r="B2567">
        <v>22.6</v>
      </c>
      <c r="C2567" s="2">
        <f t="shared" si="40"/>
        <v>6.659292089976997E-3</v>
      </c>
    </row>
    <row r="2568" spans="1:3" x14ac:dyDescent="0.2">
      <c r="A2568" s="1">
        <v>42383</v>
      </c>
      <c r="B2568">
        <v>22.45</v>
      </c>
      <c r="C2568" s="2">
        <f t="shared" si="40"/>
        <v>-3.1999223723342372E-2</v>
      </c>
    </row>
    <row r="2569" spans="1:3" x14ac:dyDescent="0.2">
      <c r="A2569" s="1">
        <v>42382</v>
      </c>
      <c r="B2569">
        <v>23.18</v>
      </c>
      <c r="C2569" s="2">
        <f t="shared" si="40"/>
        <v>2.1593616682578295E-3</v>
      </c>
    </row>
    <row r="2570" spans="1:3" x14ac:dyDescent="0.2">
      <c r="A2570" s="1">
        <v>42381</v>
      </c>
      <c r="B2570">
        <v>23.13</v>
      </c>
      <c r="C2570" s="2">
        <f t="shared" si="40"/>
        <v>-8.1808852389438184E-3</v>
      </c>
    </row>
    <row r="2571" spans="1:3" x14ac:dyDescent="0.2">
      <c r="A2571" s="1">
        <v>42380</v>
      </c>
      <c r="B2571">
        <v>23.32</v>
      </c>
      <c r="C2571" s="2">
        <f t="shared" si="40"/>
        <v>-8.1145010696865669E-3</v>
      </c>
    </row>
    <row r="2572" spans="1:3" x14ac:dyDescent="0.2">
      <c r="A2572" s="1">
        <v>42377</v>
      </c>
      <c r="B2572">
        <v>23.51</v>
      </c>
      <c r="C2572" s="2">
        <f t="shared" si="40"/>
        <v>-1.8959910695270379E-2</v>
      </c>
    </row>
    <row r="2573" spans="1:3" x14ac:dyDescent="0.2">
      <c r="A2573" s="1">
        <v>42376</v>
      </c>
      <c r="B2573">
        <v>23.96</v>
      </c>
      <c r="C2573" s="2">
        <f t="shared" si="40"/>
        <v>-1.6967094389866249E-2</v>
      </c>
    </row>
    <row r="2574" spans="1:3" x14ac:dyDescent="0.2">
      <c r="A2574" s="1">
        <v>42375</v>
      </c>
      <c r="B2574">
        <v>24.37</v>
      </c>
      <c r="C2574" s="2">
        <f t="shared" si="40"/>
        <v>0</v>
      </c>
    </row>
    <row r="2575" spans="1:3" x14ac:dyDescent="0.2">
      <c r="A2575" s="1">
        <v>42374</v>
      </c>
      <c r="B2575">
        <v>24.37</v>
      </c>
      <c r="C2575" s="2">
        <f t="shared" si="40"/>
        <v>3.0412675099217436E-2</v>
      </c>
    </row>
    <row r="2576" spans="1:3" x14ac:dyDescent="0.2">
      <c r="A2576" s="1">
        <v>42373</v>
      </c>
      <c r="B2576">
        <v>23.64</v>
      </c>
      <c r="C2576" s="2">
        <f t="shared" si="40"/>
        <v>-1.8856624088882511E-2</v>
      </c>
    </row>
    <row r="2577" spans="1:3" x14ac:dyDescent="0.2">
      <c r="A2577" s="1">
        <v>42368</v>
      </c>
      <c r="B2577">
        <v>24.09</v>
      </c>
      <c r="C2577" s="2">
        <f t="shared" si="40"/>
        <v>8.7555281023787238E-3</v>
      </c>
    </row>
    <row r="2578" spans="1:3" x14ac:dyDescent="0.2">
      <c r="A2578" s="1">
        <v>42367</v>
      </c>
      <c r="B2578">
        <v>23.88</v>
      </c>
      <c r="C2578" s="2">
        <f t="shared" si="40"/>
        <v>1.0101095986503919E-2</v>
      </c>
    </row>
    <row r="2579" spans="1:3" x14ac:dyDescent="0.2">
      <c r="A2579" s="1">
        <v>42366</v>
      </c>
      <c r="B2579">
        <v>23.64</v>
      </c>
      <c r="C2579" s="2">
        <f t="shared" si="40"/>
        <v>1.2771565679487539E-2</v>
      </c>
    </row>
    <row r="2580" spans="1:3" x14ac:dyDescent="0.2">
      <c r="A2580" s="1">
        <v>42361</v>
      </c>
      <c r="B2580">
        <v>23.34</v>
      </c>
      <c r="C2580" s="2">
        <f t="shared" si="40"/>
        <v>3.0036495442096731E-3</v>
      </c>
    </row>
    <row r="2581" spans="1:3" x14ac:dyDescent="0.2">
      <c r="A2581" s="1">
        <v>42360</v>
      </c>
      <c r="B2581">
        <v>23.27</v>
      </c>
      <c r="C2581" s="2">
        <f t="shared" si="40"/>
        <v>-7.705517578088023E-3</v>
      </c>
    </row>
    <row r="2582" spans="1:3" x14ac:dyDescent="0.2">
      <c r="A2582" s="1">
        <v>42359</v>
      </c>
      <c r="B2582">
        <v>23.45</v>
      </c>
      <c r="C2582" s="2">
        <f t="shared" si="40"/>
        <v>-5.9523985272952728E-3</v>
      </c>
    </row>
    <row r="2583" spans="1:3" x14ac:dyDescent="0.2">
      <c r="A2583" s="1">
        <v>42356</v>
      </c>
      <c r="B2583">
        <v>23.59</v>
      </c>
      <c r="C2583" s="2">
        <f t="shared" si="40"/>
        <v>-9.7026705075703903E-3</v>
      </c>
    </row>
    <row r="2584" spans="1:3" x14ac:dyDescent="0.2">
      <c r="A2584" s="1">
        <v>42355</v>
      </c>
      <c r="B2584">
        <v>23.82</v>
      </c>
      <c r="C2584" s="2">
        <f t="shared" si="40"/>
        <v>1.3950765256332593E-2</v>
      </c>
    </row>
    <row r="2585" spans="1:3" x14ac:dyDescent="0.2">
      <c r="A2585" s="1">
        <v>42354</v>
      </c>
      <c r="B2585">
        <v>23.49</v>
      </c>
      <c r="C2585" s="2">
        <f t="shared" si="40"/>
        <v>1.1130251888503565E-2</v>
      </c>
    </row>
    <row r="2586" spans="1:3" x14ac:dyDescent="0.2">
      <c r="A2586" s="1">
        <v>42353</v>
      </c>
      <c r="B2586">
        <v>23.23</v>
      </c>
      <c r="C2586" s="2">
        <f t="shared" si="40"/>
        <v>2.7052260492439327E-2</v>
      </c>
    </row>
    <row r="2587" spans="1:3" x14ac:dyDescent="0.2">
      <c r="A2587" s="1">
        <v>42352</v>
      </c>
      <c r="B2587">
        <v>22.61</v>
      </c>
      <c r="C2587" s="2">
        <f t="shared" si="40"/>
        <v>-1.6231986130731207E-2</v>
      </c>
    </row>
    <row r="2588" spans="1:3" x14ac:dyDescent="0.2">
      <c r="A2588" s="1">
        <v>42349</v>
      </c>
      <c r="B2588">
        <v>22.98</v>
      </c>
      <c r="C2588" s="2">
        <f t="shared" si="40"/>
        <v>-9.0968788468306725E-3</v>
      </c>
    </row>
    <row r="2589" spans="1:3" x14ac:dyDescent="0.2">
      <c r="A2589" s="1">
        <v>42348</v>
      </c>
      <c r="B2589">
        <v>23.19</v>
      </c>
      <c r="C2589" s="2">
        <f t="shared" si="40"/>
        <v>2.179685247568984E-2</v>
      </c>
    </row>
    <row r="2590" spans="1:3" x14ac:dyDescent="0.2">
      <c r="A2590" s="1">
        <v>42347</v>
      </c>
      <c r="B2590">
        <v>22.69</v>
      </c>
      <c r="C2590" s="2">
        <f t="shared" si="40"/>
        <v>-3.2092953727953816E-2</v>
      </c>
    </row>
    <row r="2591" spans="1:3" x14ac:dyDescent="0.2">
      <c r="A2591" s="1">
        <v>42346</v>
      </c>
      <c r="B2591">
        <v>23.43</v>
      </c>
      <c r="C2591" s="2">
        <f t="shared" si="40"/>
        <v>1.2812301560485399E-3</v>
      </c>
    </row>
    <row r="2592" spans="1:3" x14ac:dyDescent="0.2">
      <c r="A2592" s="1">
        <v>42345</v>
      </c>
      <c r="B2592">
        <v>23.4</v>
      </c>
      <c r="C2592" s="2">
        <f t="shared" si="40"/>
        <v>1.898245091229003E-2</v>
      </c>
    </row>
    <row r="2593" spans="1:3" x14ac:dyDescent="0.2">
      <c r="A2593" s="1">
        <v>42342</v>
      </c>
      <c r="B2593">
        <v>22.96</v>
      </c>
      <c r="C2593" s="2">
        <f t="shared" si="40"/>
        <v>-8.7070096924392088E-4</v>
      </c>
    </row>
    <row r="2594" spans="1:3" x14ac:dyDescent="0.2">
      <c r="A2594" s="1">
        <v>42341</v>
      </c>
      <c r="B2594">
        <v>22.98</v>
      </c>
      <c r="C2594" s="2">
        <f t="shared" si="40"/>
        <v>-1.896608574896172E-2</v>
      </c>
    </row>
    <row r="2595" spans="1:3" x14ac:dyDescent="0.2">
      <c r="A2595" s="1">
        <v>42340</v>
      </c>
      <c r="B2595">
        <v>23.42</v>
      </c>
      <c r="C2595" s="2">
        <f t="shared" si="40"/>
        <v>1.4623916529672567E-2</v>
      </c>
    </row>
    <row r="2596" spans="1:3" x14ac:dyDescent="0.2">
      <c r="A2596" s="1">
        <v>42339</v>
      </c>
      <c r="B2596">
        <v>23.08</v>
      </c>
      <c r="C2596" s="2">
        <f t="shared" si="40"/>
        <v>-1.9309761099372384E-2</v>
      </c>
    </row>
    <row r="2597" spans="1:3" x14ac:dyDescent="0.2">
      <c r="A2597" s="1">
        <v>42338</v>
      </c>
      <c r="B2597">
        <v>23.53</v>
      </c>
      <c r="C2597" s="2">
        <f t="shared" si="40"/>
        <v>1.8010778452981917E-2</v>
      </c>
    </row>
    <row r="2598" spans="1:3" x14ac:dyDescent="0.2">
      <c r="A2598" s="1">
        <v>42335</v>
      </c>
      <c r="B2598">
        <v>23.11</v>
      </c>
      <c r="C2598" s="2">
        <f t="shared" si="40"/>
        <v>9.5652903218140569E-3</v>
      </c>
    </row>
    <row r="2599" spans="1:3" x14ac:dyDescent="0.2">
      <c r="A2599" s="1">
        <v>42334</v>
      </c>
      <c r="B2599">
        <v>22.89</v>
      </c>
      <c r="C2599" s="2">
        <f t="shared" si="40"/>
        <v>-1.7753226607179599E-2</v>
      </c>
    </row>
    <row r="2600" spans="1:3" x14ac:dyDescent="0.2">
      <c r="A2600" s="1">
        <v>42333</v>
      </c>
      <c r="B2600">
        <v>23.3</v>
      </c>
      <c r="C2600" s="2">
        <f t="shared" si="40"/>
        <v>1.6879864106250794E-2</v>
      </c>
    </row>
    <row r="2601" spans="1:3" x14ac:dyDescent="0.2">
      <c r="A2601" s="1">
        <v>42332</v>
      </c>
      <c r="B2601">
        <v>22.91</v>
      </c>
      <c r="C2601" s="2">
        <f t="shared" si="40"/>
        <v>-3.4745077664120445E-2</v>
      </c>
    </row>
    <row r="2602" spans="1:3" x14ac:dyDescent="0.2">
      <c r="A2602" s="1">
        <v>42331</v>
      </c>
      <c r="B2602">
        <v>23.72</v>
      </c>
      <c r="C2602" s="2">
        <f t="shared" si="40"/>
        <v>9.3181529794113729E-3</v>
      </c>
    </row>
    <row r="2603" spans="1:3" x14ac:dyDescent="0.2">
      <c r="A2603" s="1">
        <v>42328</v>
      </c>
      <c r="B2603">
        <v>23.5</v>
      </c>
      <c r="C2603" s="2">
        <f t="shared" si="40"/>
        <v>2.4554324280300174E-2</v>
      </c>
    </row>
    <row r="2604" spans="1:3" x14ac:dyDescent="0.2">
      <c r="A2604" s="1">
        <v>42327</v>
      </c>
      <c r="B2604">
        <v>22.93</v>
      </c>
      <c r="C2604" s="2">
        <f t="shared" si="40"/>
        <v>2.6200888351232011E-3</v>
      </c>
    </row>
    <row r="2605" spans="1:3" x14ac:dyDescent="0.2">
      <c r="A2605" s="1">
        <v>42326</v>
      </c>
      <c r="B2605">
        <v>22.87</v>
      </c>
      <c r="C2605" s="2">
        <f t="shared" si="40"/>
        <v>-1.000660949305807E-2</v>
      </c>
    </row>
    <row r="2606" spans="1:3" x14ac:dyDescent="0.2">
      <c r="A2606" s="1">
        <v>42325</v>
      </c>
      <c r="B2606">
        <v>23.1</v>
      </c>
      <c r="C2606" s="2">
        <f t="shared" si="40"/>
        <v>2.4984863083594766E-2</v>
      </c>
    </row>
    <row r="2607" spans="1:3" x14ac:dyDescent="0.2">
      <c r="A2607" s="1">
        <v>42324</v>
      </c>
      <c r="B2607">
        <v>22.53</v>
      </c>
      <c r="C2607" s="2">
        <f t="shared" si="40"/>
        <v>-1.3306721857049501E-3</v>
      </c>
    </row>
    <row r="2608" spans="1:3" x14ac:dyDescent="0.2">
      <c r="A2608" s="1">
        <v>42321</v>
      </c>
      <c r="B2608">
        <v>22.56</v>
      </c>
      <c r="C2608" s="2">
        <f t="shared" si="40"/>
        <v>-7.947061692531834E-3</v>
      </c>
    </row>
    <row r="2609" spans="1:3" x14ac:dyDescent="0.2">
      <c r="A2609" s="1">
        <v>42320</v>
      </c>
      <c r="B2609">
        <v>22.74</v>
      </c>
      <c r="C2609" s="2">
        <f t="shared" si="40"/>
        <v>-1.3183917532583356E-3</v>
      </c>
    </row>
    <row r="2610" spans="1:3" x14ac:dyDescent="0.2">
      <c r="A2610" s="1">
        <v>42319</v>
      </c>
      <c r="B2610">
        <v>22.77</v>
      </c>
      <c r="C2610" s="2">
        <f t="shared" si="40"/>
        <v>1.2373114104423894E-2</v>
      </c>
    </row>
    <row r="2611" spans="1:3" x14ac:dyDescent="0.2">
      <c r="A2611" s="1">
        <v>42318</v>
      </c>
      <c r="B2611">
        <v>22.49</v>
      </c>
      <c r="C2611" s="2">
        <f t="shared" si="40"/>
        <v>1.5233269480079577E-2</v>
      </c>
    </row>
    <row r="2612" spans="1:3" x14ac:dyDescent="0.2">
      <c r="A2612" s="1">
        <v>42317</v>
      </c>
      <c r="B2612">
        <v>22.15</v>
      </c>
      <c r="C2612" s="2">
        <f t="shared" si="40"/>
        <v>-3.4172395355394354E-2</v>
      </c>
    </row>
    <row r="2613" spans="1:3" x14ac:dyDescent="0.2">
      <c r="A2613" s="1">
        <v>42314</v>
      </c>
      <c r="B2613">
        <v>22.92</v>
      </c>
      <c r="C2613" s="2">
        <f t="shared" si="40"/>
        <v>-2.6143805740707093E-3</v>
      </c>
    </row>
    <row r="2614" spans="1:3" x14ac:dyDescent="0.2">
      <c r="A2614" s="1">
        <v>42313</v>
      </c>
      <c r="B2614">
        <v>22.98</v>
      </c>
      <c r="C2614" s="2">
        <f t="shared" si="40"/>
        <v>1.2259347933252639E-2</v>
      </c>
    </row>
    <row r="2615" spans="1:3" x14ac:dyDescent="0.2">
      <c r="A2615" s="1">
        <v>42312</v>
      </c>
      <c r="B2615">
        <v>22.7</v>
      </c>
      <c r="C2615" s="2">
        <f t="shared" si="40"/>
        <v>-4.4043163011016107E-4</v>
      </c>
    </row>
    <row r="2616" spans="1:3" x14ac:dyDescent="0.2">
      <c r="A2616" s="1">
        <v>42311</v>
      </c>
      <c r="B2616">
        <v>22.71</v>
      </c>
      <c r="C2616" s="2">
        <f t="shared" si="40"/>
        <v>-6.5833022491974483E-3</v>
      </c>
    </row>
    <row r="2617" spans="1:3" x14ac:dyDescent="0.2">
      <c r="A2617" s="1">
        <v>42310</v>
      </c>
      <c r="B2617">
        <v>22.86</v>
      </c>
      <c r="C2617" s="2">
        <f t="shared" si="40"/>
        <v>1.0996372076786057E-2</v>
      </c>
    </row>
    <row r="2618" spans="1:3" x14ac:dyDescent="0.2">
      <c r="A2618" s="1">
        <v>42307</v>
      </c>
      <c r="B2618">
        <v>22.61</v>
      </c>
      <c r="C2618" s="2">
        <f t="shared" si="40"/>
        <v>1.3357277845437372E-2</v>
      </c>
    </row>
    <row r="2619" spans="1:3" x14ac:dyDescent="0.2">
      <c r="A2619" s="1">
        <v>42306</v>
      </c>
      <c r="B2619">
        <v>22.31</v>
      </c>
      <c r="C2619" s="2">
        <f t="shared" si="40"/>
        <v>3.0491554466160375E-2</v>
      </c>
    </row>
    <row r="2620" spans="1:3" x14ac:dyDescent="0.2">
      <c r="A2620" s="1">
        <v>42305</v>
      </c>
      <c r="B2620">
        <v>21.64</v>
      </c>
      <c r="C2620" s="2">
        <f t="shared" si="40"/>
        <v>8.8188086042547825E-3</v>
      </c>
    </row>
    <row r="2621" spans="1:3" x14ac:dyDescent="0.2">
      <c r="A2621" s="1">
        <v>42304</v>
      </c>
      <c r="B2621">
        <v>21.45</v>
      </c>
      <c r="C2621" s="2">
        <f t="shared" si="40"/>
        <v>8.427016161880142E-3</v>
      </c>
    </row>
    <row r="2622" spans="1:3" x14ac:dyDescent="0.2">
      <c r="A2622" s="1">
        <v>42303</v>
      </c>
      <c r="B2622">
        <v>21.27</v>
      </c>
      <c r="C2622" s="2">
        <f t="shared" si="40"/>
        <v>0</v>
      </c>
    </row>
    <row r="2623" spans="1:3" x14ac:dyDescent="0.2">
      <c r="A2623" s="1">
        <v>42300</v>
      </c>
      <c r="B2623">
        <v>21.27</v>
      </c>
      <c r="C2623" s="2">
        <f t="shared" si="40"/>
        <v>1.8984908123036364E-2</v>
      </c>
    </row>
    <row r="2624" spans="1:3" x14ac:dyDescent="0.2">
      <c r="A2624" s="1">
        <v>42299</v>
      </c>
      <c r="B2624">
        <v>20.87</v>
      </c>
      <c r="C2624" s="2">
        <f t="shared" si="40"/>
        <v>-5.7334127434321321E-3</v>
      </c>
    </row>
    <row r="2625" spans="1:3" x14ac:dyDescent="0.2">
      <c r="A2625" s="1">
        <v>42298</v>
      </c>
      <c r="B2625">
        <v>20.99</v>
      </c>
      <c r="C2625" s="2">
        <f t="shared" si="40"/>
        <v>-1.4660938882837864E-2</v>
      </c>
    </row>
    <row r="2626" spans="1:3" x14ac:dyDescent="0.2">
      <c r="A2626" s="1">
        <v>42297</v>
      </c>
      <c r="B2626">
        <v>21.3</v>
      </c>
      <c r="C2626" s="2">
        <f t="shared" si="40"/>
        <v>-4.6937339514628774E-4</v>
      </c>
    </row>
    <row r="2627" spans="1:3" x14ac:dyDescent="0.2">
      <c r="A2627" s="1">
        <v>42296</v>
      </c>
      <c r="B2627">
        <v>21.31</v>
      </c>
      <c r="C2627" s="2">
        <f t="shared" ref="C2627:C2690" si="41">+LN(B2627/B2628)</f>
        <v>3.0976982419033315E-2</v>
      </c>
    </row>
    <row r="2628" spans="1:3" x14ac:dyDescent="0.2">
      <c r="A2628" s="1">
        <v>42293</v>
      </c>
      <c r="B2628">
        <v>20.66</v>
      </c>
      <c r="C2628" s="2">
        <f t="shared" si="41"/>
        <v>1.1195054861961738E-2</v>
      </c>
    </row>
    <row r="2629" spans="1:3" x14ac:dyDescent="0.2">
      <c r="A2629" s="1">
        <v>42292</v>
      </c>
      <c r="B2629">
        <v>20.43</v>
      </c>
      <c r="C2629" s="2">
        <f t="shared" si="41"/>
        <v>1.4296521539114398E-2</v>
      </c>
    </row>
    <row r="2630" spans="1:3" x14ac:dyDescent="0.2">
      <c r="A2630" s="1">
        <v>42291</v>
      </c>
      <c r="B2630">
        <v>20.14</v>
      </c>
      <c r="C2630" s="2">
        <f t="shared" si="41"/>
        <v>2.6668247082161489E-2</v>
      </c>
    </row>
    <row r="2631" spans="1:3" x14ac:dyDescent="0.2">
      <c r="A2631" s="1">
        <v>42290</v>
      </c>
      <c r="B2631">
        <v>19.61</v>
      </c>
      <c r="C2631" s="2">
        <f t="shared" si="41"/>
        <v>3.1600661041814353E-2</v>
      </c>
    </row>
    <row r="2632" spans="1:3" x14ac:dyDescent="0.2">
      <c r="A2632" s="1">
        <v>42289</v>
      </c>
      <c r="B2632">
        <v>19</v>
      </c>
      <c r="C2632" s="2">
        <f t="shared" si="41"/>
        <v>-1.5147847751197227E-2</v>
      </c>
    </row>
    <row r="2633" spans="1:3" x14ac:dyDescent="0.2">
      <c r="A2633" s="1">
        <v>42286</v>
      </c>
      <c r="B2633">
        <v>19.29</v>
      </c>
      <c r="C2633" s="2">
        <f t="shared" si="41"/>
        <v>-1.6452813290617211E-2</v>
      </c>
    </row>
    <row r="2634" spans="1:3" x14ac:dyDescent="0.2">
      <c r="A2634" s="1">
        <v>42285</v>
      </c>
      <c r="B2634">
        <v>19.61</v>
      </c>
      <c r="C2634" s="2">
        <f t="shared" si="41"/>
        <v>-1.9692633345736156E-2</v>
      </c>
    </row>
    <row r="2635" spans="1:3" x14ac:dyDescent="0.2">
      <c r="A2635" s="1">
        <v>42284</v>
      </c>
      <c r="B2635">
        <v>20</v>
      </c>
      <c r="C2635" s="2">
        <f t="shared" si="41"/>
        <v>-4.3538302014483485E-2</v>
      </c>
    </row>
    <row r="2636" spans="1:3" x14ac:dyDescent="0.2">
      <c r="A2636" s="1">
        <v>42283</v>
      </c>
      <c r="B2636">
        <v>20.89</v>
      </c>
      <c r="C2636" s="2">
        <f t="shared" si="41"/>
        <v>-1.2369329923812464E-2</v>
      </c>
    </row>
    <row r="2637" spans="1:3" x14ac:dyDescent="0.2">
      <c r="A2637" s="1">
        <v>42282</v>
      </c>
      <c r="B2637">
        <v>21.15</v>
      </c>
      <c r="C2637" s="2">
        <f t="shared" si="41"/>
        <v>2.1506205220963463E-2</v>
      </c>
    </row>
    <row r="2638" spans="1:3" x14ac:dyDescent="0.2">
      <c r="A2638" s="1">
        <v>42279</v>
      </c>
      <c r="B2638">
        <v>20.7</v>
      </c>
      <c r="C2638" s="2">
        <f t="shared" si="41"/>
        <v>-4.8297513616948174E-4</v>
      </c>
    </row>
    <row r="2639" spans="1:3" x14ac:dyDescent="0.2">
      <c r="A2639" s="1">
        <v>42278</v>
      </c>
      <c r="B2639">
        <v>20.71</v>
      </c>
      <c r="C2639" s="2">
        <f t="shared" si="41"/>
        <v>3.8703483243323579E-3</v>
      </c>
    </row>
    <row r="2640" spans="1:3" x14ac:dyDescent="0.2">
      <c r="A2640" s="1">
        <v>42277</v>
      </c>
      <c r="B2640">
        <v>20.63</v>
      </c>
      <c r="C2640" s="2">
        <f t="shared" si="41"/>
        <v>-1.4914878359230499E-2</v>
      </c>
    </row>
    <row r="2641" spans="1:3" x14ac:dyDescent="0.2">
      <c r="A2641" s="1">
        <v>42276</v>
      </c>
      <c r="B2641">
        <v>20.94</v>
      </c>
      <c r="C2641" s="2">
        <f t="shared" si="41"/>
        <v>-1.9858808649603172E-2</v>
      </c>
    </row>
    <row r="2642" spans="1:3" x14ac:dyDescent="0.2">
      <c r="A2642" s="1">
        <v>42275</v>
      </c>
      <c r="B2642">
        <v>21.36</v>
      </c>
      <c r="C2642" s="2">
        <f t="shared" si="41"/>
        <v>1.4054816087349464E-3</v>
      </c>
    </row>
    <row r="2643" spans="1:3" x14ac:dyDescent="0.2">
      <c r="A2643" s="1">
        <v>42272</v>
      </c>
      <c r="B2643">
        <v>21.33</v>
      </c>
      <c r="C2643" s="2">
        <f t="shared" si="41"/>
        <v>1.5116017626350087E-2</v>
      </c>
    </row>
    <row r="2644" spans="1:3" x14ac:dyDescent="0.2">
      <c r="A2644" s="1">
        <v>42271</v>
      </c>
      <c r="B2644">
        <v>21.01</v>
      </c>
      <c r="C2644" s="2">
        <f t="shared" si="41"/>
        <v>-1.8859587744682309E-2</v>
      </c>
    </row>
    <row r="2645" spans="1:3" x14ac:dyDescent="0.2">
      <c r="A2645" s="1">
        <v>42270</v>
      </c>
      <c r="B2645">
        <v>21.41</v>
      </c>
      <c r="C2645" s="2">
        <f t="shared" si="41"/>
        <v>1.9335664878168408E-2</v>
      </c>
    </row>
    <row r="2646" spans="1:3" x14ac:dyDescent="0.2">
      <c r="A2646" s="1">
        <v>42269</v>
      </c>
      <c r="B2646">
        <v>21</v>
      </c>
      <c r="C2646" s="2">
        <f t="shared" si="41"/>
        <v>-2.3530497410194161E-2</v>
      </c>
    </row>
    <row r="2647" spans="1:3" x14ac:dyDescent="0.2">
      <c r="A2647" s="1">
        <v>42268</v>
      </c>
      <c r="B2647">
        <v>21.5</v>
      </c>
      <c r="C2647" s="2">
        <f t="shared" si="41"/>
        <v>1.1225562219815167E-2</v>
      </c>
    </row>
    <row r="2648" spans="1:3" x14ac:dyDescent="0.2">
      <c r="A2648" s="1">
        <v>42265</v>
      </c>
      <c r="B2648">
        <v>21.26</v>
      </c>
      <c r="C2648" s="2">
        <f t="shared" si="41"/>
        <v>1.8832397279648725E-3</v>
      </c>
    </row>
    <row r="2649" spans="1:3" x14ac:dyDescent="0.2">
      <c r="A2649" s="1">
        <v>42264</v>
      </c>
      <c r="B2649">
        <v>21.22</v>
      </c>
      <c r="C2649" s="2">
        <f t="shared" si="41"/>
        <v>6.145138695153856E-3</v>
      </c>
    </row>
    <row r="2650" spans="1:3" x14ac:dyDescent="0.2">
      <c r="A2650" s="1">
        <v>42263</v>
      </c>
      <c r="B2650">
        <v>21.09</v>
      </c>
      <c r="C2650" s="2">
        <f t="shared" si="41"/>
        <v>-3.786090656090695E-3</v>
      </c>
    </row>
    <row r="2651" spans="1:3" x14ac:dyDescent="0.2">
      <c r="A2651" s="1">
        <v>42262</v>
      </c>
      <c r="B2651">
        <v>21.17</v>
      </c>
      <c r="C2651" s="2">
        <f t="shared" si="41"/>
        <v>-9.4428713343392551E-4</v>
      </c>
    </row>
    <row r="2652" spans="1:3" x14ac:dyDescent="0.2">
      <c r="A2652" s="1">
        <v>42261</v>
      </c>
      <c r="B2652">
        <v>21.19</v>
      </c>
      <c r="C2652" s="2">
        <f t="shared" si="41"/>
        <v>-1.4147609056292673E-3</v>
      </c>
    </row>
    <row r="2653" spans="1:3" x14ac:dyDescent="0.2">
      <c r="A2653" s="1">
        <v>42258</v>
      </c>
      <c r="B2653">
        <v>21.22</v>
      </c>
      <c r="C2653" s="2">
        <f t="shared" si="41"/>
        <v>1.6152370171399134E-2</v>
      </c>
    </row>
    <row r="2654" spans="1:3" x14ac:dyDescent="0.2">
      <c r="A2654" s="1">
        <v>42257</v>
      </c>
      <c r="B2654">
        <v>20.88</v>
      </c>
      <c r="C2654" s="2">
        <f t="shared" si="41"/>
        <v>-5.2543708181035705E-3</v>
      </c>
    </row>
    <row r="2655" spans="1:3" x14ac:dyDescent="0.2">
      <c r="A2655" s="1">
        <v>42256</v>
      </c>
      <c r="B2655">
        <v>20.99</v>
      </c>
      <c r="C2655" s="2">
        <f t="shared" si="41"/>
        <v>-1.4660938882837864E-2</v>
      </c>
    </row>
    <row r="2656" spans="1:3" x14ac:dyDescent="0.2">
      <c r="A2656" s="1">
        <v>42255</v>
      </c>
      <c r="B2656">
        <v>21.3</v>
      </c>
      <c r="C2656" s="2">
        <f t="shared" si="41"/>
        <v>1.2757083000770941E-2</v>
      </c>
    </row>
    <row r="2657" spans="1:3" x14ac:dyDescent="0.2">
      <c r="A2657" s="1">
        <v>42254</v>
      </c>
      <c r="B2657">
        <v>21.03</v>
      </c>
      <c r="C2657" s="2">
        <f t="shared" si="41"/>
        <v>-9.4652860005562962E-3</v>
      </c>
    </row>
    <row r="2658" spans="1:3" x14ac:dyDescent="0.2">
      <c r="A2658" s="1">
        <v>42251</v>
      </c>
      <c r="B2658">
        <v>21.23</v>
      </c>
      <c r="C2658" s="2">
        <f t="shared" si="41"/>
        <v>1.8859034349570491E-3</v>
      </c>
    </row>
    <row r="2659" spans="1:3" x14ac:dyDescent="0.2">
      <c r="A2659" s="1">
        <v>42250</v>
      </c>
      <c r="B2659">
        <v>21.19</v>
      </c>
      <c r="C2659" s="2">
        <f t="shared" si="41"/>
        <v>9.0069345567848503E-3</v>
      </c>
    </row>
    <row r="2660" spans="1:3" x14ac:dyDescent="0.2">
      <c r="A2660" s="1">
        <v>42249</v>
      </c>
      <c r="B2660">
        <v>21</v>
      </c>
      <c r="C2660" s="2">
        <f t="shared" si="41"/>
        <v>3.3389012655146303E-3</v>
      </c>
    </row>
    <row r="2661" spans="1:3" x14ac:dyDescent="0.2">
      <c r="A2661" s="1">
        <v>42248</v>
      </c>
      <c r="B2661">
        <v>20.93</v>
      </c>
      <c r="C2661" s="2">
        <f t="shared" si="41"/>
        <v>-1.4231739257256395E-2</v>
      </c>
    </row>
    <row r="2662" spans="1:3" x14ac:dyDescent="0.2">
      <c r="A2662" s="1">
        <v>42247</v>
      </c>
      <c r="B2662">
        <v>21.23</v>
      </c>
      <c r="C2662" s="2">
        <f t="shared" si="41"/>
        <v>1.4140940371980418E-3</v>
      </c>
    </row>
    <row r="2663" spans="1:3" x14ac:dyDescent="0.2">
      <c r="A2663" s="1">
        <v>42244</v>
      </c>
      <c r="B2663">
        <v>21.2</v>
      </c>
      <c r="C2663" s="2">
        <f t="shared" si="41"/>
        <v>-1.1257154524634558E-2</v>
      </c>
    </row>
    <row r="2664" spans="1:3" x14ac:dyDescent="0.2">
      <c r="A2664" s="1">
        <v>42243</v>
      </c>
      <c r="B2664">
        <v>21.44</v>
      </c>
      <c r="C2664" s="2">
        <f t="shared" si="41"/>
        <v>1.1257154524634468E-2</v>
      </c>
    </row>
    <row r="2665" spans="1:3" x14ac:dyDescent="0.2">
      <c r="A2665" s="1">
        <v>42242</v>
      </c>
      <c r="B2665">
        <v>21.2</v>
      </c>
      <c r="C2665" s="2">
        <f t="shared" si="41"/>
        <v>-1.8850146957712238E-3</v>
      </c>
    </row>
    <row r="2666" spans="1:3" x14ac:dyDescent="0.2">
      <c r="A2666" s="1">
        <v>42241</v>
      </c>
      <c r="B2666">
        <v>21.24</v>
      </c>
      <c r="C2666" s="2">
        <f t="shared" si="41"/>
        <v>5.4171851142199461E-2</v>
      </c>
    </row>
    <row r="2667" spans="1:3" x14ac:dyDescent="0.2">
      <c r="A2667" s="1">
        <v>42240</v>
      </c>
      <c r="B2667">
        <v>20.12</v>
      </c>
      <c r="C2667" s="2">
        <f t="shared" si="41"/>
        <v>-4.5186214896851984E-2</v>
      </c>
    </row>
    <row r="2668" spans="1:3" x14ac:dyDescent="0.2">
      <c r="A2668" s="1">
        <v>42237</v>
      </c>
      <c r="B2668">
        <v>21.05</v>
      </c>
      <c r="C2668" s="2">
        <f t="shared" si="41"/>
        <v>-3.4550588828137982E-2</v>
      </c>
    </row>
    <row r="2669" spans="1:3" x14ac:dyDescent="0.2">
      <c r="A2669" s="1">
        <v>42236</v>
      </c>
      <c r="B2669">
        <v>21.79</v>
      </c>
      <c r="C2669" s="2">
        <f t="shared" si="41"/>
        <v>-1.2314864868827885E-2</v>
      </c>
    </row>
    <row r="2670" spans="1:3" x14ac:dyDescent="0.2">
      <c r="A2670" s="1">
        <v>42235</v>
      </c>
      <c r="B2670">
        <v>22.06</v>
      </c>
      <c r="C2670" s="2">
        <f t="shared" si="41"/>
        <v>-3.6934120139118946E-2</v>
      </c>
    </row>
    <row r="2671" spans="1:3" x14ac:dyDescent="0.2">
      <c r="A2671" s="1">
        <v>42234</v>
      </c>
      <c r="B2671">
        <v>22.89</v>
      </c>
      <c r="C2671" s="2">
        <f t="shared" si="41"/>
        <v>1.7184824754100967E-2</v>
      </c>
    </row>
    <row r="2672" spans="1:3" x14ac:dyDescent="0.2">
      <c r="A2672" s="1">
        <v>42233</v>
      </c>
      <c r="B2672">
        <v>22.5</v>
      </c>
      <c r="C2672" s="2">
        <f t="shared" si="41"/>
        <v>-5.3191614776000448E-3</v>
      </c>
    </row>
    <row r="2673" spans="1:3" x14ac:dyDescent="0.2">
      <c r="A2673" s="1">
        <v>42230</v>
      </c>
      <c r="B2673">
        <v>22.62</v>
      </c>
      <c r="C2673" s="2">
        <f t="shared" si="41"/>
        <v>1.5593989418698094E-2</v>
      </c>
    </row>
    <row r="2674" spans="1:3" x14ac:dyDescent="0.2">
      <c r="A2674" s="1">
        <v>42229</v>
      </c>
      <c r="B2674">
        <v>22.27</v>
      </c>
      <c r="C2674" s="2">
        <f t="shared" si="41"/>
        <v>5.4029847781317079E-3</v>
      </c>
    </row>
    <row r="2675" spans="1:3" x14ac:dyDescent="0.2">
      <c r="A2675" s="1">
        <v>42228</v>
      </c>
      <c r="B2675">
        <v>22.15</v>
      </c>
      <c r="C2675" s="2">
        <f t="shared" si="41"/>
        <v>-2.5408097361805992E-2</v>
      </c>
    </row>
    <row r="2676" spans="1:3" x14ac:dyDescent="0.2">
      <c r="A2676" s="1">
        <v>42227</v>
      </c>
      <c r="B2676">
        <v>22.72</v>
      </c>
      <c r="C2676" s="2">
        <f t="shared" si="41"/>
        <v>-8.7989446943939262E-4</v>
      </c>
    </row>
    <row r="2677" spans="1:3" x14ac:dyDescent="0.2">
      <c r="A2677" s="1">
        <v>42226</v>
      </c>
      <c r="B2677">
        <v>22.74</v>
      </c>
      <c r="C2677" s="2">
        <f t="shared" si="41"/>
        <v>3.0359474497033561E-2</v>
      </c>
    </row>
    <row r="2678" spans="1:3" x14ac:dyDescent="0.2">
      <c r="A2678" s="1">
        <v>42223</v>
      </c>
      <c r="B2678">
        <v>22.06</v>
      </c>
      <c r="C2678" s="2">
        <f t="shared" si="41"/>
        <v>-6.4510188913914857E-2</v>
      </c>
    </row>
    <row r="2679" spans="1:3" x14ac:dyDescent="0.2">
      <c r="A2679" s="1">
        <v>42222</v>
      </c>
      <c r="B2679">
        <v>23.53</v>
      </c>
      <c r="C2679" s="2">
        <f t="shared" si="41"/>
        <v>-1.0568688523364698E-2</v>
      </c>
    </row>
    <row r="2680" spans="1:3" x14ac:dyDescent="0.2">
      <c r="A2680" s="1">
        <v>42221</v>
      </c>
      <c r="B2680">
        <v>23.78</v>
      </c>
      <c r="C2680" s="2">
        <f t="shared" si="41"/>
        <v>2.9479911853216834E-3</v>
      </c>
    </row>
    <row r="2681" spans="1:3" x14ac:dyDescent="0.2">
      <c r="A2681" s="1">
        <v>42220</v>
      </c>
      <c r="B2681">
        <v>23.71</v>
      </c>
      <c r="C2681" s="2">
        <f t="shared" si="41"/>
        <v>2.1110415270734202E-3</v>
      </c>
    </row>
    <row r="2682" spans="1:3" x14ac:dyDescent="0.2">
      <c r="A2682" s="1">
        <v>42219</v>
      </c>
      <c r="B2682">
        <v>23.66</v>
      </c>
      <c r="C2682" s="2">
        <f t="shared" si="41"/>
        <v>4.1861559758490215E-2</v>
      </c>
    </row>
    <row r="2683" spans="1:3" x14ac:dyDescent="0.2">
      <c r="A2683" s="1">
        <v>42216</v>
      </c>
      <c r="B2683">
        <v>22.69</v>
      </c>
      <c r="C2683" s="2">
        <f t="shared" si="41"/>
        <v>2.4990144728792119E-2</v>
      </c>
    </row>
    <row r="2684" spans="1:3" x14ac:dyDescent="0.2">
      <c r="A2684" s="1">
        <v>42215</v>
      </c>
      <c r="B2684">
        <v>22.13</v>
      </c>
      <c r="C2684" s="2">
        <f t="shared" si="41"/>
        <v>1.181831937428174E-2</v>
      </c>
    </row>
    <row r="2685" spans="1:3" x14ac:dyDescent="0.2">
      <c r="A2685" s="1">
        <v>42214</v>
      </c>
      <c r="B2685">
        <v>21.87</v>
      </c>
      <c r="C2685" s="2">
        <f t="shared" si="41"/>
        <v>5.7400515281634791E-2</v>
      </c>
    </row>
    <row r="2686" spans="1:3" x14ac:dyDescent="0.2">
      <c r="A2686" s="1">
        <v>42213</v>
      </c>
      <c r="B2686">
        <v>20.65</v>
      </c>
      <c r="C2686" s="2">
        <f t="shared" si="41"/>
        <v>-7.2376673002306135E-3</v>
      </c>
    </row>
    <row r="2687" spans="1:3" x14ac:dyDescent="0.2">
      <c r="A2687" s="1">
        <v>42212</v>
      </c>
      <c r="B2687">
        <v>20.8</v>
      </c>
      <c r="C2687" s="2">
        <f t="shared" si="41"/>
        <v>-2.1403908663153493E-2</v>
      </c>
    </row>
    <row r="2688" spans="1:3" x14ac:dyDescent="0.2">
      <c r="A2688" s="1">
        <v>42209</v>
      </c>
      <c r="B2688">
        <v>21.25</v>
      </c>
      <c r="C2688" s="2">
        <f t="shared" si="41"/>
        <v>2.3557136924592052E-3</v>
      </c>
    </row>
    <row r="2689" spans="1:3" x14ac:dyDescent="0.2">
      <c r="A2689" s="1">
        <v>42208</v>
      </c>
      <c r="B2689">
        <v>21.2</v>
      </c>
      <c r="C2689" s="2">
        <f t="shared" si="41"/>
        <v>-3.2964475341790483E-3</v>
      </c>
    </row>
    <row r="2690" spans="1:3" x14ac:dyDescent="0.2">
      <c r="A2690" s="1">
        <v>42207</v>
      </c>
      <c r="B2690">
        <v>21.27</v>
      </c>
      <c r="C2690" s="2">
        <f t="shared" si="41"/>
        <v>-3.2856166614614935E-3</v>
      </c>
    </row>
    <row r="2691" spans="1:3" x14ac:dyDescent="0.2">
      <c r="A2691" s="1">
        <v>42206</v>
      </c>
      <c r="B2691">
        <v>21.34</v>
      </c>
      <c r="C2691" s="2">
        <f t="shared" ref="C2691:C2754" si="42">+LN(B2691/B2692)</f>
        <v>-5.1413995004186523E-3</v>
      </c>
    </row>
    <row r="2692" spans="1:3" x14ac:dyDescent="0.2">
      <c r="A2692" s="1">
        <v>42205</v>
      </c>
      <c r="B2692">
        <v>21.45</v>
      </c>
      <c r="C2692" s="2">
        <f t="shared" si="42"/>
        <v>2.5019006177303606E-2</v>
      </c>
    </row>
    <row r="2693" spans="1:3" x14ac:dyDescent="0.2">
      <c r="A2693" s="1">
        <v>42202</v>
      </c>
      <c r="B2693">
        <v>20.92</v>
      </c>
      <c r="C2693" s="2">
        <f t="shared" si="42"/>
        <v>1.7358198609757951E-2</v>
      </c>
    </row>
    <row r="2694" spans="1:3" x14ac:dyDescent="0.2">
      <c r="A2694" s="1">
        <v>42201</v>
      </c>
      <c r="B2694">
        <v>20.56</v>
      </c>
      <c r="C2694" s="2">
        <f t="shared" si="42"/>
        <v>9.2842103482498745E-3</v>
      </c>
    </row>
    <row r="2695" spans="1:3" x14ac:dyDescent="0.2">
      <c r="A2695" s="1">
        <v>42200</v>
      </c>
      <c r="B2695">
        <v>20.37</v>
      </c>
      <c r="C2695" s="2">
        <f t="shared" si="42"/>
        <v>1.2348885007176014E-2</v>
      </c>
    </row>
    <row r="2696" spans="1:3" x14ac:dyDescent="0.2">
      <c r="A2696" s="1">
        <v>42199</v>
      </c>
      <c r="B2696">
        <v>20.12</v>
      </c>
      <c r="C2696" s="2">
        <f t="shared" si="42"/>
        <v>-1.1366566657065555E-2</v>
      </c>
    </row>
    <row r="2697" spans="1:3" x14ac:dyDescent="0.2">
      <c r="A2697" s="1">
        <v>42198</v>
      </c>
      <c r="B2697">
        <v>20.350000000000001</v>
      </c>
      <c r="C2697" s="2">
        <f t="shared" si="42"/>
        <v>4.7807845819321591E-2</v>
      </c>
    </row>
    <row r="2698" spans="1:3" x14ac:dyDescent="0.2">
      <c r="A2698" s="1">
        <v>42195</v>
      </c>
      <c r="B2698">
        <v>19.399999999999999</v>
      </c>
      <c r="C2698" s="2">
        <f t="shared" si="42"/>
        <v>1.0314596066622124E-3</v>
      </c>
    </row>
    <row r="2699" spans="1:3" x14ac:dyDescent="0.2">
      <c r="A2699" s="1">
        <v>42194</v>
      </c>
      <c r="B2699">
        <v>19.38</v>
      </c>
      <c r="C2699" s="2">
        <f t="shared" si="42"/>
        <v>4.26942310980057E-2</v>
      </c>
    </row>
    <row r="2700" spans="1:3" x14ac:dyDescent="0.2">
      <c r="A2700" s="1">
        <v>42193</v>
      </c>
      <c r="B2700">
        <v>18.57</v>
      </c>
      <c r="C2700" s="2">
        <f t="shared" si="42"/>
        <v>-6.9761484959264082E-3</v>
      </c>
    </row>
    <row r="2701" spans="1:3" x14ac:dyDescent="0.2">
      <c r="A2701" s="1">
        <v>42192</v>
      </c>
      <c r="B2701">
        <v>18.7</v>
      </c>
      <c r="C2701" s="2">
        <f t="shared" si="42"/>
        <v>2.141328441343078E-3</v>
      </c>
    </row>
    <row r="2702" spans="1:3" x14ac:dyDescent="0.2">
      <c r="A2702" s="1">
        <v>42191</v>
      </c>
      <c r="B2702">
        <v>18.66</v>
      </c>
      <c r="C2702" s="2">
        <f t="shared" si="42"/>
        <v>-1.7003597762584057E-2</v>
      </c>
    </row>
    <row r="2703" spans="1:3" x14ac:dyDescent="0.2">
      <c r="A2703" s="1">
        <v>42188</v>
      </c>
      <c r="B2703">
        <v>18.98</v>
      </c>
      <c r="C2703" s="2">
        <f t="shared" si="42"/>
        <v>-8.3945928430263668E-3</v>
      </c>
    </row>
    <row r="2704" spans="1:3" x14ac:dyDescent="0.2">
      <c r="A2704" s="1">
        <v>42187</v>
      </c>
      <c r="B2704">
        <v>19.14</v>
      </c>
      <c r="C2704" s="2">
        <f t="shared" si="42"/>
        <v>-2.1706278581862946E-2</v>
      </c>
    </row>
    <row r="2705" spans="1:3" x14ac:dyDescent="0.2">
      <c r="A2705" s="1">
        <v>42186</v>
      </c>
      <c r="B2705">
        <v>19.559999999999999</v>
      </c>
      <c r="C2705" s="2">
        <f t="shared" si="42"/>
        <v>3.9098021293732278E-2</v>
      </c>
    </row>
    <row r="2706" spans="1:3" x14ac:dyDescent="0.2">
      <c r="A2706" s="1">
        <v>42185</v>
      </c>
      <c r="B2706">
        <v>18.809999999999999</v>
      </c>
      <c r="C2706" s="2">
        <f t="shared" si="42"/>
        <v>-5.3149084429464128E-4</v>
      </c>
    </row>
    <row r="2707" spans="1:3" x14ac:dyDescent="0.2">
      <c r="A2707" s="1">
        <v>42184</v>
      </c>
      <c r="B2707">
        <v>18.82</v>
      </c>
      <c r="C2707" s="2">
        <f t="shared" si="42"/>
        <v>-3.0352931912048763E-2</v>
      </c>
    </row>
    <row r="2708" spans="1:3" x14ac:dyDescent="0.2">
      <c r="A2708" s="1">
        <v>42181</v>
      </c>
      <c r="B2708">
        <v>19.399999999999999</v>
      </c>
      <c r="C2708" s="2">
        <f t="shared" si="42"/>
        <v>5.1559681472182766E-4</v>
      </c>
    </row>
    <row r="2709" spans="1:3" x14ac:dyDescent="0.2">
      <c r="A2709" s="1">
        <v>42180</v>
      </c>
      <c r="B2709">
        <v>19.39</v>
      </c>
      <c r="C2709" s="2">
        <f t="shared" si="42"/>
        <v>-2.0607941347882495E-3</v>
      </c>
    </row>
    <row r="2710" spans="1:3" x14ac:dyDescent="0.2">
      <c r="A2710" s="1">
        <v>42179</v>
      </c>
      <c r="B2710">
        <v>19.43</v>
      </c>
      <c r="C2710" s="2">
        <f t="shared" si="42"/>
        <v>6.7131674785088306E-3</v>
      </c>
    </row>
    <row r="2711" spans="1:3" x14ac:dyDescent="0.2">
      <c r="A2711" s="1">
        <v>42178</v>
      </c>
      <c r="B2711">
        <v>19.3</v>
      </c>
      <c r="C2711" s="2">
        <f t="shared" si="42"/>
        <v>1.6719302729058076E-2</v>
      </c>
    </row>
    <row r="2712" spans="1:3" x14ac:dyDescent="0.2">
      <c r="A2712" s="1">
        <v>42177</v>
      </c>
      <c r="B2712">
        <v>18.98</v>
      </c>
      <c r="C2712" s="2">
        <f t="shared" si="42"/>
        <v>1.86126085682848E-2</v>
      </c>
    </row>
    <row r="2713" spans="1:3" x14ac:dyDescent="0.2">
      <c r="A2713" s="1">
        <v>42174</v>
      </c>
      <c r="B2713">
        <v>18.63</v>
      </c>
      <c r="C2713" s="2">
        <f t="shared" si="42"/>
        <v>1.8965618587493072E-2</v>
      </c>
    </row>
    <row r="2714" spans="1:3" x14ac:dyDescent="0.2">
      <c r="A2714" s="1">
        <v>42173</v>
      </c>
      <c r="B2714">
        <v>18.28</v>
      </c>
      <c r="C2714" s="2">
        <f t="shared" si="42"/>
        <v>-1.5739809338610463E-2</v>
      </c>
    </row>
    <row r="2715" spans="1:3" x14ac:dyDescent="0.2">
      <c r="A2715" s="1">
        <v>42172</v>
      </c>
      <c r="B2715">
        <v>18.57</v>
      </c>
      <c r="C2715" s="2">
        <f t="shared" si="42"/>
        <v>-5.3835802107792495E-4</v>
      </c>
    </row>
    <row r="2716" spans="1:3" x14ac:dyDescent="0.2">
      <c r="A2716" s="1">
        <v>42171</v>
      </c>
      <c r="B2716">
        <v>18.579999999999998</v>
      </c>
      <c r="C2716" s="2">
        <f t="shared" si="42"/>
        <v>-1.0758473334632364E-3</v>
      </c>
    </row>
    <row r="2717" spans="1:3" x14ac:dyDescent="0.2">
      <c r="A2717" s="1">
        <v>42170</v>
      </c>
      <c r="B2717">
        <v>18.600000000000001</v>
      </c>
      <c r="C2717" s="2">
        <f t="shared" si="42"/>
        <v>-3.0184976338397548E-2</v>
      </c>
    </row>
    <row r="2718" spans="1:3" x14ac:dyDescent="0.2">
      <c r="A2718" s="1">
        <v>42167</v>
      </c>
      <c r="B2718">
        <v>19.170000000000002</v>
      </c>
      <c r="C2718" s="2">
        <f t="shared" si="42"/>
        <v>1.1015060230677441E-2</v>
      </c>
    </row>
    <row r="2719" spans="1:3" x14ac:dyDescent="0.2">
      <c r="A2719" s="1">
        <v>42166</v>
      </c>
      <c r="B2719">
        <v>18.96</v>
      </c>
      <c r="C2719" s="2">
        <f t="shared" si="42"/>
        <v>1.1137744410456021E-2</v>
      </c>
    </row>
    <row r="2720" spans="1:3" x14ac:dyDescent="0.2">
      <c r="A2720" s="1">
        <v>42165</v>
      </c>
      <c r="B2720">
        <v>18.75</v>
      </c>
      <c r="C2720" s="2">
        <f t="shared" si="42"/>
        <v>-1.219204076536206E-2</v>
      </c>
    </row>
    <row r="2721" spans="1:3" x14ac:dyDescent="0.2">
      <c r="A2721" s="1">
        <v>42164</v>
      </c>
      <c r="B2721">
        <v>18.98</v>
      </c>
      <c r="C2721" s="2">
        <f t="shared" si="42"/>
        <v>-2.0855813280838346E-2</v>
      </c>
    </row>
    <row r="2722" spans="1:3" x14ac:dyDescent="0.2">
      <c r="A2722" s="1">
        <v>42163</v>
      </c>
      <c r="B2722">
        <v>19.38</v>
      </c>
      <c r="C2722" s="2">
        <f t="shared" si="42"/>
        <v>8.2902029204736608E-3</v>
      </c>
    </row>
    <row r="2723" spans="1:3" x14ac:dyDescent="0.2">
      <c r="A2723" s="1">
        <v>42160</v>
      </c>
      <c r="B2723">
        <v>19.22</v>
      </c>
      <c r="C2723" s="2">
        <f t="shared" si="42"/>
        <v>-6.7410159336444963E-3</v>
      </c>
    </row>
    <row r="2724" spans="1:3" x14ac:dyDescent="0.2">
      <c r="A2724" s="1">
        <v>42159</v>
      </c>
      <c r="B2724">
        <v>19.350000000000001</v>
      </c>
      <c r="C2724" s="2">
        <f t="shared" si="42"/>
        <v>6.7410159336445084E-3</v>
      </c>
    </row>
    <row r="2725" spans="1:3" x14ac:dyDescent="0.2">
      <c r="A2725" s="1">
        <v>42158</v>
      </c>
      <c r="B2725">
        <v>19.22</v>
      </c>
      <c r="C2725" s="2">
        <f t="shared" si="42"/>
        <v>-1.189566652230894E-2</v>
      </c>
    </row>
    <row r="2726" spans="1:3" x14ac:dyDescent="0.2">
      <c r="A2726" s="1">
        <v>42157</v>
      </c>
      <c r="B2726">
        <v>19.45</v>
      </c>
      <c r="C2726" s="2">
        <f t="shared" si="42"/>
        <v>-2.5673955052458097E-3</v>
      </c>
    </row>
    <row r="2727" spans="1:3" x14ac:dyDescent="0.2">
      <c r="A2727" s="1">
        <v>42156</v>
      </c>
      <c r="B2727">
        <v>19.5</v>
      </c>
      <c r="C2727" s="2">
        <f t="shared" si="42"/>
        <v>1.8111749943046103E-2</v>
      </c>
    </row>
    <row r="2728" spans="1:3" x14ac:dyDescent="0.2">
      <c r="A2728" s="1">
        <v>42153</v>
      </c>
      <c r="B2728">
        <v>19.149999999999999</v>
      </c>
      <c r="C2728" s="2">
        <f t="shared" si="42"/>
        <v>-4.1688439740334964E-3</v>
      </c>
    </row>
    <row r="2729" spans="1:3" x14ac:dyDescent="0.2">
      <c r="A2729" s="1">
        <v>42152</v>
      </c>
      <c r="B2729">
        <v>19.23</v>
      </c>
      <c r="C2729" s="2">
        <f t="shared" si="42"/>
        <v>-1.0395011331048897E-3</v>
      </c>
    </row>
    <row r="2730" spans="1:3" x14ac:dyDescent="0.2">
      <c r="A2730" s="1">
        <v>42151</v>
      </c>
      <c r="B2730">
        <v>19.25</v>
      </c>
      <c r="C2730" s="2">
        <f t="shared" si="42"/>
        <v>1.3598535909598884E-2</v>
      </c>
    </row>
    <row r="2731" spans="1:3" x14ac:dyDescent="0.2">
      <c r="A2731" s="1">
        <v>42150</v>
      </c>
      <c r="B2731">
        <v>18.989999999999998</v>
      </c>
      <c r="C2731" s="2">
        <f t="shared" si="42"/>
        <v>-5.2645434224608443E-4</v>
      </c>
    </row>
    <row r="2732" spans="1:3" x14ac:dyDescent="0.2">
      <c r="A2732" s="1">
        <v>42149</v>
      </c>
      <c r="B2732">
        <v>19</v>
      </c>
      <c r="C2732" s="2">
        <f t="shared" si="42"/>
        <v>-2.6488175468579421E-2</v>
      </c>
    </row>
    <row r="2733" spans="1:3" x14ac:dyDescent="0.2">
      <c r="A2733" s="1">
        <v>42146</v>
      </c>
      <c r="B2733">
        <v>19.510000000000002</v>
      </c>
      <c r="C2733" s="2">
        <f t="shared" si="42"/>
        <v>-1.2226336712110918E-2</v>
      </c>
    </row>
    <row r="2734" spans="1:3" x14ac:dyDescent="0.2">
      <c r="A2734" s="1">
        <v>42145</v>
      </c>
      <c r="B2734">
        <v>19.75</v>
      </c>
      <c r="C2734" s="2">
        <f t="shared" si="42"/>
        <v>1.0689844732494168E-2</v>
      </c>
    </row>
    <row r="2735" spans="1:3" x14ac:dyDescent="0.2">
      <c r="A2735" s="1">
        <v>42144</v>
      </c>
      <c r="B2735">
        <v>19.54</v>
      </c>
      <c r="C2735" s="2">
        <f t="shared" si="42"/>
        <v>-3.0659196218350113E-3</v>
      </c>
    </row>
    <row r="2736" spans="1:3" x14ac:dyDescent="0.2">
      <c r="A2736" s="1">
        <v>42143</v>
      </c>
      <c r="B2736">
        <v>19.600000000000001</v>
      </c>
      <c r="C2736" s="2">
        <f t="shared" si="42"/>
        <v>2.5841231183887328E-2</v>
      </c>
    </row>
    <row r="2737" spans="1:3" x14ac:dyDescent="0.2">
      <c r="A2737" s="1">
        <v>42142</v>
      </c>
      <c r="B2737">
        <v>19.100000000000001</v>
      </c>
      <c r="C2737" s="2">
        <f t="shared" si="42"/>
        <v>1.1055653539166045E-2</v>
      </c>
    </row>
    <row r="2738" spans="1:3" x14ac:dyDescent="0.2">
      <c r="A2738" s="1">
        <v>42139</v>
      </c>
      <c r="B2738">
        <v>18.89</v>
      </c>
      <c r="C2738" s="2">
        <f t="shared" si="42"/>
        <v>6.3728309150008532E-3</v>
      </c>
    </row>
    <row r="2739" spans="1:3" x14ac:dyDescent="0.2">
      <c r="A2739" s="1">
        <v>42138</v>
      </c>
      <c r="B2739">
        <v>18.77</v>
      </c>
      <c r="C2739" s="2">
        <f t="shared" si="42"/>
        <v>9.6360488650647311E-3</v>
      </c>
    </row>
    <row r="2740" spans="1:3" x14ac:dyDescent="0.2">
      <c r="A2740" s="1">
        <v>42137</v>
      </c>
      <c r="B2740">
        <v>18.59</v>
      </c>
      <c r="C2740" s="2">
        <f t="shared" si="42"/>
        <v>-2.14938288014445E-3</v>
      </c>
    </row>
    <row r="2741" spans="1:3" x14ac:dyDescent="0.2">
      <c r="A2741" s="1">
        <v>42136</v>
      </c>
      <c r="B2741">
        <v>18.63</v>
      </c>
      <c r="C2741" s="2">
        <f t="shared" si="42"/>
        <v>3.0520080009359792E-2</v>
      </c>
    </row>
    <row r="2742" spans="1:3" x14ac:dyDescent="0.2">
      <c r="A2742" s="1">
        <v>42135</v>
      </c>
      <c r="B2742">
        <v>18.07</v>
      </c>
      <c r="C2742" s="2">
        <f t="shared" si="42"/>
        <v>3.8813467079723751E-3</v>
      </c>
    </row>
    <row r="2743" spans="1:3" x14ac:dyDescent="0.2">
      <c r="A2743" s="1">
        <v>42132</v>
      </c>
      <c r="B2743">
        <v>18</v>
      </c>
      <c r="C2743" s="2">
        <f t="shared" si="42"/>
        <v>1.8503471564559507E-2</v>
      </c>
    </row>
    <row r="2744" spans="1:3" x14ac:dyDescent="0.2">
      <c r="A2744" s="1">
        <v>42131</v>
      </c>
      <c r="B2744">
        <v>17.670000000000002</v>
      </c>
      <c r="C2744" s="2">
        <f t="shared" si="42"/>
        <v>1.0810916104215676E-2</v>
      </c>
    </row>
    <row r="2745" spans="1:3" x14ac:dyDescent="0.2">
      <c r="A2745" s="1">
        <v>42130</v>
      </c>
      <c r="B2745">
        <v>17.48</v>
      </c>
      <c r="C2745" s="2">
        <f t="shared" si="42"/>
        <v>-8.5446261823894209E-3</v>
      </c>
    </row>
    <row r="2746" spans="1:3" x14ac:dyDescent="0.2">
      <c r="A2746" s="1">
        <v>42129</v>
      </c>
      <c r="B2746">
        <v>17.63</v>
      </c>
      <c r="C2746" s="2">
        <f t="shared" si="42"/>
        <v>-2.1880255770413026E-2</v>
      </c>
    </row>
    <row r="2747" spans="1:3" x14ac:dyDescent="0.2">
      <c r="A2747" s="1">
        <v>42128</v>
      </c>
      <c r="B2747">
        <v>18.02</v>
      </c>
      <c r="C2747" s="2">
        <f t="shared" si="42"/>
        <v>1.397061001363189E-2</v>
      </c>
    </row>
    <row r="2748" spans="1:3" x14ac:dyDescent="0.2">
      <c r="A2748" s="1">
        <v>42124</v>
      </c>
      <c r="B2748">
        <v>17.77</v>
      </c>
      <c r="C2748" s="2">
        <f t="shared" si="42"/>
        <v>2.7383342471360962E-2</v>
      </c>
    </row>
    <row r="2749" spans="1:3" x14ac:dyDescent="0.2">
      <c r="A2749" s="1">
        <v>42123</v>
      </c>
      <c r="B2749">
        <v>17.29</v>
      </c>
      <c r="C2749" s="2">
        <f t="shared" si="42"/>
        <v>-3.3554470050168893E-2</v>
      </c>
    </row>
    <row r="2750" spans="1:3" x14ac:dyDescent="0.2">
      <c r="A2750" s="1">
        <v>42122</v>
      </c>
      <c r="B2750">
        <v>17.88</v>
      </c>
      <c r="C2750" s="2">
        <f t="shared" si="42"/>
        <v>-1.6089112662711864E-2</v>
      </c>
    </row>
    <row r="2751" spans="1:3" x14ac:dyDescent="0.2">
      <c r="A2751" s="1">
        <v>42121</v>
      </c>
      <c r="B2751">
        <v>18.170000000000002</v>
      </c>
      <c r="C2751" s="2">
        <f t="shared" si="42"/>
        <v>-5.5020634125283515E-4</v>
      </c>
    </row>
    <row r="2752" spans="1:3" x14ac:dyDescent="0.2">
      <c r="A2752" s="1">
        <v>42118</v>
      </c>
      <c r="B2752">
        <v>18.18</v>
      </c>
      <c r="C2752" s="2">
        <f t="shared" si="42"/>
        <v>1.1007155761854929E-3</v>
      </c>
    </row>
    <row r="2753" spans="1:3" x14ac:dyDescent="0.2">
      <c r="A2753" s="1">
        <v>42117</v>
      </c>
      <c r="B2753">
        <v>18.16</v>
      </c>
      <c r="C2753" s="2">
        <f t="shared" si="42"/>
        <v>-1.7467693040390832E-2</v>
      </c>
    </row>
    <row r="2754" spans="1:3" x14ac:dyDescent="0.2">
      <c r="A2754" s="1">
        <v>42116</v>
      </c>
      <c r="B2754">
        <v>18.48</v>
      </c>
      <c r="C2754" s="2">
        <f t="shared" si="42"/>
        <v>2.7429037170063883E-2</v>
      </c>
    </row>
    <row r="2755" spans="1:3" x14ac:dyDescent="0.2">
      <c r="A2755" s="1">
        <v>42115</v>
      </c>
      <c r="B2755">
        <v>17.98</v>
      </c>
      <c r="C2755" s="2">
        <f t="shared" ref="C2755:C2818" si="43">+LN(B2755/B2756)</f>
        <v>1.0061571745434841E-2</v>
      </c>
    </row>
    <row r="2756" spans="1:3" x14ac:dyDescent="0.2">
      <c r="A2756" s="1">
        <v>42114</v>
      </c>
      <c r="B2756">
        <v>17.8</v>
      </c>
      <c r="C2756" s="2">
        <f t="shared" si="43"/>
        <v>-1.7265814597282533E-2</v>
      </c>
    </row>
    <row r="2757" spans="1:3" x14ac:dyDescent="0.2">
      <c r="A2757" s="1">
        <v>42111</v>
      </c>
      <c r="B2757">
        <v>18.11</v>
      </c>
      <c r="C2757" s="2">
        <f t="shared" si="43"/>
        <v>-2.4544455462732463E-2</v>
      </c>
    </row>
    <row r="2758" spans="1:3" x14ac:dyDescent="0.2">
      <c r="A2758" s="1">
        <v>42110</v>
      </c>
      <c r="B2758">
        <v>18.559999999999999</v>
      </c>
      <c r="C2758" s="2">
        <f t="shared" si="43"/>
        <v>-2.0267360399877785E-2</v>
      </c>
    </row>
    <row r="2759" spans="1:3" x14ac:dyDescent="0.2">
      <c r="A2759" s="1">
        <v>42109</v>
      </c>
      <c r="B2759">
        <v>18.940000000000001</v>
      </c>
      <c r="C2759" s="2">
        <f t="shared" si="43"/>
        <v>1.865228602457969E-2</v>
      </c>
    </row>
    <row r="2760" spans="1:3" x14ac:dyDescent="0.2">
      <c r="A2760" s="1">
        <v>42108</v>
      </c>
      <c r="B2760">
        <v>18.59</v>
      </c>
      <c r="C2760" s="2">
        <f t="shared" si="43"/>
        <v>-6.9686693160933158E-3</v>
      </c>
    </row>
    <row r="2761" spans="1:3" x14ac:dyDescent="0.2">
      <c r="A2761" s="1">
        <v>42107</v>
      </c>
      <c r="B2761">
        <v>18.72</v>
      </c>
      <c r="C2761" s="2">
        <f t="shared" si="43"/>
        <v>4.8192864359489218E-3</v>
      </c>
    </row>
    <row r="2762" spans="1:3" x14ac:dyDescent="0.2">
      <c r="A2762" s="1">
        <v>42104</v>
      </c>
      <c r="B2762">
        <v>18.63</v>
      </c>
      <c r="C2762" s="2">
        <f t="shared" si="43"/>
        <v>3.1627499834607123E-2</v>
      </c>
    </row>
    <row r="2763" spans="1:3" x14ac:dyDescent="0.2">
      <c r="A2763" s="1">
        <v>42103</v>
      </c>
      <c r="B2763">
        <v>18.05</v>
      </c>
      <c r="C2763" s="2">
        <f t="shared" si="43"/>
        <v>-2.2136146283138289E-3</v>
      </c>
    </row>
    <row r="2764" spans="1:3" x14ac:dyDescent="0.2">
      <c r="A2764" s="1">
        <v>42102</v>
      </c>
      <c r="B2764">
        <v>18.09</v>
      </c>
      <c r="C2764" s="2">
        <f t="shared" si="43"/>
        <v>5.543251444762011E-3</v>
      </c>
    </row>
    <row r="2765" spans="1:3" x14ac:dyDescent="0.2">
      <c r="A2765" s="1">
        <v>42101</v>
      </c>
      <c r="B2765">
        <v>17.989999999999998</v>
      </c>
      <c r="C2765" s="2">
        <f t="shared" si="43"/>
        <v>1.3430532041016827E-2</v>
      </c>
    </row>
    <row r="2766" spans="1:3" x14ac:dyDescent="0.2">
      <c r="A2766" s="1">
        <v>42096</v>
      </c>
      <c r="B2766">
        <v>17.75</v>
      </c>
      <c r="C2766" s="2">
        <f t="shared" si="43"/>
        <v>6.2164653427794732E-3</v>
      </c>
    </row>
    <row r="2767" spans="1:3" x14ac:dyDescent="0.2">
      <c r="A2767" s="1">
        <v>42095</v>
      </c>
      <c r="B2767">
        <v>17.64</v>
      </c>
      <c r="C2767" s="2">
        <f t="shared" si="43"/>
        <v>1.3698844358161927E-2</v>
      </c>
    </row>
    <row r="2768" spans="1:3" x14ac:dyDescent="0.2">
      <c r="A2768" s="1">
        <v>42094</v>
      </c>
      <c r="B2768">
        <v>17.399999999999999</v>
      </c>
      <c r="C2768" s="2">
        <f t="shared" si="43"/>
        <v>-1.1428695823622968E-2</v>
      </c>
    </row>
    <row r="2769" spans="1:3" x14ac:dyDescent="0.2">
      <c r="A2769" s="1">
        <v>42093</v>
      </c>
      <c r="B2769">
        <v>17.600000000000001</v>
      </c>
      <c r="C2769" s="2">
        <f t="shared" si="43"/>
        <v>5.3688505113505494E-2</v>
      </c>
    </row>
    <row r="2770" spans="1:3" x14ac:dyDescent="0.2">
      <c r="A2770" s="1">
        <v>42090</v>
      </c>
      <c r="B2770">
        <v>16.68</v>
      </c>
      <c r="C2770" s="2">
        <f t="shared" si="43"/>
        <v>-3.6496104573132605E-2</v>
      </c>
    </row>
    <row r="2771" spans="1:3" x14ac:dyDescent="0.2">
      <c r="A2771" s="1">
        <v>42089</v>
      </c>
      <c r="B2771">
        <v>17.3</v>
      </c>
      <c r="C2771" s="2">
        <f t="shared" si="43"/>
        <v>-1.1494379425735021E-2</v>
      </c>
    </row>
    <row r="2772" spans="1:3" x14ac:dyDescent="0.2">
      <c r="A2772" s="1">
        <v>42088</v>
      </c>
      <c r="B2772">
        <v>17.5</v>
      </c>
      <c r="C2772" s="2">
        <f t="shared" si="43"/>
        <v>-5.6980211146377786E-3</v>
      </c>
    </row>
    <row r="2773" spans="1:3" x14ac:dyDescent="0.2">
      <c r="A2773" s="1">
        <v>42087</v>
      </c>
      <c r="B2773">
        <v>17.600000000000001</v>
      </c>
      <c r="C2773" s="2">
        <f t="shared" si="43"/>
        <v>-1.7030943656726209E-3</v>
      </c>
    </row>
    <row r="2774" spans="1:3" x14ac:dyDescent="0.2">
      <c r="A2774" s="1">
        <v>42086</v>
      </c>
      <c r="B2774">
        <v>17.63</v>
      </c>
      <c r="C2774" s="2">
        <f t="shared" si="43"/>
        <v>6.8298501120181787E-3</v>
      </c>
    </row>
    <row r="2775" spans="1:3" x14ac:dyDescent="0.2">
      <c r="A2775" s="1">
        <v>42083</v>
      </c>
      <c r="B2775">
        <v>17.510000000000002</v>
      </c>
      <c r="C2775" s="2">
        <f t="shared" si="43"/>
        <v>4.0057278169269026E-3</v>
      </c>
    </row>
    <row r="2776" spans="1:3" x14ac:dyDescent="0.2">
      <c r="A2776" s="1">
        <v>42082</v>
      </c>
      <c r="B2776">
        <v>17.440000000000001</v>
      </c>
      <c r="C2776" s="2">
        <f t="shared" si="43"/>
        <v>9.2166551049240476E-3</v>
      </c>
    </row>
    <row r="2777" spans="1:3" x14ac:dyDescent="0.2">
      <c r="A2777" s="1">
        <v>42081</v>
      </c>
      <c r="B2777">
        <v>17.28</v>
      </c>
      <c r="C2777" s="2">
        <f t="shared" si="43"/>
        <v>-2.4014876203873738E-2</v>
      </c>
    </row>
    <row r="2778" spans="1:3" x14ac:dyDescent="0.2">
      <c r="A2778" s="1">
        <v>42080</v>
      </c>
      <c r="B2778">
        <v>17.7</v>
      </c>
      <c r="C2778" s="2">
        <f t="shared" si="43"/>
        <v>-1.2352767967001051E-2</v>
      </c>
    </row>
    <row r="2779" spans="1:3" x14ac:dyDescent="0.2">
      <c r="A2779" s="1">
        <v>42079</v>
      </c>
      <c r="B2779">
        <v>17.920000000000002</v>
      </c>
      <c r="C2779" s="2">
        <f t="shared" si="43"/>
        <v>1.8586848797317718E-2</v>
      </c>
    </row>
    <row r="2780" spans="1:3" x14ac:dyDescent="0.2">
      <c r="A2780" s="1">
        <v>42076</v>
      </c>
      <c r="B2780">
        <v>17.59</v>
      </c>
      <c r="C2780" s="2">
        <f t="shared" si="43"/>
        <v>3.176703734829707E-2</v>
      </c>
    </row>
    <row r="2781" spans="1:3" x14ac:dyDescent="0.2">
      <c r="A2781" s="1">
        <v>42075</v>
      </c>
      <c r="B2781">
        <v>17.04</v>
      </c>
      <c r="C2781" s="2">
        <f t="shared" si="43"/>
        <v>-7.0175726586466465E-3</v>
      </c>
    </row>
    <row r="2782" spans="1:3" x14ac:dyDescent="0.2">
      <c r="A2782" s="1">
        <v>42074</v>
      </c>
      <c r="B2782">
        <v>17.16</v>
      </c>
      <c r="C2782" s="2">
        <f t="shared" si="43"/>
        <v>3.1372800854980044E-2</v>
      </c>
    </row>
    <row r="2783" spans="1:3" x14ac:dyDescent="0.2">
      <c r="A2783" s="1">
        <v>42073</v>
      </c>
      <c r="B2783">
        <v>16.63</v>
      </c>
      <c r="C2783" s="2">
        <f t="shared" si="43"/>
        <v>-1.8023435338603655E-3</v>
      </c>
    </row>
    <row r="2784" spans="1:3" x14ac:dyDescent="0.2">
      <c r="A2784" s="1">
        <v>42072</v>
      </c>
      <c r="B2784">
        <v>16.66</v>
      </c>
      <c r="C2784" s="2">
        <f t="shared" si="43"/>
        <v>3.6079413761990835E-3</v>
      </c>
    </row>
    <row r="2785" spans="1:3" x14ac:dyDescent="0.2">
      <c r="A2785" s="1">
        <v>42069</v>
      </c>
      <c r="B2785">
        <v>16.600000000000001</v>
      </c>
      <c r="C2785" s="2">
        <f t="shared" si="43"/>
        <v>6.0259116014451395E-4</v>
      </c>
    </row>
    <row r="2786" spans="1:3" x14ac:dyDescent="0.2">
      <c r="A2786" s="1">
        <v>42068</v>
      </c>
      <c r="B2786">
        <v>16.59</v>
      </c>
      <c r="C2786" s="2">
        <f t="shared" si="43"/>
        <v>2.6261051109403879E-2</v>
      </c>
    </row>
    <row r="2787" spans="1:3" x14ac:dyDescent="0.2">
      <c r="A2787" s="1">
        <v>42067</v>
      </c>
      <c r="B2787">
        <v>16.16</v>
      </c>
      <c r="C2787" s="2">
        <f t="shared" si="43"/>
        <v>2.4783160144670005E-3</v>
      </c>
    </row>
    <row r="2788" spans="1:3" x14ac:dyDescent="0.2">
      <c r="A2788" s="1">
        <v>42066</v>
      </c>
      <c r="B2788">
        <v>16.12</v>
      </c>
      <c r="C2788" s="2">
        <f t="shared" si="43"/>
        <v>-7.416597655049483E-3</v>
      </c>
    </row>
    <row r="2789" spans="1:3" x14ac:dyDescent="0.2">
      <c r="A2789" s="1">
        <v>42065</v>
      </c>
      <c r="B2789">
        <v>16.239999999999998</v>
      </c>
      <c r="C2789" s="2">
        <f t="shared" si="43"/>
        <v>9.2793737292399987E-3</v>
      </c>
    </row>
    <row r="2790" spans="1:3" x14ac:dyDescent="0.2">
      <c r="A2790" s="1">
        <v>42062</v>
      </c>
      <c r="B2790">
        <v>16.09</v>
      </c>
      <c r="C2790" s="2">
        <f t="shared" si="43"/>
        <v>-1.0510143115372773E-2</v>
      </c>
    </row>
    <row r="2791" spans="1:3" x14ac:dyDescent="0.2">
      <c r="A2791" s="1">
        <v>42061</v>
      </c>
      <c r="B2791">
        <v>16.260000000000002</v>
      </c>
      <c r="C2791" s="2">
        <f t="shared" si="43"/>
        <v>4.0796369592324015E-2</v>
      </c>
    </row>
    <row r="2792" spans="1:3" x14ac:dyDescent="0.2">
      <c r="A2792" s="1">
        <v>42060</v>
      </c>
      <c r="B2792">
        <v>15.61</v>
      </c>
      <c r="C2792" s="2">
        <f t="shared" si="43"/>
        <v>1.5494176976836275E-2</v>
      </c>
    </row>
    <row r="2793" spans="1:3" x14ac:dyDescent="0.2">
      <c r="A2793" s="1">
        <v>42059</v>
      </c>
      <c r="B2793">
        <v>15.37</v>
      </c>
      <c r="C2793" s="2">
        <f t="shared" si="43"/>
        <v>6.5274383199633475E-3</v>
      </c>
    </row>
    <row r="2794" spans="1:3" x14ac:dyDescent="0.2">
      <c r="A2794" s="1">
        <v>42058</v>
      </c>
      <c r="B2794">
        <v>15.27</v>
      </c>
      <c r="C2794" s="2">
        <f t="shared" si="43"/>
        <v>7.2297390163153759E-3</v>
      </c>
    </row>
    <row r="2795" spans="1:3" x14ac:dyDescent="0.2">
      <c r="A2795" s="1">
        <v>42055</v>
      </c>
      <c r="B2795">
        <v>15.16</v>
      </c>
      <c r="C2795" s="2">
        <f t="shared" si="43"/>
        <v>-1.570712920535788E-2</v>
      </c>
    </row>
    <row r="2796" spans="1:3" x14ac:dyDescent="0.2">
      <c r="A2796" s="1">
        <v>42054</v>
      </c>
      <c r="B2796">
        <v>15.4</v>
      </c>
      <c r="C2796" s="2">
        <f t="shared" si="43"/>
        <v>2.6317308317373358E-2</v>
      </c>
    </row>
    <row r="2797" spans="1:3" x14ac:dyDescent="0.2">
      <c r="A2797" s="1">
        <v>42053</v>
      </c>
      <c r="B2797">
        <v>15</v>
      </c>
      <c r="C2797" s="2">
        <f t="shared" si="43"/>
        <v>7.360354406292317E-3</v>
      </c>
    </row>
    <row r="2798" spans="1:3" x14ac:dyDescent="0.2">
      <c r="A2798" s="1">
        <v>42052</v>
      </c>
      <c r="B2798">
        <v>14.89</v>
      </c>
      <c r="C2798" s="2">
        <f t="shared" si="43"/>
        <v>1.0803616221378811E-2</v>
      </c>
    </row>
    <row r="2799" spans="1:3" x14ac:dyDescent="0.2">
      <c r="A2799" s="1">
        <v>42051</v>
      </c>
      <c r="B2799">
        <v>14.73</v>
      </c>
      <c r="C2799" s="2">
        <f t="shared" si="43"/>
        <v>2.8927636906179426E-2</v>
      </c>
    </row>
    <row r="2800" spans="1:3" x14ac:dyDescent="0.2">
      <c r="A2800" s="1">
        <v>42048</v>
      </c>
      <c r="B2800">
        <v>14.31</v>
      </c>
      <c r="C2800" s="2">
        <f t="shared" si="43"/>
        <v>-6.2696130135953742E-3</v>
      </c>
    </row>
    <row r="2801" spans="1:3" x14ac:dyDescent="0.2">
      <c r="A2801" s="1">
        <v>42047</v>
      </c>
      <c r="B2801">
        <v>14.4</v>
      </c>
      <c r="C2801" s="2">
        <f t="shared" si="43"/>
        <v>4.1835239160754267E-2</v>
      </c>
    </row>
    <row r="2802" spans="1:3" x14ac:dyDescent="0.2">
      <c r="A2802" s="1">
        <v>42046</v>
      </c>
      <c r="B2802">
        <v>13.81</v>
      </c>
      <c r="C2802" s="2">
        <f t="shared" si="43"/>
        <v>-6.4958727154453269E-3</v>
      </c>
    </row>
    <row r="2803" spans="1:3" x14ac:dyDescent="0.2">
      <c r="A2803" s="1">
        <v>42045</v>
      </c>
      <c r="B2803">
        <v>13.9</v>
      </c>
      <c r="C2803" s="2">
        <f t="shared" si="43"/>
        <v>2.1819047394639888E-2</v>
      </c>
    </row>
    <row r="2804" spans="1:3" x14ac:dyDescent="0.2">
      <c r="A2804" s="1">
        <v>42044</v>
      </c>
      <c r="B2804">
        <v>13.6</v>
      </c>
      <c r="C2804" s="2">
        <f t="shared" si="43"/>
        <v>-8.7848295557329155E-3</v>
      </c>
    </row>
    <row r="2805" spans="1:3" x14ac:dyDescent="0.2">
      <c r="A2805" s="1">
        <v>42041</v>
      </c>
      <c r="B2805">
        <v>13.72</v>
      </c>
      <c r="C2805" s="2">
        <f t="shared" si="43"/>
        <v>1.4587894636600882E-3</v>
      </c>
    </row>
    <row r="2806" spans="1:3" x14ac:dyDescent="0.2">
      <c r="A2806" s="1">
        <v>42040</v>
      </c>
      <c r="B2806">
        <v>13.7</v>
      </c>
      <c r="C2806" s="2">
        <f t="shared" si="43"/>
        <v>-1.4493007302566864E-2</v>
      </c>
    </row>
    <row r="2807" spans="1:3" x14ac:dyDescent="0.2">
      <c r="A2807" s="1">
        <v>42039</v>
      </c>
      <c r="B2807">
        <v>13.9</v>
      </c>
      <c r="C2807" s="2">
        <f t="shared" si="43"/>
        <v>-2.9069753431713485E-2</v>
      </c>
    </row>
    <row r="2808" spans="1:3" x14ac:dyDescent="0.2">
      <c r="A2808" s="1">
        <v>42038</v>
      </c>
      <c r="B2808">
        <v>14.31</v>
      </c>
      <c r="C2808" s="2">
        <f t="shared" si="43"/>
        <v>1.7624707185840631E-2</v>
      </c>
    </row>
    <row r="2809" spans="1:3" x14ac:dyDescent="0.2">
      <c r="A2809" s="1">
        <v>42037</v>
      </c>
      <c r="B2809">
        <v>14.06</v>
      </c>
      <c r="C2809" s="2">
        <f t="shared" si="43"/>
        <v>-4.1106449080557446E-2</v>
      </c>
    </row>
    <row r="2810" spans="1:3" x14ac:dyDescent="0.2">
      <c r="A2810" s="1">
        <v>42034</v>
      </c>
      <c r="B2810">
        <v>14.65</v>
      </c>
      <c r="C2810" s="2">
        <f t="shared" si="43"/>
        <v>2.4180798197214613E-2</v>
      </c>
    </row>
    <row r="2811" spans="1:3" x14ac:dyDescent="0.2">
      <c r="A2811" s="1">
        <v>42033</v>
      </c>
      <c r="B2811">
        <v>14.3</v>
      </c>
      <c r="C2811" s="2">
        <f t="shared" si="43"/>
        <v>-3.4904049397684908E-3</v>
      </c>
    </row>
    <row r="2812" spans="1:3" x14ac:dyDescent="0.2">
      <c r="A2812" s="1">
        <v>42032</v>
      </c>
      <c r="B2812">
        <v>14.35</v>
      </c>
      <c r="C2812" s="2">
        <f t="shared" si="43"/>
        <v>-5.5594305801494256E-3</v>
      </c>
    </row>
    <row r="2813" spans="1:3" x14ac:dyDescent="0.2">
      <c r="A2813" s="1">
        <v>42031</v>
      </c>
      <c r="B2813">
        <v>14.43</v>
      </c>
      <c r="C2813" s="2">
        <f t="shared" si="43"/>
        <v>2.0301712317352793E-2</v>
      </c>
    </row>
    <row r="2814" spans="1:3" x14ac:dyDescent="0.2">
      <c r="A2814" s="1">
        <v>42030</v>
      </c>
      <c r="B2814">
        <v>14.14</v>
      </c>
      <c r="C2814" s="2">
        <f t="shared" si="43"/>
        <v>3.5423345578380048E-3</v>
      </c>
    </row>
    <row r="2815" spans="1:3" x14ac:dyDescent="0.2">
      <c r="A2815" s="1">
        <v>42027</v>
      </c>
      <c r="B2815">
        <v>14.09</v>
      </c>
      <c r="C2815" s="2">
        <f t="shared" si="43"/>
        <v>1.1420538118874628E-2</v>
      </c>
    </row>
    <row r="2816" spans="1:3" x14ac:dyDescent="0.2">
      <c r="A2816" s="1">
        <v>42026</v>
      </c>
      <c r="B2816">
        <v>13.93</v>
      </c>
      <c r="C2816" s="2">
        <f t="shared" si="43"/>
        <v>1.4461568011834541E-2</v>
      </c>
    </row>
    <row r="2817" spans="1:3" x14ac:dyDescent="0.2">
      <c r="A2817" s="1">
        <v>42025</v>
      </c>
      <c r="B2817">
        <v>13.73</v>
      </c>
      <c r="C2817" s="2">
        <f t="shared" si="43"/>
        <v>-8.7020128534677256E-3</v>
      </c>
    </row>
    <row r="2818" spans="1:3" x14ac:dyDescent="0.2">
      <c r="A2818" s="1">
        <v>42024</v>
      </c>
      <c r="B2818">
        <v>13.85</v>
      </c>
      <c r="C2818" s="2">
        <f t="shared" si="43"/>
        <v>-7.2176112840962399E-4</v>
      </c>
    </row>
    <row r="2819" spans="1:3" x14ac:dyDescent="0.2">
      <c r="A2819" s="1">
        <v>42023</v>
      </c>
      <c r="B2819">
        <v>13.86</v>
      </c>
      <c r="C2819" s="2">
        <f t="shared" ref="C2819:C2882" si="44">+LN(B2819/B2820)</f>
        <v>1.0881500187533987E-2</v>
      </c>
    </row>
    <row r="2820" spans="1:3" x14ac:dyDescent="0.2">
      <c r="A2820" s="1">
        <v>42020</v>
      </c>
      <c r="B2820">
        <v>13.71</v>
      </c>
      <c r="C2820" s="2">
        <f t="shared" si="44"/>
        <v>1.2477226090094188E-2</v>
      </c>
    </row>
    <row r="2821" spans="1:3" x14ac:dyDescent="0.2">
      <c r="A2821" s="1">
        <v>42019</v>
      </c>
      <c r="B2821">
        <v>13.54</v>
      </c>
      <c r="C2821" s="2">
        <f t="shared" si="44"/>
        <v>-2.2132063626488958E-3</v>
      </c>
    </row>
    <row r="2822" spans="1:3" x14ac:dyDescent="0.2">
      <c r="A2822" s="1">
        <v>42018</v>
      </c>
      <c r="B2822">
        <v>13.57</v>
      </c>
      <c r="C2822" s="2">
        <f t="shared" si="44"/>
        <v>-3.6778268745884515E-3</v>
      </c>
    </row>
    <row r="2823" spans="1:3" x14ac:dyDescent="0.2">
      <c r="A2823" s="1">
        <v>42017</v>
      </c>
      <c r="B2823">
        <v>13.62</v>
      </c>
      <c r="C2823" s="2">
        <f t="shared" si="44"/>
        <v>1.256019467351817E-2</v>
      </c>
    </row>
    <row r="2824" spans="1:3" x14ac:dyDescent="0.2">
      <c r="A2824" s="1">
        <v>42016</v>
      </c>
      <c r="B2824">
        <v>13.45</v>
      </c>
      <c r="C2824" s="2">
        <f t="shared" si="44"/>
        <v>5.9657149339963408E-3</v>
      </c>
    </row>
    <row r="2825" spans="1:3" x14ac:dyDescent="0.2">
      <c r="A2825" s="1">
        <v>42013</v>
      </c>
      <c r="B2825">
        <v>13.37</v>
      </c>
      <c r="C2825" s="2">
        <f t="shared" si="44"/>
        <v>1.6591632490078261E-2</v>
      </c>
    </row>
    <row r="2826" spans="1:3" x14ac:dyDescent="0.2">
      <c r="A2826" s="1">
        <v>42012</v>
      </c>
      <c r="B2826">
        <v>13.15</v>
      </c>
      <c r="C2826" s="2">
        <f t="shared" si="44"/>
        <v>1.2241927941265289E-2</v>
      </c>
    </row>
    <row r="2827" spans="1:3" x14ac:dyDescent="0.2">
      <c r="A2827" s="1">
        <v>42011</v>
      </c>
      <c r="B2827">
        <v>12.99</v>
      </c>
      <c r="C2827" s="2">
        <f t="shared" si="44"/>
        <v>-8.4323995245976259E-3</v>
      </c>
    </row>
    <row r="2828" spans="1:3" x14ac:dyDescent="0.2">
      <c r="A2828" s="1">
        <v>42010</v>
      </c>
      <c r="B2828">
        <v>13.1</v>
      </c>
      <c r="C2828" s="2">
        <f t="shared" si="44"/>
        <v>-1.1385322225125352E-2</v>
      </c>
    </row>
    <row r="2829" spans="1:3" x14ac:dyDescent="0.2">
      <c r="A2829" s="1">
        <v>42009</v>
      </c>
      <c r="B2829">
        <v>13.25</v>
      </c>
      <c r="C2829" s="2">
        <f t="shared" si="44"/>
        <v>1.444342858394612E-2</v>
      </c>
    </row>
    <row r="2830" spans="1:3" x14ac:dyDescent="0.2">
      <c r="A2830" s="1">
        <v>42006</v>
      </c>
      <c r="B2830">
        <v>13.06</v>
      </c>
      <c r="C2830" s="2">
        <f t="shared" si="44"/>
        <v>1.621031250705636E-2</v>
      </c>
    </row>
    <row r="2831" spans="1:3" x14ac:dyDescent="0.2">
      <c r="A2831" s="1">
        <v>42003</v>
      </c>
      <c r="B2831">
        <v>12.85</v>
      </c>
      <c r="C2831" s="2">
        <f t="shared" si="44"/>
        <v>-1.3910579795524968E-2</v>
      </c>
    </row>
    <row r="2832" spans="1:3" x14ac:dyDescent="0.2">
      <c r="A2832" s="1">
        <v>42002</v>
      </c>
      <c r="B2832">
        <v>13.03</v>
      </c>
      <c r="C2832" s="2">
        <f t="shared" si="44"/>
        <v>6.9311020639991521E-3</v>
      </c>
    </row>
    <row r="2833" spans="1:3" x14ac:dyDescent="0.2">
      <c r="A2833" s="1">
        <v>41996</v>
      </c>
      <c r="B2833">
        <v>12.94</v>
      </c>
      <c r="C2833" s="2">
        <f t="shared" si="44"/>
        <v>-1.5444018513742473E-3</v>
      </c>
    </row>
    <row r="2834" spans="1:3" x14ac:dyDescent="0.2">
      <c r="A2834" s="1">
        <v>41995</v>
      </c>
      <c r="B2834">
        <v>12.96</v>
      </c>
      <c r="C2834" s="2">
        <f t="shared" si="44"/>
        <v>2.317498140362704E-3</v>
      </c>
    </row>
    <row r="2835" spans="1:3" x14ac:dyDescent="0.2">
      <c r="A2835" s="1">
        <v>41992</v>
      </c>
      <c r="B2835">
        <v>12.93</v>
      </c>
      <c r="C2835" s="2">
        <f t="shared" si="44"/>
        <v>-8.47136371474079E-3</v>
      </c>
    </row>
    <row r="2836" spans="1:3" x14ac:dyDescent="0.2">
      <c r="A2836" s="1">
        <v>41991</v>
      </c>
      <c r="B2836">
        <v>13.04</v>
      </c>
      <c r="C2836" s="2">
        <f t="shared" si="44"/>
        <v>9.2450581440509903E-3</v>
      </c>
    </row>
    <row r="2837" spans="1:3" x14ac:dyDescent="0.2">
      <c r="A2837" s="1">
        <v>41990</v>
      </c>
      <c r="B2837">
        <v>12.92</v>
      </c>
      <c r="C2837" s="2">
        <f t="shared" si="44"/>
        <v>-3.0911925696729694E-3</v>
      </c>
    </row>
    <row r="2838" spans="1:3" x14ac:dyDescent="0.2">
      <c r="A2838" s="1">
        <v>41989</v>
      </c>
      <c r="B2838">
        <v>12.96</v>
      </c>
      <c r="C2838" s="2">
        <f t="shared" si="44"/>
        <v>-2.3121397583795024E-3</v>
      </c>
    </row>
    <row r="2839" spans="1:3" x14ac:dyDescent="0.2">
      <c r="A2839" s="1">
        <v>41988</v>
      </c>
      <c r="B2839">
        <v>12.99</v>
      </c>
      <c r="C2839" s="2">
        <f t="shared" si="44"/>
        <v>-3.1074876274357528E-2</v>
      </c>
    </row>
    <row r="2840" spans="1:3" x14ac:dyDescent="0.2">
      <c r="A2840" s="1">
        <v>41985</v>
      </c>
      <c r="B2840">
        <v>13.4</v>
      </c>
      <c r="C2840" s="2">
        <f t="shared" si="44"/>
        <v>-4.4676172597160448E-3</v>
      </c>
    </row>
    <row r="2841" spans="1:3" x14ac:dyDescent="0.2">
      <c r="A2841" s="1">
        <v>41984</v>
      </c>
      <c r="B2841">
        <v>13.46</v>
      </c>
      <c r="C2841" s="2">
        <f t="shared" si="44"/>
        <v>1.346318016829412E-2</v>
      </c>
    </row>
    <row r="2842" spans="1:3" x14ac:dyDescent="0.2">
      <c r="A2842" s="1">
        <v>41983</v>
      </c>
      <c r="B2842">
        <v>13.28</v>
      </c>
      <c r="C2842" s="2">
        <f t="shared" si="44"/>
        <v>-4.5078964391899283E-3</v>
      </c>
    </row>
    <row r="2843" spans="1:3" x14ac:dyDescent="0.2">
      <c r="A2843" s="1">
        <v>41982</v>
      </c>
      <c r="B2843">
        <v>13.34</v>
      </c>
      <c r="C2843" s="2">
        <f t="shared" si="44"/>
        <v>-3.0271783625102678E-2</v>
      </c>
    </row>
    <row r="2844" spans="1:3" x14ac:dyDescent="0.2">
      <c r="A2844" s="1">
        <v>41981</v>
      </c>
      <c r="B2844">
        <v>13.75</v>
      </c>
      <c r="C2844" s="2">
        <f t="shared" si="44"/>
        <v>-7.9681696491768449E-3</v>
      </c>
    </row>
    <row r="2845" spans="1:3" x14ac:dyDescent="0.2">
      <c r="A2845" s="1">
        <v>41978</v>
      </c>
      <c r="B2845">
        <v>13.86</v>
      </c>
      <c r="C2845" s="2">
        <f t="shared" si="44"/>
        <v>5.0633019565468548E-3</v>
      </c>
    </row>
    <row r="2846" spans="1:3" x14ac:dyDescent="0.2">
      <c r="A2846" s="1">
        <v>41977</v>
      </c>
      <c r="B2846">
        <v>13.79</v>
      </c>
      <c r="C2846" s="2">
        <f t="shared" si="44"/>
        <v>-5.063301956546762E-3</v>
      </c>
    </row>
    <row r="2847" spans="1:3" x14ac:dyDescent="0.2">
      <c r="A2847" s="1">
        <v>41976</v>
      </c>
      <c r="B2847">
        <v>13.86</v>
      </c>
      <c r="C2847" s="2">
        <f t="shared" si="44"/>
        <v>7.2176112840967711E-4</v>
      </c>
    </row>
    <row r="2848" spans="1:3" x14ac:dyDescent="0.2">
      <c r="A2848" s="1">
        <v>41975</v>
      </c>
      <c r="B2848">
        <v>13.85</v>
      </c>
      <c r="C2848" s="2">
        <f t="shared" si="44"/>
        <v>-1.7889564750775057E-2</v>
      </c>
    </row>
    <row r="2849" spans="1:3" x14ac:dyDescent="0.2">
      <c r="A2849" s="1">
        <v>41974</v>
      </c>
      <c r="B2849">
        <v>14.1</v>
      </c>
      <c r="C2849" s="2">
        <f t="shared" si="44"/>
        <v>2.8409110016036497E-3</v>
      </c>
    </row>
    <row r="2850" spans="1:3" x14ac:dyDescent="0.2">
      <c r="A2850" s="1">
        <v>41971</v>
      </c>
      <c r="B2850">
        <v>14.06</v>
      </c>
      <c r="C2850" s="2">
        <f t="shared" si="44"/>
        <v>8.5714810501411835E-3</v>
      </c>
    </row>
    <row r="2851" spans="1:3" x14ac:dyDescent="0.2">
      <c r="A2851" s="1">
        <v>41970</v>
      </c>
      <c r="B2851">
        <v>13.94</v>
      </c>
      <c r="C2851" s="2">
        <f t="shared" si="44"/>
        <v>8.6455869928540319E-3</v>
      </c>
    </row>
    <row r="2852" spans="1:3" x14ac:dyDescent="0.2">
      <c r="A2852" s="1">
        <v>41969</v>
      </c>
      <c r="B2852">
        <v>13.82</v>
      </c>
      <c r="C2852" s="2">
        <f t="shared" si="44"/>
        <v>0</v>
      </c>
    </row>
    <row r="2853" spans="1:3" x14ac:dyDescent="0.2">
      <c r="A2853" s="1">
        <v>41968</v>
      </c>
      <c r="B2853">
        <v>13.82</v>
      </c>
      <c r="C2853" s="2">
        <f t="shared" si="44"/>
        <v>7.2621960417846958E-3</v>
      </c>
    </row>
    <row r="2854" spans="1:3" x14ac:dyDescent="0.2">
      <c r="A2854" s="1">
        <v>41967</v>
      </c>
      <c r="B2854">
        <v>13.72</v>
      </c>
      <c r="C2854" s="2">
        <f t="shared" si="44"/>
        <v>-7.9855233789276076E-3</v>
      </c>
    </row>
    <row r="2855" spans="1:3" x14ac:dyDescent="0.2">
      <c r="A2855" s="1">
        <v>41964</v>
      </c>
      <c r="B2855">
        <v>13.83</v>
      </c>
      <c r="C2855" s="2">
        <f t="shared" si="44"/>
        <v>-3.608809401991609E-3</v>
      </c>
    </row>
    <row r="2856" spans="1:3" x14ac:dyDescent="0.2">
      <c r="A2856" s="1">
        <v>41963</v>
      </c>
      <c r="B2856">
        <v>13.88</v>
      </c>
      <c r="C2856" s="2">
        <f t="shared" si="44"/>
        <v>-6.4632181902120047E-3</v>
      </c>
    </row>
    <row r="2857" spans="1:3" x14ac:dyDescent="0.2">
      <c r="A2857" s="1">
        <v>41962</v>
      </c>
      <c r="B2857">
        <v>13.97</v>
      </c>
      <c r="C2857" s="2">
        <f t="shared" si="44"/>
        <v>1.3693907683357943E-2</v>
      </c>
    </row>
    <row r="2858" spans="1:3" x14ac:dyDescent="0.2">
      <c r="A2858" s="1">
        <v>41961</v>
      </c>
      <c r="B2858">
        <v>13.78</v>
      </c>
      <c r="C2858" s="2">
        <f t="shared" si="44"/>
        <v>9.4787439545437387E-3</v>
      </c>
    </row>
    <row r="2859" spans="1:3" x14ac:dyDescent="0.2">
      <c r="A2859" s="1">
        <v>41960</v>
      </c>
      <c r="B2859">
        <v>13.65</v>
      </c>
      <c r="C2859" s="2">
        <f t="shared" si="44"/>
        <v>-1.0204170174241623E-2</v>
      </c>
    </row>
    <row r="2860" spans="1:3" x14ac:dyDescent="0.2">
      <c r="A2860" s="1">
        <v>41957</v>
      </c>
      <c r="B2860">
        <v>13.79</v>
      </c>
      <c r="C2860" s="2">
        <f t="shared" si="44"/>
        <v>4.3604720253306627E-3</v>
      </c>
    </row>
    <row r="2861" spans="1:3" x14ac:dyDescent="0.2">
      <c r="A2861" s="1">
        <v>41956</v>
      </c>
      <c r="B2861">
        <v>13.73</v>
      </c>
      <c r="C2861" s="2">
        <f t="shared" si="44"/>
        <v>-7.2569258967871801E-3</v>
      </c>
    </row>
    <row r="2862" spans="1:3" x14ac:dyDescent="0.2">
      <c r="A2862" s="1">
        <v>41955</v>
      </c>
      <c r="B2862">
        <v>13.83</v>
      </c>
      <c r="C2862" s="2">
        <f t="shared" si="44"/>
        <v>7.9855233789277238E-3</v>
      </c>
    </row>
    <row r="2863" spans="1:3" x14ac:dyDescent="0.2">
      <c r="A2863" s="1">
        <v>41954</v>
      </c>
      <c r="B2863">
        <v>13.72</v>
      </c>
      <c r="C2863" s="2">
        <f t="shared" si="44"/>
        <v>1.39451801150426E-2</v>
      </c>
    </row>
    <row r="2864" spans="1:3" x14ac:dyDescent="0.2">
      <c r="A2864" s="1">
        <v>41953</v>
      </c>
      <c r="B2864">
        <v>13.53</v>
      </c>
      <c r="C2864" s="2">
        <f t="shared" si="44"/>
        <v>2.21975673831281E-3</v>
      </c>
    </row>
    <row r="2865" spans="1:3" x14ac:dyDescent="0.2">
      <c r="A2865" s="1">
        <v>41950</v>
      </c>
      <c r="B2865">
        <v>13.5</v>
      </c>
      <c r="C2865" s="2">
        <f t="shared" si="44"/>
        <v>-1.4706147389695449E-2</v>
      </c>
    </row>
    <row r="2866" spans="1:3" x14ac:dyDescent="0.2">
      <c r="A2866" s="1">
        <v>41949</v>
      </c>
      <c r="B2866">
        <v>13.7</v>
      </c>
      <c r="C2866" s="2">
        <f t="shared" si="44"/>
        <v>-4.369999671118379E-3</v>
      </c>
    </row>
    <row r="2867" spans="1:3" x14ac:dyDescent="0.2">
      <c r="A2867" s="1">
        <v>41948</v>
      </c>
      <c r="B2867">
        <v>13.76</v>
      </c>
      <c r="C2867" s="2">
        <f t="shared" si="44"/>
        <v>2.1826127253178713E-3</v>
      </c>
    </row>
    <row r="2868" spans="1:3" x14ac:dyDescent="0.2">
      <c r="A2868" s="1">
        <v>41947</v>
      </c>
      <c r="B2868">
        <v>13.73</v>
      </c>
      <c r="C2868" s="2">
        <f t="shared" si="44"/>
        <v>-4.3604720253307121E-3</v>
      </c>
    </row>
    <row r="2869" spans="1:3" x14ac:dyDescent="0.2">
      <c r="A2869" s="1">
        <v>41946</v>
      </c>
      <c r="B2869">
        <v>13.79</v>
      </c>
      <c r="C2869" s="2">
        <f t="shared" si="44"/>
        <v>-7.2490035794863363E-4</v>
      </c>
    </row>
    <row r="2870" spans="1:3" x14ac:dyDescent="0.2">
      <c r="A2870" s="1">
        <v>41943</v>
      </c>
      <c r="B2870">
        <v>13.8</v>
      </c>
      <c r="C2870" s="2">
        <f t="shared" si="44"/>
        <v>-3.6166404701884389E-3</v>
      </c>
    </row>
    <row r="2871" spans="1:3" x14ac:dyDescent="0.2">
      <c r="A2871" s="1">
        <v>41942</v>
      </c>
      <c r="B2871">
        <v>13.85</v>
      </c>
      <c r="C2871" s="2">
        <f t="shared" si="44"/>
        <v>1.6011986924906244E-2</v>
      </c>
    </row>
    <row r="2872" spans="1:3" x14ac:dyDescent="0.2">
      <c r="A2872" s="1">
        <v>41941</v>
      </c>
      <c r="B2872">
        <v>13.63</v>
      </c>
      <c r="C2872" s="2">
        <f t="shared" si="44"/>
        <v>2.2256111517823991E-2</v>
      </c>
    </row>
    <row r="2873" spans="1:3" x14ac:dyDescent="0.2">
      <c r="A2873" s="1">
        <v>41940</v>
      </c>
      <c r="B2873">
        <v>13.33</v>
      </c>
      <c r="C2873" s="2">
        <f t="shared" si="44"/>
        <v>3.2789822822990755E-2</v>
      </c>
    </row>
    <row r="2874" spans="1:3" x14ac:dyDescent="0.2">
      <c r="A2874" s="1">
        <v>41939</v>
      </c>
      <c r="B2874">
        <v>12.9</v>
      </c>
      <c r="C2874" s="2">
        <f t="shared" si="44"/>
        <v>-7.7489349092468775E-4</v>
      </c>
    </row>
    <row r="2875" spans="1:3" x14ac:dyDescent="0.2">
      <c r="A2875" s="1">
        <v>41936</v>
      </c>
      <c r="B2875">
        <v>12.91</v>
      </c>
      <c r="C2875" s="2">
        <f t="shared" si="44"/>
        <v>2.3264841823435385E-3</v>
      </c>
    </row>
    <row r="2876" spans="1:3" x14ac:dyDescent="0.2">
      <c r="A2876" s="1">
        <v>41935</v>
      </c>
      <c r="B2876">
        <v>12.88</v>
      </c>
      <c r="C2876" s="2">
        <f t="shared" si="44"/>
        <v>2.2772872619951801E-2</v>
      </c>
    </row>
    <row r="2877" spans="1:3" x14ac:dyDescent="0.2">
      <c r="A2877" s="1">
        <v>41934</v>
      </c>
      <c r="B2877">
        <v>12.59</v>
      </c>
      <c r="C2877" s="2">
        <f t="shared" si="44"/>
        <v>3.2286904563075682E-2</v>
      </c>
    </row>
    <row r="2878" spans="1:3" x14ac:dyDescent="0.2">
      <c r="A2878" s="1">
        <v>41933</v>
      </c>
      <c r="B2878">
        <v>12.19</v>
      </c>
      <c r="C2878" s="2">
        <f t="shared" si="44"/>
        <v>1.7377350805876799E-2</v>
      </c>
    </row>
    <row r="2879" spans="1:3" x14ac:dyDescent="0.2">
      <c r="A2879" s="1">
        <v>41932</v>
      </c>
      <c r="B2879">
        <v>11.98</v>
      </c>
      <c r="C2879" s="2">
        <f t="shared" si="44"/>
        <v>8.3507311742156572E-4</v>
      </c>
    </row>
    <row r="2880" spans="1:3" x14ac:dyDescent="0.2">
      <c r="A2880" s="1">
        <v>41929</v>
      </c>
      <c r="B2880">
        <v>11.97</v>
      </c>
      <c r="C2880" s="2">
        <f t="shared" si="44"/>
        <v>1.0919890114022252E-2</v>
      </c>
    </row>
    <row r="2881" spans="1:3" x14ac:dyDescent="0.2">
      <c r="A2881" s="1">
        <v>41928</v>
      </c>
      <c r="B2881">
        <v>11.84</v>
      </c>
      <c r="C2881" s="2">
        <f t="shared" si="44"/>
        <v>-2.5022156175492603E-2</v>
      </c>
    </row>
    <row r="2882" spans="1:3" x14ac:dyDescent="0.2">
      <c r="A2882" s="1">
        <v>41927</v>
      </c>
      <c r="B2882">
        <v>12.14</v>
      </c>
      <c r="C2882" s="2">
        <f t="shared" si="44"/>
        <v>-2.2802290873980492E-2</v>
      </c>
    </row>
    <row r="2883" spans="1:3" x14ac:dyDescent="0.2">
      <c r="A2883" s="1">
        <v>41926</v>
      </c>
      <c r="B2883">
        <v>12.42</v>
      </c>
      <c r="C2883" s="2">
        <f t="shared" ref="C2883:C2946" si="45">+LN(B2883/B2884)</f>
        <v>4.033890100936288E-3</v>
      </c>
    </row>
    <row r="2884" spans="1:3" x14ac:dyDescent="0.2">
      <c r="A2884" s="1">
        <v>41925</v>
      </c>
      <c r="B2884">
        <v>12.37</v>
      </c>
      <c r="C2884" s="2">
        <f t="shared" si="45"/>
        <v>-1.0454457903858985E-2</v>
      </c>
    </row>
    <row r="2885" spans="1:3" x14ac:dyDescent="0.2">
      <c r="A2885" s="1">
        <v>41922</v>
      </c>
      <c r="B2885">
        <v>12.5</v>
      </c>
      <c r="C2885" s="2">
        <f t="shared" si="45"/>
        <v>9.6463770518053354E-3</v>
      </c>
    </row>
    <row r="2886" spans="1:3" x14ac:dyDescent="0.2">
      <c r="A2886" s="1">
        <v>41921</v>
      </c>
      <c r="B2886">
        <v>12.38</v>
      </c>
      <c r="C2886" s="2">
        <f t="shared" si="45"/>
        <v>8.9250085336300706E-3</v>
      </c>
    </row>
    <row r="2887" spans="1:3" x14ac:dyDescent="0.2">
      <c r="A2887" s="1">
        <v>41920</v>
      </c>
      <c r="B2887">
        <v>12.27</v>
      </c>
      <c r="C2887" s="2">
        <f t="shared" si="45"/>
        <v>-1.5366254636487069E-2</v>
      </c>
    </row>
    <row r="2888" spans="1:3" x14ac:dyDescent="0.2">
      <c r="A2888" s="1">
        <v>41919</v>
      </c>
      <c r="B2888">
        <v>12.46</v>
      </c>
      <c r="C2888" s="2">
        <f t="shared" si="45"/>
        <v>-2.143789921000798E-2</v>
      </c>
    </row>
    <row r="2889" spans="1:3" x14ac:dyDescent="0.2">
      <c r="A2889" s="1">
        <v>41918</v>
      </c>
      <c r="B2889">
        <v>12.73</v>
      </c>
      <c r="C2889" s="2">
        <f t="shared" si="45"/>
        <v>-1.3265898798311257E-2</v>
      </c>
    </row>
    <row r="2890" spans="1:3" x14ac:dyDescent="0.2">
      <c r="A2890" s="1">
        <v>41915</v>
      </c>
      <c r="B2890">
        <v>12.9</v>
      </c>
      <c r="C2890" s="2">
        <f t="shared" si="45"/>
        <v>2.9899945695673971E-2</v>
      </c>
    </row>
    <row r="2891" spans="1:3" x14ac:dyDescent="0.2">
      <c r="A2891" s="1">
        <v>41914</v>
      </c>
      <c r="B2891">
        <v>12.52</v>
      </c>
      <c r="C2891" s="2">
        <f t="shared" si="45"/>
        <v>-3.2222827111813665E-2</v>
      </c>
    </row>
    <row r="2892" spans="1:3" x14ac:dyDescent="0.2">
      <c r="A2892" s="1">
        <v>41913</v>
      </c>
      <c r="B2892">
        <v>12.93</v>
      </c>
      <c r="C2892" s="2">
        <f t="shared" si="45"/>
        <v>-3.8595184921779158E-3</v>
      </c>
    </row>
    <row r="2893" spans="1:3" x14ac:dyDescent="0.2">
      <c r="A2893" s="1">
        <v>41912</v>
      </c>
      <c r="B2893">
        <v>12.98</v>
      </c>
      <c r="C2893" s="2">
        <f t="shared" si="45"/>
        <v>-3.0769255044791975E-3</v>
      </c>
    </row>
    <row r="2894" spans="1:3" x14ac:dyDescent="0.2">
      <c r="A2894" s="1">
        <v>41911</v>
      </c>
      <c r="B2894">
        <v>13.02</v>
      </c>
      <c r="C2894" s="2">
        <f t="shared" si="45"/>
        <v>1.0810916104215456E-2</v>
      </c>
    </row>
    <row r="2895" spans="1:3" x14ac:dyDescent="0.2">
      <c r="A2895" s="1">
        <v>41908</v>
      </c>
      <c r="B2895">
        <v>12.88</v>
      </c>
      <c r="C2895" s="2">
        <f t="shared" si="45"/>
        <v>-2.3264841823435363E-3</v>
      </c>
    </row>
    <row r="2896" spans="1:3" x14ac:dyDescent="0.2">
      <c r="A2896" s="1">
        <v>41907</v>
      </c>
      <c r="B2896">
        <v>12.91</v>
      </c>
      <c r="C2896" s="2">
        <f t="shared" si="45"/>
        <v>-3.8654860655775764E-3</v>
      </c>
    </row>
    <row r="2897" spans="1:3" x14ac:dyDescent="0.2">
      <c r="A2897" s="1">
        <v>41906</v>
      </c>
      <c r="B2897">
        <v>12.96</v>
      </c>
      <c r="C2897" s="2">
        <f t="shared" si="45"/>
        <v>-1.5420203518152259E-3</v>
      </c>
    </row>
    <row r="2898" spans="1:3" x14ac:dyDescent="0.2">
      <c r="A2898" s="1">
        <v>41905</v>
      </c>
      <c r="B2898">
        <v>12.98</v>
      </c>
      <c r="C2898" s="2">
        <f t="shared" si="45"/>
        <v>6.1823999083175599E-3</v>
      </c>
    </row>
    <row r="2899" spans="1:3" x14ac:dyDescent="0.2">
      <c r="A2899" s="1">
        <v>41904</v>
      </c>
      <c r="B2899">
        <v>12.9</v>
      </c>
      <c r="C2899" s="2">
        <f t="shared" si="45"/>
        <v>6.2208598751025326E-3</v>
      </c>
    </row>
    <row r="2900" spans="1:3" x14ac:dyDescent="0.2">
      <c r="A2900" s="1">
        <v>41901</v>
      </c>
      <c r="B2900">
        <v>12.82</v>
      </c>
      <c r="C2900" s="2">
        <f t="shared" si="45"/>
        <v>-1.6247939644229645E-2</v>
      </c>
    </row>
    <row r="2901" spans="1:3" x14ac:dyDescent="0.2">
      <c r="A2901" s="1">
        <v>41900</v>
      </c>
      <c r="B2901">
        <v>13.03</v>
      </c>
      <c r="C2901" s="2">
        <f t="shared" si="45"/>
        <v>3.0388002418042223E-2</v>
      </c>
    </row>
    <row r="2902" spans="1:3" x14ac:dyDescent="0.2">
      <c r="A2902" s="1">
        <v>41899</v>
      </c>
      <c r="B2902">
        <v>12.64</v>
      </c>
      <c r="C2902" s="2">
        <f t="shared" si="45"/>
        <v>1.594930140767804E-2</v>
      </c>
    </row>
    <row r="2903" spans="1:3" x14ac:dyDescent="0.2">
      <c r="A2903" s="1">
        <v>41898</v>
      </c>
      <c r="B2903">
        <v>12.44</v>
      </c>
      <c r="C2903" s="2">
        <f t="shared" si="45"/>
        <v>8.0418178841364161E-4</v>
      </c>
    </row>
    <row r="2904" spans="1:3" x14ac:dyDescent="0.2">
      <c r="A2904" s="1">
        <v>41897</v>
      </c>
      <c r="B2904">
        <v>12.43</v>
      </c>
      <c r="C2904" s="2">
        <f t="shared" si="45"/>
        <v>-1.2789942533636091E-2</v>
      </c>
    </row>
    <row r="2905" spans="1:3" x14ac:dyDescent="0.2">
      <c r="A2905" s="1">
        <v>41894</v>
      </c>
      <c r="B2905">
        <v>12.59</v>
      </c>
      <c r="C2905" s="2">
        <f t="shared" si="45"/>
        <v>1.4400248839740015E-2</v>
      </c>
    </row>
    <row r="2906" spans="1:3" x14ac:dyDescent="0.2">
      <c r="A2906" s="1">
        <v>41893</v>
      </c>
      <c r="B2906">
        <v>12.41</v>
      </c>
      <c r="C2906" s="2">
        <f t="shared" si="45"/>
        <v>-4.8231604754292688E-3</v>
      </c>
    </row>
    <row r="2907" spans="1:3" x14ac:dyDescent="0.2">
      <c r="A2907" s="1">
        <v>41892</v>
      </c>
      <c r="B2907">
        <v>12.47</v>
      </c>
      <c r="C2907" s="2">
        <f t="shared" si="45"/>
        <v>7.2434924354951042E-3</v>
      </c>
    </row>
    <row r="2908" spans="1:3" x14ac:dyDescent="0.2">
      <c r="A2908" s="1">
        <v>41891</v>
      </c>
      <c r="B2908">
        <v>12.38</v>
      </c>
      <c r="C2908" s="2">
        <f t="shared" si="45"/>
        <v>-6.4412461028569932E-3</v>
      </c>
    </row>
    <row r="2909" spans="1:3" x14ac:dyDescent="0.2">
      <c r="A2909" s="1">
        <v>41890</v>
      </c>
      <c r="B2909">
        <v>12.46</v>
      </c>
      <c r="C2909" s="2">
        <f t="shared" si="45"/>
        <v>-2.4048107781791729E-3</v>
      </c>
    </row>
    <row r="2910" spans="1:3" x14ac:dyDescent="0.2">
      <c r="A2910" s="1">
        <v>41887</v>
      </c>
      <c r="B2910">
        <v>12.49</v>
      </c>
      <c r="C2910" s="2">
        <f t="shared" si="45"/>
        <v>8.0386284964350917E-3</v>
      </c>
    </row>
    <row r="2911" spans="1:3" x14ac:dyDescent="0.2">
      <c r="A2911" s="1">
        <v>41886</v>
      </c>
      <c r="B2911">
        <v>12.39</v>
      </c>
      <c r="C2911" s="2">
        <f t="shared" si="45"/>
        <v>4.854378464798143E-3</v>
      </c>
    </row>
    <row r="2912" spans="1:3" x14ac:dyDescent="0.2">
      <c r="A2912" s="1">
        <v>41885</v>
      </c>
      <c r="B2912">
        <v>12.33</v>
      </c>
      <c r="C2912" s="2">
        <f t="shared" si="45"/>
        <v>4.0633944572566376E-3</v>
      </c>
    </row>
    <row r="2913" spans="1:3" x14ac:dyDescent="0.2">
      <c r="A2913" s="1">
        <v>41884</v>
      </c>
      <c r="B2913">
        <v>12.28</v>
      </c>
      <c r="C2913" s="2">
        <f t="shared" si="45"/>
        <v>-2.7310934394070705E-2</v>
      </c>
    </row>
    <row r="2914" spans="1:3" x14ac:dyDescent="0.2">
      <c r="A2914" s="1">
        <v>41883</v>
      </c>
      <c r="B2914">
        <v>12.62</v>
      </c>
      <c r="C2914" s="2">
        <f t="shared" si="45"/>
        <v>1.758638450207577E-2</v>
      </c>
    </row>
    <row r="2915" spans="1:3" x14ac:dyDescent="0.2">
      <c r="A2915" s="1">
        <v>41880</v>
      </c>
      <c r="B2915">
        <v>12.4</v>
      </c>
      <c r="C2915" s="2">
        <f t="shared" si="45"/>
        <v>-1.6000341346441075E-2</v>
      </c>
    </row>
    <row r="2916" spans="1:3" x14ac:dyDescent="0.2">
      <c r="A2916" s="1">
        <v>41879</v>
      </c>
      <c r="B2916">
        <v>12.6</v>
      </c>
      <c r="C2916" s="2">
        <f t="shared" si="45"/>
        <v>9.5694510161506725E-3</v>
      </c>
    </row>
    <row r="2917" spans="1:3" x14ac:dyDescent="0.2">
      <c r="A2917" s="1">
        <v>41878</v>
      </c>
      <c r="B2917">
        <v>12.48</v>
      </c>
      <c r="C2917" s="2">
        <f t="shared" si="45"/>
        <v>6.0274122351113742E-2</v>
      </c>
    </row>
    <row r="2918" spans="1:3" x14ac:dyDescent="0.2">
      <c r="A2918" s="1">
        <v>41877</v>
      </c>
      <c r="B2918">
        <v>11.75</v>
      </c>
      <c r="C2918" s="2">
        <f t="shared" si="45"/>
        <v>-1.6040867374288035E-2</v>
      </c>
    </row>
    <row r="2919" spans="1:3" x14ac:dyDescent="0.2">
      <c r="A2919" s="1">
        <v>41876</v>
      </c>
      <c r="B2919">
        <v>11.94</v>
      </c>
      <c r="C2919" s="2">
        <f t="shared" si="45"/>
        <v>1.1794576492836877E-2</v>
      </c>
    </row>
    <row r="2920" spans="1:3" x14ac:dyDescent="0.2">
      <c r="A2920" s="1">
        <v>41873</v>
      </c>
      <c r="B2920">
        <v>11.8</v>
      </c>
      <c r="C2920" s="2">
        <f t="shared" si="45"/>
        <v>-2.0965128465044964E-2</v>
      </c>
    </row>
    <row r="2921" spans="1:3" x14ac:dyDescent="0.2">
      <c r="A2921" s="1">
        <v>41872</v>
      </c>
      <c r="B2921">
        <v>12.05</v>
      </c>
      <c r="C2921" s="2">
        <f t="shared" si="45"/>
        <v>3.0330884452687161E-2</v>
      </c>
    </row>
    <row r="2922" spans="1:3" x14ac:dyDescent="0.2">
      <c r="A2922" s="1">
        <v>41871</v>
      </c>
      <c r="B2922">
        <v>11.69</v>
      </c>
      <c r="C2922" s="2">
        <f t="shared" si="45"/>
        <v>-2.3669744085904849E-2</v>
      </c>
    </row>
    <row r="2923" spans="1:3" x14ac:dyDescent="0.2">
      <c r="A2923" s="1">
        <v>41870</v>
      </c>
      <c r="B2923">
        <v>11.97</v>
      </c>
      <c r="C2923" s="2">
        <f t="shared" si="45"/>
        <v>8.3893109483053341E-3</v>
      </c>
    </row>
    <row r="2924" spans="1:3" x14ac:dyDescent="0.2">
      <c r="A2924" s="1">
        <v>41869</v>
      </c>
      <c r="B2924">
        <v>11.87</v>
      </c>
      <c r="C2924" s="2">
        <f t="shared" si="45"/>
        <v>1.7850027699230275E-2</v>
      </c>
    </row>
    <row r="2925" spans="1:3" x14ac:dyDescent="0.2">
      <c r="A2925" s="1">
        <v>41865</v>
      </c>
      <c r="B2925">
        <v>11.66</v>
      </c>
      <c r="C2925" s="2">
        <f t="shared" si="45"/>
        <v>1.034491984239295E-2</v>
      </c>
    </row>
    <row r="2926" spans="1:3" x14ac:dyDescent="0.2">
      <c r="A2926" s="1">
        <v>41864</v>
      </c>
      <c r="B2926">
        <v>11.54</v>
      </c>
      <c r="C2926" s="2">
        <f t="shared" si="45"/>
        <v>-8.6617588784919266E-4</v>
      </c>
    </row>
    <row r="2927" spans="1:3" x14ac:dyDescent="0.2">
      <c r="A2927" s="1">
        <v>41863</v>
      </c>
      <c r="B2927">
        <v>11.55</v>
      </c>
      <c r="C2927" s="2">
        <f t="shared" si="45"/>
        <v>4.3384015985981411E-3</v>
      </c>
    </row>
    <row r="2928" spans="1:3" x14ac:dyDescent="0.2">
      <c r="A2928" s="1">
        <v>41862</v>
      </c>
      <c r="B2928">
        <v>11.5</v>
      </c>
      <c r="C2928" s="2">
        <f t="shared" si="45"/>
        <v>8.7336799687546315E-3</v>
      </c>
    </row>
    <row r="2929" spans="1:3" x14ac:dyDescent="0.2">
      <c r="A2929" s="1">
        <v>41859</v>
      </c>
      <c r="B2929">
        <v>11.4</v>
      </c>
      <c r="C2929" s="2">
        <f t="shared" si="45"/>
        <v>-4.3763745997987772E-3</v>
      </c>
    </row>
    <row r="2930" spans="1:3" x14ac:dyDescent="0.2">
      <c r="A2930" s="1">
        <v>41858</v>
      </c>
      <c r="B2930">
        <v>11.45</v>
      </c>
      <c r="C2930" s="2">
        <f t="shared" si="45"/>
        <v>-2.1599111803461815E-2</v>
      </c>
    </row>
    <row r="2931" spans="1:3" x14ac:dyDescent="0.2">
      <c r="A2931" s="1">
        <v>41857</v>
      </c>
      <c r="B2931">
        <v>11.7</v>
      </c>
      <c r="C2931" s="2">
        <f t="shared" si="45"/>
        <v>-1.2739025777429826E-2</v>
      </c>
    </row>
    <row r="2932" spans="1:3" x14ac:dyDescent="0.2">
      <c r="A2932" s="1">
        <v>41856</v>
      </c>
      <c r="B2932">
        <v>11.85</v>
      </c>
      <c r="C2932" s="2">
        <f t="shared" si="45"/>
        <v>-1.0075651988741699E-2</v>
      </c>
    </row>
    <row r="2933" spans="1:3" x14ac:dyDescent="0.2">
      <c r="A2933" s="1">
        <v>41855</v>
      </c>
      <c r="B2933">
        <v>11.97</v>
      </c>
      <c r="C2933" s="2">
        <f t="shared" si="45"/>
        <v>2.5094116054259286E-3</v>
      </c>
    </row>
    <row r="2934" spans="1:3" x14ac:dyDescent="0.2">
      <c r="A2934" s="1">
        <v>41852</v>
      </c>
      <c r="B2934">
        <v>11.94</v>
      </c>
      <c r="C2934" s="2">
        <f t="shared" si="45"/>
        <v>-3.3761955109530131E-2</v>
      </c>
    </row>
    <row r="2935" spans="1:3" x14ac:dyDescent="0.2">
      <c r="A2935" s="1">
        <v>41851</v>
      </c>
      <c r="B2935">
        <v>12.35</v>
      </c>
      <c r="C2935" s="2">
        <f t="shared" si="45"/>
        <v>1.7150277442633817E-2</v>
      </c>
    </row>
    <row r="2936" spans="1:3" x14ac:dyDescent="0.2">
      <c r="A2936" s="1">
        <v>41850</v>
      </c>
      <c r="B2936">
        <v>12.14</v>
      </c>
      <c r="C2936" s="2">
        <f t="shared" si="45"/>
        <v>-4.1101578618278753E-3</v>
      </c>
    </row>
    <row r="2937" spans="1:3" x14ac:dyDescent="0.2">
      <c r="A2937" s="1">
        <v>41849</v>
      </c>
      <c r="B2937">
        <v>12.19</v>
      </c>
      <c r="C2937" s="2">
        <f t="shared" si="45"/>
        <v>1.1551283556516113E-2</v>
      </c>
    </row>
    <row r="2938" spans="1:3" x14ac:dyDescent="0.2">
      <c r="A2938" s="1">
        <v>41848</v>
      </c>
      <c r="B2938">
        <v>12.05</v>
      </c>
      <c r="C2938" s="2">
        <f t="shared" si="45"/>
        <v>2.3510738664478833E-2</v>
      </c>
    </row>
    <row r="2939" spans="1:3" x14ac:dyDescent="0.2">
      <c r="A2939" s="1">
        <v>41845</v>
      </c>
      <c r="B2939">
        <v>11.77</v>
      </c>
      <c r="C2939" s="2">
        <f t="shared" si="45"/>
        <v>-1.935272851581496E-2</v>
      </c>
    </row>
    <row r="2940" spans="1:3" x14ac:dyDescent="0.2">
      <c r="A2940" s="1">
        <v>41844</v>
      </c>
      <c r="B2940">
        <v>12</v>
      </c>
      <c r="C2940" s="2">
        <f t="shared" si="45"/>
        <v>-6.6445427186686131E-3</v>
      </c>
    </row>
    <row r="2941" spans="1:3" x14ac:dyDescent="0.2">
      <c r="A2941" s="1">
        <v>41843</v>
      </c>
      <c r="B2941">
        <v>12.08</v>
      </c>
      <c r="C2941" s="2">
        <f t="shared" si="45"/>
        <v>6.6445427186685108E-3</v>
      </c>
    </row>
    <row r="2942" spans="1:3" x14ac:dyDescent="0.2">
      <c r="A2942" s="1">
        <v>41842</v>
      </c>
      <c r="B2942">
        <v>12</v>
      </c>
      <c r="C2942" s="2">
        <f t="shared" si="45"/>
        <v>-4.1580101486637881E-3</v>
      </c>
    </row>
    <row r="2943" spans="1:3" x14ac:dyDescent="0.2">
      <c r="A2943" s="1">
        <v>41841</v>
      </c>
      <c r="B2943">
        <v>12.05</v>
      </c>
      <c r="C2943" s="2">
        <f t="shared" si="45"/>
        <v>-5.7923207045043222E-3</v>
      </c>
    </row>
    <row r="2944" spans="1:3" x14ac:dyDescent="0.2">
      <c r="A2944" s="1">
        <v>41838</v>
      </c>
      <c r="B2944">
        <v>12.12</v>
      </c>
      <c r="C2944" s="2">
        <f t="shared" si="45"/>
        <v>-1.4742281737203544E-2</v>
      </c>
    </row>
    <row r="2945" spans="1:3" x14ac:dyDescent="0.2">
      <c r="A2945" s="1">
        <v>41837</v>
      </c>
      <c r="B2945">
        <v>12.3</v>
      </c>
      <c r="C2945" s="2">
        <f t="shared" si="45"/>
        <v>5.7073126792908727E-3</v>
      </c>
    </row>
    <row r="2946" spans="1:3" x14ac:dyDescent="0.2">
      <c r="A2946" s="1">
        <v>41836</v>
      </c>
      <c r="B2946">
        <v>12.23</v>
      </c>
      <c r="C2946" s="2">
        <f t="shared" si="45"/>
        <v>1.151328507237979E-2</v>
      </c>
    </row>
    <row r="2947" spans="1:3" x14ac:dyDescent="0.2">
      <c r="A2947" s="1">
        <v>41835</v>
      </c>
      <c r="B2947">
        <v>12.09</v>
      </c>
      <c r="C2947" s="2">
        <f t="shared" ref="C2947:C3010" si="46">+LN(B2947/B2948)</f>
        <v>-3.8934357975454768E-2</v>
      </c>
    </row>
    <row r="2948" spans="1:3" x14ac:dyDescent="0.2">
      <c r="A2948" s="1">
        <v>41834</v>
      </c>
      <c r="B2948">
        <v>12.57</v>
      </c>
      <c r="C2948" s="2">
        <f t="shared" si="46"/>
        <v>-7.9522867013835771E-4</v>
      </c>
    </row>
    <row r="2949" spans="1:3" x14ac:dyDescent="0.2">
      <c r="A2949" s="1">
        <v>41831</v>
      </c>
      <c r="B2949">
        <v>12.58</v>
      </c>
      <c r="C2949" s="2">
        <f t="shared" si="46"/>
        <v>2.1696311075932197E-2</v>
      </c>
    </row>
    <row r="2950" spans="1:3" x14ac:dyDescent="0.2">
      <c r="A2950" s="1">
        <v>41830</v>
      </c>
      <c r="B2950">
        <v>12.31</v>
      </c>
      <c r="C2950" s="2">
        <f t="shared" si="46"/>
        <v>-4.0535118331824944E-3</v>
      </c>
    </row>
    <row r="2951" spans="1:3" x14ac:dyDescent="0.2">
      <c r="A2951" s="1">
        <v>41829</v>
      </c>
      <c r="B2951">
        <v>12.36</v>
      </c>
      <c r="C2951" s="2">
        <f t="shared" si="46"/>
        <v>-7.2551708811719098E-3</v>
      </c>
    </row>
    <row r="2952" spans="1:3" x14ac:dyDescent="0.2">
      <c r="A2952" s="1">
        <v>41828</v>
      </c>
      <c r="B2952">
        <v>12.45</v>
      </c>
      <c r="C2952" s="2">
        <f t="shared" si="46"/>
        <v>-2.3810648693718559E-2</v>
      </c>
    </row>
    <row r="2953" spans="1:3" x14ac:dyDescent="0.2">
      <c r="A2953" s="1">
        <v>41827</v>
      </c>
      <c r="B2953">
        <v>12.75</v>
      </c>
      <c r="C2953" s="2">
        <f t="shared" si="46"/>
        <v>2.3557136924589835E-3</v>
      </c>
    </row>
    <row r="2954" spans="1:3" x14ac:dyDescent="0.2">
      <c r="A2954" s="1">
        <v>41824</v>
      </c>
      <c r="B2954">
        <v>12.72</v>
      </c>
      <c r="C2954" s="2">
        <f t="shared" si="46"/>
        <v>-5.4880576787750693E-3</v>
      </c>
    </row>
    <row r="2955" spans="1:3" x14ac:dyDescent="0.2">
      <c r="A2955" s="1">
        <v>41823</v>
      </c>
      <c r="B2955">
        <v>12.79</v>
      </c>
      <c r="C2955" s="2">
        <f t="shared" si="46"/>
        <v>3.0967142979759964E-2</v>
      </c>
    </row>
    <row r="2956" spans="1:3" x14ac:dyDescent="0.2">
      <c r="A2956" s="1">
        <v>41822</v>
      </c>
      <c r="B2956">
        <v>12.4</v>
      </c>
      <c r="C2956" s="2">
        <f t="shared" si="46"/>
        <v>7.2845324146290687E-3</v>
      </c>
    </row>
    <row r="2957" spans="1:3" x14ac:dyDescent="0.2">
      <c r="A2957" s="1">
        <v>41821</v>
      </c>
      <c r="B2957">
        <v>12.31</v>
      </c>
      <c r="C2957" s="2">
        <f t="shared" si="46"/>
        <v>2.4400174773658496E-3</v>
      </c>
    </row>
    <row r="2958" spans="1:3" x14ac:dyDescent="0.2">
      <c r="A2958" s="1">
        <v>41820</v>
      </c>
      <c r="B2958">
        <v>12.28</v>
      </c>
      <c r="C2958" s="2">
        <f t="shared" si="46"/>
        <v>4.8979689755469348E-3</v>
      </c>
    </row>
    <row r="2959" spans="1:3" x14ac:dyDescent="0.2">
      <c r="A2959" s="1">
        <v>41817</v>
      </c>
      <c r="B2959">
        <v>12.22</v>
      </c>
      <c r="C2959" s="2">
        <f t="shared" si="46"/>
        <v>-4.8979689755470311E-3</v>
      </c>
    </row>
    <row r="2960" spans="1:3" x14ac:dyDescent="0.2">
      <c r="A2960" s="1">
        <v>41816</v>
      </c>
      <c r="B2960">
        <v>12.28</v>
      </c>
      <c r="C2960" s="2">
        <f t="shared" si="46"/>
        <v>-1.6273396593754824E-3</v>
      </c>
    </row>
    <row r="2961" spans="1:3" x14ac:dyDescent="0.2">
      <c r="A2961" s="1">
        <v>41815</v>
      </c>
      <c r="B2961">
        <v>12.3</v>
      </c>
      <c r="C2961" s="2">
        <f t="shared" si="46"/>
        <v>1.639380977567657E-2</v>
      </c>
    </row>
    <row r="2962" spans="1:3" x14ac:dyDescent="0.2">
      <c r="A2962" s="1">
        <v>41814</v>
      </c>
      <c r="B2962">
        <v>12.1</v>
      </c>
      <c r="C2962" s="2">
        <f t="shared" si="46"/>
        <v>-1.4766470116301007E-2</v>
      </c>
    </row>
    <row r="2963" spans="1:3" x14ac:dyDescent="0.2">
      <c r="A2963" s="1">
        <v>41813</v>
      </c>
      <c r="B2963">
        <v>12.28</v>
      </c>
      <c r="C2963" s="2">
        <f t="shared" si="46"/>
        <v>-7.302263685400108E-3</v>
      </c>
    </row>
    <row r="2964" spans="1:3" x14ac:dyDescent="0.2">
      <c r="A2964" s="1">
        <v>41810</v>
      </c>
      <c r="B2964">
        <v>12.37</v>
      </c>
      <c r="C2964" s="2">
        <f t="shared" si="46"/>
        <v>3.2388692281435237E-3</v>
      </c>
    </row>
    <row r="2965" spans="1:3" x14ac:dyDescent="0.2">
      <c r="A2965" s="1">
        <v>41809</v>
      </c>
      <c r="B2965">
        <v>12.33</v>
      </c>
      <c r="C2965" s="2">
        <f t="shared" si="46"/>
        <v>8.1135907087910759E-4</v>
      </c>
    </row>
    <row r="2966" spans="1:3" x14ac:dyDescent="0.2">
      <c r="A2966" s="1">
        <v>41808</v>
      </c>
      <c r="B2966">
        <v>12.32</v>
      </c>
      <c r="C2966" s="2">
        <f t="shared" si="46"/>
        <v>-2.4321049686124399E-3</v>
      </c>
    </row>
    <row r="2967" spans="1:3" x14ac:dyDescent="0.2">
      <c r="A2967" s="1">
        <v>41807</v>
      </c>
      <c r="B2967">
        <v>12.35</v>
      </c>
      <c r="C2967" s="2">
        <f t="shared" si="46"/>
        <v>4.0568006956142478E-3</v>
      </c>
    </row>
    <row r="2968" spans="1:3" x14ac:dyDescent="0.2">
      <c r="A2968" s="1">
        <v>41806</v>
      </c>
      <c r="B2968">
        <v>12.3</v>
      </c>
      <c r="C2968" s="2">
        <f t="shared" si="46"/>
        <v>5.7073126792908727E-3</v>
      </c>
    </row>
    <row r="2969" spans="1:3" x14ac:dyDescent="0.2">
      <c r="A2969" s="1">
        <v>41803</v>
      </c>
      <c r="B2969">
        <v>12.23</v>
      </c>
      <c r="C2969" s="2">
        <f t="shared" si="46"/>
        <v>-2.023541324220066E-2</v>
      </c>
    </row>
    <row r="2970" spans="1:3" x14ac:dyDescent="0.2">
      <c r="A2970" s="1">
        <v>41802</v>
      </c>
      <c r="B2970">
        <v>12.48</v>
      </c>
      <c r="C2970" s="2">
        <f t="shared" si="46"/>
        <v>0</v>
      </c>
    </row>
    <row r="2971" spans="1:3" x14ac:dyDescent="0.2">
      <c r="A2971" s="1">
        <v>41801</v>
      </c>
      <c r="B2971">
        <v>12.48</v>
      </c>
      <c r="C2971" s="2">
        <f t="shared" si="46"/>
        <v>-3.9984059666952508E-3</v>
      </c>
    </row>
    <row r="2972" spans="1:3" x14ac:dyDescent="0.2">
      <c r="A2972" s="1">
        <v>41800</v>
      </c>
      <c r="B2972">
        <v>12.53</v>
      </c>
      <c r="C2972" s="2">
        <f t="shared" si="46"/>
        <v>4.800009216031768E-3</v>
      </c>
    </row>
    <row r="2973" spans="1:3" x14ac:dyDescent="0.2">
      <c r="A2973" s="1">
        <v>41799</v>
      </c>
      <c r="B2973">
        <v>12.47</v>
      </c>
      <c r="C2973" s="2">
        <f t="shared" si="46"/>
        <v>-8.0160324933652106E-4</v>
      </c>
    </row>
    <row r="2974" spans="1:3" x14ac:dyDescent="0.2">
      <c r="A2974" s="1">
        <v>41796</v>
      </c>
      <c r="B2974">
        <v>12.48</v>
      </c>
      <c r="C2974" s="2">
        <f t="shared" si="46"/>
        <v>1.2903404835908001E-2</v>
      </c>
    </row>
    <row r="2975" spans="1:3" x14ac:dyDescent="0.2">
      <c r="A2975" s="1">
        <v>41795</v>
      </c>
      <c r="B2975">
        <v>12.32</v>
      </c>
      <c r="C2975" s="2">
        <f t="shared" si="46"/>
        <v>-9.6931292056595692E-3</v>
      </c>
    </row>
    <row r="2976" spans="1:3" x14ac:dyDescent="0.2">
      <c r="A2976" s="1">
        <v>41794</v>
      </c>
      <c r="B2976">
        <v>12.44</v>
      </c>
      <c r="C2976" s="2">
        <f t="shared" si="46"/>
        <v>9.6931292056595328E-3</v>
      </c>
    </row>
    <row r="2977" spans="1:3" x14ac:dyDescent="0.2">
      <c r="A2977" s="1">
        <v>41793</v>
      </c>
      <c r="B2977">
        <v>12.32</v>
      </c>
      <c r="C2977" s="2">
        <f t="shared" si="46"/>
        <v>-2.1678889950881991E-2</v>
      </c>
    </row>
    <row r="2978" spans="1:3" x14ac:dyDescent="0.2">
      <c r="A2978" s="1">
        <v>41792</v>
      </c>
      <c r="B2978">
        <v>12.59</v>
      </c>
      <c r="C2978" s="2">
        <f t="shared" si="46"/>
        <v>1.9246784982269689E-2</v>
      </c>
    </row>
    <row r="2979" spans="1:3" x14ac:dyDescent="0.2">
      <c r="A2979" s="1">
        <v>41789</v>
      </c>
      <c r="B2979">
        <v>12.35</v>
      </c>
      <c r="C2979" s="2">
        <f t="shared" si="46"/>
        <v>-4.0404095370050862E-3</v>
      </c>
    </row>
    <row r="2980" spans="1:3" x14ac:dyDescent="0.2">
      <c r="A2980" s="1">
        <v>41788</v>
      </c>
      <c r="B2980">
        <v>12.4</v>
      </c>
      <c r="C2980" s="2">
        <f t="shared" si="46"/>
        <v>1.2170535620255114E-2</v>
      </c>
    </row>
    <row r="2981" spans="1:3" x14ac:dyDescent="0.2">
      <c r="A2981" s="1">
        <v>41787</v>
      </c>
      <c r="B2981">
        <v>12.25</v>
      </c>
      <c r="C2981" s="2">
        <f t="shared" si="46"/>
        <v>6.5520299913001141E-3</v>
      </c>
    </row>
    <row r="2982" spans="1:3" x14ac:dyDescent="0.2">
      <c r="A2982" s="1">
        <v>41786</v>
      </c>
      <c r="B2982">
        <v>12.17</v>
      </c>
      <c r="C2982" s="2">
        <f t="shared" si="46"/>
        <v>-2.4620447397750386E-3</v>
      </c>
    </row>
    <row r="2983" spans="1:3" x14ac:dyDescent="0.2">
      <c r="A2983" s="1">
        <v>41785</v>
      </c>
      <c r="B2983">
        <v>12.2</v>
      </c>
      <c r="C2983" s="2">
        <f t="shared" si="46"/>
        <v>3.2840752011897975E-3</v>
      </c>
    </row>
    <row r="2984" spans="1:3" x14ac:dyDescent="0.2">
      <c r="A2984" s="1">
        <v>41782</v>
      </c>
      <c r="B2984">
        <v>12.16</v>
      </c>
      <c r="C2984" s="2">
        <f t="shared" si="46"/>
        <v>8.2270675146354773E-4</v>
      </c>
    </row>
    <row r="2985" spans="1:3" x14ac:dyDescent="0.2">
      <c r="A2985" s="1">
        <v>41781</v>
      </c>
      <c r="B2985">
        <v>12.15</v>
      </c>
      <c r="C2985" s="2">
        <f t="shared" si="46"/>
        <v>-4.1067819526533593E-3</v>
      </c>
    </row>
    <row r="2986" spans="1:3" x14ac:dyDescent="0.2">
      <c r="A2986" s="1">
        <v>41780</v>
      </c>
      <c r="B2986">
        <v>12.2</v>
      </c>
      <c r="C2986" s="2">
        <f t="shared" si="46"/>
        <v>8.2304991365154435E-3</v>
      </c>
    </row>
    <row r="2987" spans="1:3" x14ac:dyDescent="0.2">
      <c r="A2987" s="1">
        <v>41779</v>
      </c>
      <c r="B2987">
        <v>12.1</v>
      </c>
      <c r="C2987" s="2">
        <f t="shared" si="46"/>
        <v>6.3107039309690083E-2</v>
      </c>
    </row>
    <row r="2988" spans="1:3" x14ac:dyDescent="0.2">
      <c r="A2988" s="1">
        <v>41778</v>
      </c>
      <c r="B2988">
        <v>11.36</v>
      </c>
      <c r="C2988" s="2">
        <f t="shared" si="46"/>
        <v>-1.1378678567659043E-2</v>
      </c>
    </row>
    <row r="2989" spans="1:3" x14ac:dyDescent="0.2">
      <c r="A2989" s="1">
        <v>41775</v>
      </c>
      <c r="B2989">
        <v>11.49</v>
      </c>
      <c r="C2989" s="2">
        <f t="shared" si="46"/>
        <v>7.8637364602144513E-3</v>
      </c>
    </row>
    <row r="2990" spans="1:3" x14ac:dyDescent="0.2">
      <c r="A2990" s="1">
        <v>41774</v>
      </c>
      <c r="B2990">
        <v>11.4</v>
      </c>
      <c r="C2990" s="2">
        <f t="shared" si="46"/>
        <v>-2.853630726493436E-2</v>
      </c>
    </row>
    <row r="2991" spans="1:3" x14ac:dyDescent="0.2">
      <c r="A2991" s="1">
        <v>41773</v>
      </c>
      <c r="B2991">
        <v>11.73</v>
      </c>
      <c r="C2991" s="2">
        <f t="shared" si="46"/>
        <v>-2.275698712261618E-2</v>
      </c>
    </row>
    <row r="2992" spans="1:3" x14ac:dyDescent="0.2">
      <c r="A2992" s="1">
        <v>41772</v>
      </c>
      <c r="B2992">
        <v>12</v>
      </c>
      <c r="C2992" s="2">
        <f t="shared" si="46"/>
        <v>0</v>
      </c>
    </row>
    <row r="2993" spans="1:3" x14ac:dyDescent="0.2">
      <c r="A2993" s="1">
        <v>41771</v>
      </c>
      <c r="B2993">
        <v>12</v>
      </c>
      <c r="C2993" s="2">
        <f t="shared" si="46"/>
        <v>3.3389012655146303E-3</v>
      </c>
    </row>
    <row r="2994" spans="1:3" x14ac:dyDescent="0.2">
      <c r="A2994" s="1">
        <v>41768</v>
      </c>
      <c r="B2994">
        <v>11.96</v>
      </c>
      <c r="C2994" s="2">
        <f t="shared" si="46"/>
        <v>3.3500868852820269E-3</v>
      </c>
    </row>
    <row r="2995" spans="1:3" x14ac:dyDescent="0.2">
      <c r="A2995" s="1">
        <v>41767</v>
      </c>
      <c r="B2995">
        <v>11.92</v>
      </c>
      <c r="C2995" s="2">
        <f t="shared" si="46"/>
        <v>9.2710314279327143E-3</v>
      </c>
    </row>
    <row r="2996" spans="1:3" x14ac:dyDescent="0.2">
      <c r="A2996" s="1">
        <v>41766</v>
      </c>
      <c r="B2996">
        <v>11.81</v>
      </c>
      <c r="C2996" s="2">
        <f t="shared" si="46"/>
        <v>-2.8382539577286557E-2</v>
      </c>
    </row>
    <row r="2997" spans="1:3" x14ac:dyDescent="0.2">
      <c r="A2997" s="1">
        <v>41765</v>
      </c>
      <c r="B2997">
        <v>12.15</v>
      </c>
      <c r="C2997" s="2">
        <f t="shared" si="46"/>
        <v>-2.5194343572749717E-2</v>
      </c>
    </row>
    <row r="2998" spans="1:3" x14ac:dyDescent="0.2">
      <c r="A2998" s="1">
        <v>41764</v>
      </c>
      <c r="B2998">
        <v>12.46</v>
      </c>
      <c r="C2998" s="2">
        <f t="shared" si="46"/>
        <v>-8.7895092428489294E-3</v>
      </c>
    </row>
    <row r="2999" spans="1:3" x14ac:dyDescent="0.2">
      <c r="A2999" s="1">
        <v>41761</v>
      </c>
      <c r="B2999">
        <v>12.57</v>
      </c>
      <c r="C2999" s="2">
        <f t="shared" si="46"/>
        <v>-2.3837913552762504E-3</v>
      </c>
    </row>
    <row r="3000" spans="1:3" x14ac:dyDescent="0.2">
      <c r="A3000" s="1">
        <v>41759</v>
      </c>
      <c r="B3000">
        <v>12.6</v>
      </c>
      <c r="C3000" s="2">
        <f t="shared" si="46"/>
        <v>1.197619104671562E-2</v>
      </c>
    </row>
    <row r="3001" spans="1:3" x14ac:dyDescent="0.2">
      <c r="A3001" s="1">
        <v>41758</v>
      </c>
      <c r="B3001">
        <v>12.45</v>
      </c>
      <c r="C3001" s="2">
        <f t="shared" si="46"/>
        <v>-7.2029122940579973E-3</v>
      </c>
    </row>
    <row r="3002" spans="1:3" x14ac:dyDescent="0.2">
      <c r="A3002" s="1">
        <v>41757</v>
      </c>
      <c r="B3002">
        <v>12.54</v>
      </c>
      <c r="C3002" s="2">
        <f t="shared" si="46"/>
        <v>-2.0521635720796912E-2</v>
      </c>
    </row>
    <row r="3003" spans="1:3" x14ac:dyDescent="0.2">
      <c r="A3003" s="1">
        <v>41754</v>
      </c>
      <c r="B3003">
        <v>12.8</v>
      </c>
      <c r="C3003" s="2">
        <f t="shared" si="46"/>
        <v>7.843177461026099E-3</v>
      </c>
    </row>
    <row r="3004" spans="1:3" x14ac:dyDescent="0.2">
      <c r="A3004" s="1">
        <v>41753</v>
      </c>
      <c r="B3004">
        <v>12.7</v>
      </c>
      <c r="C3004" s="2">
        <f t="shared" si="46"/>
        <v>2.0684906153512109E-2</v>
      </c>
    </row>
    <row r="3005" spans="1:3" x14ac:dyDescent="0.2">
      <c r="A3005" s="1">
        <v>41752</v>
      </c>
      <c r="B3005">
        <v>12.44</v>
      </c>
      <c r="C3005" s="2">
        <f t="shared" si="46"/>
        <v>-1.3573062665794756E-2</v>
      </c>
    </row>
    <row r="3006" spans="1:3" x14ac:dyDescent="0.2">
      <c r="A3006" s="1">
        <v>41751</v>
      </c>
      <c r="B3006">
        <v>12.61</v>
      </c>
      <c r="C3006" s="2">
        <f t="shared" si="46"/>
        <v>2.489088759845633E-2</v>
      </c>
    </row>
    <row r="3007" spans="1:3" x14ac:dyDescent="0.2">
      <c r="A3007" s="1">
        <v>41746</v>
      </c>
      <c r="B3007">
        <v>12.3</v>
      </c>
      <c r="C3007" s="2">
        <f t="shared" si="46"/>
        <v>4.4895319907890946E-2</v>
      </c>
    </row>
    <row r="3008" spans="1:3" x14ac:dyDescent="0.2">
      <c r="A3008" s="1">
        <v>41745</v>
      </c>
      <c r="B3008">
        <v>11.76</v>
      </c>
      <c r="C3008" s="2">
        <f t="shared" si="46"/>
        <v>-8.4997880170451792E-4</v>
      </c>
    </row>
    <row r="3009" spans="1:3" x14ac:dyDescent="0.2">
      <c r="A3009" s="1">
        <v>41744</v>
      </c>
      <c r="B3009">
        <v>11.77</v>
      </c>
      <c r="C3009" s="2">
        <f t="shared" si="46"/>
        <v>0</v>
      </c>
    </row>
    <row r="3010" spans="1:3" x14ac:dyDescent="0.2">
      <c r="A3010" s="1">
        <v>41743</v>
      </c>
      <c r="B3010">
        <v>11.77</v>
      </c>
      <c r="C3010" s="2">
        <f t="shared" si="46"/>
        <v>-3.8338028426895723E-2</v>
      </c>
    </row>
    <row r="3011" spans="1:3" x14ac:dyDescent="0.2">
      <c r="A3011" s="1">
        <v>41740</v>
      </c>
      <c r="B3011">
        <v>12.23</v>
      </c>
      <c r="C3011" s="2">
        <f t="shared" ref="C3011:C3074" si="47">+LN(B3011/B3012)</f>
        <v>-3.1390907413986008E-2</v>
      </c>
    </row>
    <row r="3012" spans="1:3" x14ac:dyDescent="0.2">
      <c r="A3012" s="1">
        <v>41739</v>
      </c>
      <c r="B3012">
        <v>12.62</v>
      </c>
      <c r="C3012" s="2">
        <f t="shared" si="47"/>
        <v>-7.8927007989091531E-3</v>
      </c>
    </row>
    <row r="3013" spans="1:3" x14ac:dyDescent="0.2">
      <c r="A3013" s="1">
        <v>41738</v>
      </c>
      <c r="B3013">
        <v>12.72</v>
      </c>
      <c r="C3013" s="2">
        <f t="shared" si="47"/>
        <v>3.5203635192979699E-2</v>
      </c>
    </row>
    <row r="3014" spans="1:3" x14ac:dyDescent="0.2">
      <c r="A3014" s="1">
        <v>41737</v>
      </c>
      <c r="B3014">
        <v>12.28</v>
      </c>
      <c r="C3014" s="2">
        <f t="shared" si="47"/>
        <v>-3.5989489850318794E-2</v>
      </c>
    </row>
    <row r="3015" spans="1:3" x14ac:dyDescent="0.2">
      <c r="A3015" s="1">
        <v>41736</v>
      </c>
      <c r="B3015">
        <v>12.73</v>
      </c>
      <c r="C3015" s="2">
        <f t="shared" si="47"/>
        <v>-7.0450389232087846E-3</v>
      </c>
    </row>
    <row r="3016" spans="1:3" x14ac:dyDescent="0.2">
      <c r="A3016" s="1">
        <v>41733</v>
      </c>
      <c r="B3016">
        <v>12.82</v>
      </c>
      <c r="C3016" s="2">
        <f t="shared" si="47"/>
        <v>7.8308935805478392E-3</v>
      </c>
    </row>
    <row r="3017" spans="1:3" x14ac:dyDescent="0.2">
      <c r="A3017" s="1">
        <v>41732</v>
      </c>
      <c r="B3017">
        <v>12.72</v>
      </c>
      <c r="C3017" s="2">
        <f t="shared" si="47"/>
        <v>6.3091691932647556E-3</v>
      </c>
    </row>
    <row r="3018" spans="1:3" x14ac:dyDescent="0.2">
      <c r="A3018" s="1">
        <v>41731</v>
      </c>
      <c r="B3018">
        <v>12.64</v>
      </c>
      <c r="C3018" s="2">
        <f t="shared" si="47"/>
        <v>6.3492276786587445E-3</v>
      </c>
    </row>
    <row r="3019" spans="1:3" x14ac:dyDescent="0.2">
      <c r="A3019" s="1">
        <v>41730</v>
      </c>
      <c r="B3019">
        <v>12.56</v>
      </c>
      <c r="C3019" s="2">
        <f t="shared" si="47"/>
        <v>-1.108483242449293E-2</v>
      </c>
    </row>
    <row r="3020" spans="1:3" x14ac:dyDescent="0.2">
      <c r="A3020" s="1">
        <v>41729</v>
      </c>
      <c r="B3020">
        <v>12.7</v>
      </c>
      <c r="C3020" s="2">
        <f t="shared" si="47"/>
        <v>-1.2519725344927709E-2</v>
      </c>
    </row>
    <row r="3021" spans="1:3" x14ac:dyDescent="0.2">
      <c r="A3021" s="1">
        <v>41726</v>
      </c>
      <c r="B3021">
        <v>12.86</v>
      </c>
      <c r="C3021" s="2">
        <f t="shared" si="47"/>
        <v>6.2402698600846733E-3</v>
      </c>
    </row>
    <row r="3022" spans="1:3" x14ac:dyDescent="0.2">
      <c r="A3022" s="1">
        <v>41725</v>
      </c>
      <c r="B3022">
        <v>12.78</v>
      </c>
      <c r="C3022" s="2">
        <f t="shared" si="47"/>
        <v>7.0671672230923528E-3</v>
      </c>
    </row>
    <row r="3023" spans="1:3" x14ac:dyDescent="0.2">
      <c r="A3023" s="1">
        <v>41724</v>
      </c>
      <c r="B3023">
        <v>12.69</v>
      </c>
      <c r="C3023" s="2">
        <f t="shared" si="47"/>
        <v>-1.330743708317705E-2</v>
      </c>
    </row>
    <row r="3024" spans="1:3" x14ac:dyDescent="0.2">
      <c r="A3024" s="1">
        <v>41723</v>
      </c>
      <c r="B3024">
        <v>12.86</v>
      </c>
      <c r="C3024" s="2">
        <f t="shared" si="47"/>
        <v>3.4813642304140559E-2</v>
      </c>
    </row>
    <row r="3025" spans="1:3" x14ac:dyDescent="0.2">
      <c r="A3025" s="1">
        <v>41722</v>
      </c>
      <c r="B3025">
        <v>12.42</v>
      </c>
      <c r="C3025" s="2">
        <f t="shared" si="47"/>
        <v>-8.0482901728703949E-4</v>
      </c>
    </row>
    <row r="3026" spans="1:3" x14ac:dyDescent="0.2">
      <c r="A3026" s="1">
        <v>41719</v>
      </c>
      <c r="B3026">
        <v>12.43</v>
      </c>
      <c r="C3026" s="2">
        <f t="shared" si="47"/>
        <v>1.051364314424787E-2</v>
      </c>
    </row>
    <row r="3027" spans="1:3" x14ac:dyDescent="0.2">
      <c r="A3027" s="1">
        <v>41718</v>
      </c>
      <c r="B3027">
        <v>12.3</v>
      </c>
      <c r="C3027" s="2">
        <f t="shared" si="47"/>
        <v>-1.7728103293580606E-2</v>
      </c>
    </row>
    <row r="3028" spans="1:3" x14ac:dyDescent="0.2">
      <c r="A3028" s="1">
        <v>41717</v>
      </c>
      <c r="B3028">
        <v>12.52</v>
      </c>
      <c r="C3028" s="2">
        <f t="shared" si="47"/>
        <v>-4.7808856003420082E-3</v>
      </c>
    </row>
    <row r="3029" spans="1:3" x14ac:dyDescent="0.2">
      <c r="A3029" s="1">
        <v>41716</v>
      </c>
      <c r="B3029">
        <v>12.58</v>
      </c>
      <c r="C3029" s="2">
        <f t="shared" si="47"/>
        <v>-6.339165443735654E-3</v>
      </c>
    </row>
    <row r="3030" spans="1:3" x14ac:dyDescent="0.2">
      <c r="A3030" s="1">
        <v>41715</v>
      </c>
      <c r="B3030">
        <v>12.66</v>
      </c>
      <c r="C3030" s="2">
        <f t="shared" si="47"/>
        <v>1.6726793805313583E-2</v>
      </c>
    </row>
    <row r="3031" spans="1:3" x14ac:dyDescent="0.2">
      <c r="A3031" s="1">
        <v>41712</v>
      </c>
      <c r="B3031">
        <v>12.45</v>
      </c>
      <c r="C3031" s="2">
        <f t="shared" si="47"/>
        <v>1.7011345826536538E-2</v>
      </c>
    </row>
    <row r="3032" spans="1:3" x14ac:dyDescent="0.2">
      <c r="A3032" s="1">
        <v>41711</v>
      </c>
      <c r="B3032">
        <v>12.24</v>
      </c>
      <c r="C3032" s="2">
        <f t="shared" si="47"/>
        <v>-2.4479816386400017E-3</v>
      </c>
    </row>
    <row r="3033" spans="1:3" x14ac:dyDescent="0.2">
      <c r="A3033" s="1">
        <v>41710</v>
      </c>
      <c r="B3033">
        <v>12.27</v>
      </c>
      <c r="C3033" s="2">
        <f t="shared" si="47"/>
        <v>-1.4563364187896555E-2</v>
      </c>
    </row>
    <row r="3034" spans="1:3" x14ac:dyDescent="0.2">
      <c r="A3034" s="1">
        <v>41709</v>
      </c>
      <c r="B3034">
        <v>12.45</v>
      </c>
      <c r="C3034" s="2">
        <f t="shared" si="47"/>
        <v>-2.4067400305650879E-3</v>
      </c>
    </row>
    <row r="3035" spans="1:3" x14ac:dyDescent="0.2">
      <c r="A3035" s="1">
        <v>41708</v>
      </c>
      <c r="B3035">
        <v>12.48</v>
      </c>
      <c r="C3035" s="2">
        <f t="shared" si="47"/>
        <v>-2.2971307103166239E-2</v>
      </c>
    </row>
    <row r="3036" spans="1:3" x14ac:dyDescent="0.2">
      <c r="A3036" s="1">
        <v>41705</v>
      </c>
      <c r="B3036">
        <v>12.77</v>
      </c>
      <c r="C3036" s="2">
        <f t="shared" si="47"/>
        <v>1.6581509004395329E-2</v>
      </c>
    </row>
    <row r="3037" spans="1:3" x14ac:dyDescent="0.2">
      <c r="A3037" s="1">
        <v>41704</v>
      </c>
      <c r="B3037">
        <v>12.56</v>
      </c>
      <c r="C3037" s="2">
        <f t="shared" si="47"/>
        <v>-2.5934655911043412E-2</v>
      </c>
    </row>
    <row r="3038" spans="1:3" x14ac:dyDescent="0.2">
      <c r="A3038" s="1">
        <v>41703</v>
      </c>
      <c r="B3038">
        <v>12.89</v>
      </c>
      <c r="C3038" s="2">
        <f t="shared" si="47"/>
        <v>-8.4975405104406633E-3</v>
      </c>
    </row>
    <row r="3039" spans="1:3" x14ac:dyDescent="0.2">
      <c r="A3039" s="1">
        <v>41702</v>
      </c>
      <c r="B3039">
        <v>13</v>
      </c>
      <c r="C3039" s="2">
        <f t="shared" si="47"/>
        <v>1.4723241552893875E-2</v>
      </c>
    </row>
    <row r="3040" spans="1:3" x14ac:dyDescent="0.2">
      <c r="A3040" s="1">
        <v>41701</v>
      </c>
      <c r="B3040">
        <v>12.81</v>
      </c>
      <c r="C3040" s="2">
        <f t="shared" si="47"/>
        <v>-3.9791018281974337E-2</v>
      </c>
    </row>
    <row r="3041" spans="1:3" x14ac:dyDescent="0.2">
      <c r="A3041" s="1">
        <v>41698</v>
      </c>
      <c r="B3041">
        <v>13.33</v>
      </c>
      <c r="C3041" s="2">
        <f t="shared" si="47"/>
        <v>2.2762743053863659E-2</v>
      </c>
    </row>
    <row r="3042" spans="1:3" x14ac:dyDescent="0.2">
      <c r="A3042" s="1">
        <v>41697</v>
      </c>
      <c r="B3042">
        <v>13.03</v>
      </c>
      <c r="C3042" s="2">
        <f t="shared" si="47"/>
        <v>1.0802574185657554E-2</v>
      </c>
    </row>
    <row r="3043" spans="1:3" x14ac:dyDescent="0.2">
      <c r="A3043" s="1">
        <v>41696</v>
      </c>
      <c r="B3043">
        <v>12.89</v>
      </c>
      <c r="C3043" s="2">
        <f t="shared" si="47"/>
        <v>-7.7549441653039042E-4</v>
      </c>
    </row>
    <row r="3044" spans="1:3" x14ac:dyDescent="0.2">
      <c r="A3044" s="1">
        <v>41695</v>
      </c>
      <c r="B3044">
        <v>12.9</v>
      </c>
      <c r="C3044" s="2">
        <f t="shared" si="47"/>
        <v>-3.8684767779202061E-3</v>
      </c>
    </row>
    <row r="3045" spans="1:3" x14ac:dyDescent="0.2">
      <c r="A3045" s="1">
        <v>41694</v>
      </c>
      <c r="B3045">
        <v>12.95</v>
      </c>
      <c r="C3045" s="2">
        <f t="shared" si="47"/>
        <v>2.3438572972017381E-2</v>
      </c>
    </row>
    <row r="3046" spans="1:3" x14ac:dyDescent="0.2">
      <c r="A3046" s="1">
        <v>41691</v>
      </c>
      <c r="B3046">
        <v>12.65</v>
      </c>
      <c r="C3046" s="2">
        <f t="shared" si="47"/>
        <v>-2.3687338355506088E-3</v>
      </c>
    </row>
    <row r="3047" spans="1:3" x14ac:dyDescent="0.2">
      <c r="A3047" s="1">
        <v>41690</v>
      </c>
      <c r="B3047">
        <v>12.68</v>
      </c>
      <c r="C3047" s="2">
        <f t="shared" si="47"/>
        <v>1.030528343128692E-2</v>
      </c>
    </row>
    <row r="3048" spans="1:3" x14ac:dyDescent="0.2">
      <c r="A3048" s="1">
        <v>41689</v>
      </c>
      <c r="B3048">
        <v>12.55</v>
      </c>
      <c r="C3048" s="2">
        <f t="shared" si="47"/>
        <v>1.8496707472419226E-2</v>
      </c>
    </row>
    <row r="3049" spans="1:3" x14ac:dyDescent="0.2">
      <c r="A3049" s="1">
        <v>41688</v>
      </c>
      <c r="B3049">
        <v>12.32</v>
      </c>
      <c r="C3049" s="2">
        <f t="shared" si="47"/>
        <v>-1.1299555253933394E-2</v>
      </c>
    </row>
    <row r="3050" spans="1:3" x14ac:dyDescent="0.2">
      <c r="A3050" s="1">
        <v>41687</v>
      </c>
      <c r="B3050">
        <v>12.46</v>
      </c>
      <c r="C3050" s="2">
        <f t="shared" si="47"/>
        <v>-1.8290768366989122E-2</v>
      </c>
    </row>
    <row r="3051" spans="1:3" x14ac:dyDescent="0.2">
      <c r="A3051" s="1">
        <v>41684</v>
      </c>
      <c r="B3051">
        <v>12.69</v>
      </c>
      <c r="C3051" s="2">
        <f t="shared" si="47"/>
        <v>1.6686918785014517E-2</v>
      </c>
    </row>
    <row r="3052" spans="1:3" x14ac:dyDescent="0.2">
      <c r="A3052" s="1">
        <v>41683</v>
      </c>
      <c r="B3052">
        <v>12.48</v>
      </c>
      <c r="C3052" s="2">
        <f t="shared" si="47"/>
        <v>2.1872074818668312E-2</v>
      </c>
    </row>
    <row r="3053" spans="1:3" x14ac:dyDescent="0.2">
      <c r="A3053" s="1">
        <v>41682</v>
      </c>
      <c r="B3053">
        <v>12.21</v>
      </c>
      <c r="C3053" s="2">
        <f t="shared" si="47"/>
        <v>3.6701366850427963E-2</v>
      </c>
    </row>
    <row r="3054" spans="1:3" x14ac:dyDescent="0.2">
      <c r="A3054" s="1">
        <v>41681</v>
      </c>
      <c r="B3054">
        <v>11.77</v>
      </c>
      <c r="C3054" s="2">
        <f t="shared" si="47"/>
        <v>1.5411263920524944E-2</v>
      </c>
    </row>
    <row r="3055" spans="1:3" x14ac:dyDescent="0.2">
      <c r="A3055" s="1">
        <v>41680</v>
      </c>
      <c r="B3055">
        <v>11.59</v>
      </c>
      <c r="C3055" s="2">
        <f t="shared" si="47"/>
        <v>3.4572203838577208E-3</v>
      </c>
    </row>
    <row r="3056" spans="1:3" x14ac:dyDescent="0.2">
      <c r="A3056" s="1">
        <v>41677</v>
      </c>
      <c r="B3056">
        <v>11.55</v>
      </c>
      <c r="C3056" s="2">
        <f t="shared" si="47"/>
        <v>-1.7301042377825693E-3</v>
      </c>
    </row>
    <row r="3057" spans="1:3" x14ac:dyDescent="0.2">
      <c r="A3057" s="1">
        <v>41676</v>
      </c>
      <c r="B3057">
        <v>11.57</v>
      </c>
      <c r="C3057" s="2">
        <f t="shared" si="47"/>
        <v>2.0079242905979219E-2</v>
      </c>
    </row>
    <row r="3058" spans="1:3" x14ac:dyDescent="0.2">
      <c r="A3058" s="1">
        <v>41675</v>
      </c>
      <c r="B3058">
        <v>11.34</v>
      </c>
      <c r="C3058" s="2">
        <f t="shared" si="47"/>
        <v>3.5335725813110445E-3</v>
      </c>
    </row>
    <row r="3059" spans="1:3" x14ac:dyDescent="0.2">
      <c r="A3059" s="1">
        <v>41674</v>
      </c>
      <c r="B3059">
        <v>11.3</v>
      </c>
      <c r="C3059" s="2">
        <f t="shared" si="47"/>
        <v>-1.8413497015496258E-2</v>
      </c>
    </row>
    <row r="3060" spans="1:3" x14ac:dyDescent="0.2">
      <c r="A3060" s="1">
        <v>41673</v>
      </c>
      <c r="B3060">
        <v>11.51</v>
      </c>
      <c r="C3060" s="2">
        <f t="shared" si="47"/>
        <v>-8.6505729760088194E-3</v>
      </c>
    </row>
    <row r="3061" spans="1:3" x14ac:dyDescent="0.2">
      <c r="A3061" s="1">
        <v>41670</v>
      </c>
      <c r="B3061">
        <v>11.61</v>
      </c>
      <c r="C3061" s="2">
        <f t="shared" si="47"/>
        <v>9.5197603405957378E-3</v>
      </c>
    </row>
    <row r="3062" spans="1:3" x14ac:dyDescent="0.2">
      <c r="A3062" s="1">
        <v>41669</v>
      </c>
      <c r="B3062">
        <v>11.5</v>
      </c>
      <c r="C3062" s="2">
        <f t="shared" si="47"/>
        <v>2.1978906718775167E-2</v>
      </c>
    </row>
    <row r="3063" spans="1:3" x14ac:dyDescent="0.2">
      <c r="A3063" s="1">
        <v>41668</v>
      </c>
      <c r="B3063">
        <v>11.25</v>
      </c>
      <c r="C3063" s="2">
        <f t="shared" si="47"/>
        <v>-5.3191614776000448E-3</v>
      </c>
    </row>
    <row r="3064" spans="1:3" x14ac:dyDescent="0.2">
      <c r="A3064" s="1">
        <v>41667</v>
      </c>
      <c r="B3064">
        <v>11.31</v>
      </c>
      <c r="C3064" s="2">
        <f t="shared" si="47"/>
        <v>-7.0484873310617388E-3</v>
      </c>
    </row>
    <row r="3065" spans="1:3" x14ac:dyDescent="0.2">
      <c r="A3065" s="1">
        <v>41666</v>
      </c>
      <c r="B3065">
        <v>11.39</v>
      </c>
      <c r="C3065" s="2">
        <f t="shared" si="47"/>
        <v>-8.7413144015735487E-3</v>
      </c>
    </row>
    <row r="3066" spans="1:3" x14ac:dyDescent="0.2">
      <c r="A3066" s="1">
        <v>41663</v>
      </c>
      <c r="B3066">
        <v>11.49</v>
      </c>
      <c r="C3066" s="2">
        <f t="shared" si="47"/>
        <v>1.6674366142369477E-2</v>
      </c>
    </row>
    <row r="3067" spans="1:3" x14ac:dyDescent="0.2">
      <c r="A3067" s="1">
        <v>41662</v>
      </c>
      <c r="B3067">
        <v>11.3</v>
      </c>
      <c r="C3067" s="2">
        <f t="shared" si="47"/>
        <v>2.0563978997749449E-2</v>
      </c>
    </row>
    <row r="3068" spans="1:3" x14ac:dyDescent="0.2">
      <c r="A3068" s="1">
        <v>41661</v>
      </c>
      <c r="B3068">
        <v>11.07</v>
      </c>
      <c r="C3068" s="2">
        <f t="shared" si="47"/>
        <v>-1.8792499349367286E-2</v>
      </c>
    </row>
    <row r="3069" spans="1:3" x14ac:dyDescent="0.2">
      <c r="A3069" s="1">
        <v>41660</v>
      </c>
      <c r="B3069">
        <v>11.28</v>
      </c>
      <c r="C3069" s="2">
        <f t="shared" si="47"/>
        <v>2.7866971782773923E-2</v>
      </c>
    </row>
    <row r="3070" spans="1:3" x14ac:dyDescent="0.2">
      <c r="A3070" s="1">
        <v>41659</v>
      </c>
      <c r="B3070">
        <v>10.97</v>
      </c>
      <c r="C3070" s="2">
        <f t="shared" si="47"/>
        <v>3.4310273169117465E-2</v>
      </c>
    </row>
    <row r="3071" spans="1:3" x14ac:dyDescent="0.2">
      <c r="A3071" s="1">
        <v>41656</v>
      </c>
      <c r="B3071">
        <v>10.6</v>
      </c>
      <c r="C3071" s="2">
        <f t="shared" si="47"/>
        <v>-6.5820641956405562E-3</v>
      </c>
    </row>
    <row r="3072" spans="1:3" x14ac:dyDescent="0.2">
      <c r="A3072" s="1">
        <v>41655</v>
      </c>
      <c r="B3072">
        <v>10.67</v>
      </c>
      <c r="C3072" s="2">
        <f t="shared" si="47"/>
        <v>8.4706388835086455E-3</v>
      </c>
    </row>
    <row r="3073" spans="1:3" x14ac:dyDescent="0.2">
      <c r="A3073" s="1">
        <v>41654</v>
      </c>
      <c r="B3073">
        <v>10.58</v>
      </c>
      <c r="C3073" s="2">
        <f t="shared" si="47"/>
        <v>4.7371002842692958E-3</v>
      </c>
    </row>
    <row r="3074" spans="1:3" x14ac:dyDescent="0.2">
      <c r="A3074" s="1">
        <v>41653</v>
      </c>
      <c r="B3074">
        <v>10.53</v>
      </c>
      <c r="C3074" s="2">
        <f t="shared" si="47"/>
        <v>-9.4518662079725486E-3</v>
      </c>
    </row>
    <row r="3075" spans="1:3" x14ac:dyDescent="0.2">
      <c r="A3075" s="1">
        <v>41652</v>
      </c>
      <c r="B3075">
        <v>10.63</v>
      </c>
      <c r="C3075" s="2">
        <f t="shared" ref="C3075:C3138" si="48">+LN(B3075/B3076)</f>
        <v>-1.9562803657643492E-2</v>
      </c>
    </row>
    <row r="3076" spans="1:3" x14ac:dyDescent="0.2">
      <c r="A3076" s="1">
        <v>41649</v>
      </c>
      <c r="B3076">
        <v>10.84</v>
      </c>
      <c r="C3076" s="2">
        <f t="shared" si="48"/>
        <v>3.2820573603294254E-2</v>
      </c>
    </row>
    <row r="3077" spans="1:3" x14ac:dyDescent="0.2">
      <c r="A3077" s="1">
        <v>41648</v>
      </c>
      <c r="B3077">
        <v>10.49</v>
      </c>
      <c r="C3077" s="2">
        <f t="shared" si="48"/>
        <v>1.908397525760169E-3</v>
      </c>
    </row>
    <row r="3078" spans="1:3" x14ac:dyDescent="0.2">
      <c r="A3078" s="1">
        <v>41647</v>
      </c>
      <c r="B3078">
        <v>10.47</v>
      </c>
      <c r="C3078" s="2">
        <f t="shared" si="48"/>
        <v>-1.2339976235575914E-2</v>
      </c>
    </row>
    <row r="3079" spans="1:3" x14ac:dyDescent="0.2">
      <c r="A3079" s="1">
        <v>41646</v>
      </c>
      <c r="B3079">
        <v>10.6</v>
      </c>
      <c r="C3079" s="2">
        <f t="shared" si="48"/>
        <v>1.138532222512521E-2</v>
      </c>
    </row>
    <row r="3080" spans="1:3" x14ac:dyDescent="0.2">
      <c r="A3080" s="1">
        <v>41645</v>
      </c>
      <c r="B3080">
        <v>10.48</v>
      </c>
      <c r="C3080" s="2">
        <f t="shared" si="48"/>
        <v>1.0551656651460363E-2</v>
      </c>
    </row>
    <row r="3081" spans="1:3" x14ac:dyDescent="0.2">
      <c r="A3081" s="1">
        <v>41642</v>
      </c>
      <c r="B3081">
        <v>10.37</v>
      </c>
      <c r="C3081" s="2">
        <f t="shared" si="48"/>
        <v>3.8647391098886943E-3</v>
      </c>
    </row>
    <row r="3082" spans="1:3" x14ac:dyDescent="0.2">
      <c r="A3082" s="1">
        <v>41641</v>
      </c>
      <c r="B3082">
        <v>10.33</v>
      </c>
      <c r="C3082" s="2">
        <f t="shared" si="48"/>
        <v>-1.2506175505229776E-2</v>
      </c>
    </row>
    <row r="3083" spans="1:3" x14ac:dyDescent="0.2">
      <c r="A3083" s="1">
        <v>41638</v>
      </c>
      <c r="B3083">
        <v>10.46</v>
      </c>
      <c r="C3083" s="2">
        <f t="shared" si="48"/>
        <v>9.6062218054399334E-3</v>
      </c>
    </row>
    <row r="3084" spans="1:3" x14ac:dyDescent="0.2">
      <c r="A3084" s="1">
        <v>41635</v>
      </c>
      <c r="B3084">
        <v>10.36</v>
      </c>
      <c r="C3084" s="2">
        <f t="shared" si="48"/>
        <v>1.0674531246919824E-2</v>
      </c>
    </row>
    <row r="3085" spans="1:3" x14ac:dyDescent="0.2">
      <c r="A3085" s="1">
        <v>41631</v>
      </c>
      <c r="B3085">
        <v>10.25</v>
      </c>
      <c r="C3085" s="2">
        <f t="shared" si="48"/>
        <v>1.5732871218899706E-2</v>
      </c>
    </row>
    <row r="3086" spans="1:3" x14ac:dyDescent="0.2">
      <c r="A3086" s="1">
        <v>41628</v>
      </c>
      <c r="B3086">
        <v>10.09</v>
      </c>
      <c r="C3086" s="2">
        <f t="shared" si="48"/>
        <v>-3.95648389507448E-3</v>
      </c>
    </row>
    <row r="3087" spans="1:3" x14ac:dyDescent="0.2">
      <c r="A3087" s="1">
        <v>41627</v>
      </c>
      <c r="B3087">
        <v>10.130000000000001</v>
      </c>
      <c r="C3087" s="2">
        <f t="shared" si="48"/>
        <v>5.9406115301211546E-3</v>
      </c>
    </row>
    <row r="3088" spans="1:3" x14ac:dyDescent="0.2">
      <c r="A3088" s="1">
        <v>41626</v>
      </c>
      <c r="B3088">
        <v>10.07</v>
      </c>
      <c r="C3088" s="2">
        <f t="shared" si="48"/>
        <v>1.5007785433689516E-2</v>
      </c>
    </row>
    <row r="3089" spans="1:3" x14ac:dyDescent="0.2">
      <c r="A3089" s="1">
        <v>41625</v>
      </c>
      <c r="B3089">
        <v>9.92</v>
      </c>
      <c r="C3089" s="2">
        <f t="shared" si="48"/>
        <v>-1.401424337481179E-2</v>
      </c>
    </row>
    <row r="3090" spans="1:3" x14ac:dyDescent="0.2">
      <c r="A3090" s="1">
        <v>41624</v>
      </c>
      <c r="B3090">
        <v>10.06</v>
      </c>
      <c r="C3090" s="2">
        <f t="shared" si="48"/>
        <v>1.4014243374811766E-2</v>
      </c>
    </row>
    <row r="3091" spans="1:3" x14ac:dyDescent="0.2">
      <c r="A3091" s="1">
        <v>41621</v>
      </c>
      <c r="B3091">
        <v>9.92</v>
      </c>
      <c r="C3091" s="2">
        <f t="shared" si="48"/>
        <v>1.4213437250055449E-2</v>
      </c>
    </row>
    <row r="3092" spans="1:3" x14ac:dyDescent="0.2">
      <c r="A3092" s="1">
        <v>41620</v>
      </c>
      <c r="B3092">
        <v>9.7799999999999994</v>
      </c>
      <c r="C3092" s="2">
        <f t="shared" si="48"/>
        <v>-4.0816383196486186E-3</v>
      </c>
    </row>
    <row r="3093" spans="1:3" x14ac:dyDescent="0.2">
      <c r="A3093" s="1">
        <v>41619</v>
      </c>
      <c r="B3093">
        <v>9.82</v>
      </c>
      <c r="C3093" s="2">
        <f t="shared" si="48"/>
        <v>-1.816397062767118E-2</v>
      </c>
    </row>
    <row r="3094" spans="1:3" x14ac:dyDescent="0.2">
      <c r="A3094" s="1">
        <v>41618</v>
      </c>
      <c r="B3094">
        <v>10</v>
      </c>
      <c r="C3094" s="2">
        <f t="shared" si="48"/>
        <v>5.0125418235444138E-3</v>
      </c>
    </row>
    <row r="3095" spans="1:3" x14ac:dyDescent="0.2">
      <c r="A3095" s="1">
        <v>41617</v>
      </c>
      <c r="B3095">
        <v>9.9499999999999993</v>
      </c>
      <c r="C3095" s="2">
        <f t="shared" si="48"/>
        <v>-1.4962872676712377E-2</v>
      </c>
    </row>
    <row r="3096" spans="1:3" x14ac:dyDescent="0.2">
      <c r="A3096" s="1">
        <v>41614</v>
      </c>
      <c r="B3096">
        <v>10.1</v>
      </c>
      <c r="C3096" s="2">
        <f t="shared" si="48"/>
        <v>-1.6691600093253114E-2</v>
      </c>
    </row>
    <row r="3097" spans="1:3" x14ac:dyDescent="0.2">
      <c r="A3097" s="1">
        <v>41613</v>
      </c>
      <c r="B3097">
        <v>10.27</v>
      </c>
      <c r="C3097" s="2">
        <f t="shared" si="48"/>
        <v>-8.7252128908701758E-3</v>
      </c>
    </row>
    <row r="3098" spans="1:3" x14ac:dyDescent="0.2">
      <c r="A3098" s="1">
        <v>41612</v>
      </c>
      <c r="B3098">
        <v>10.36</v>
      </c>
      <c r="C3098" s="2">
        <f t="shared" si="48"/>
        <v>1.9323677510538603E-3</v>
      </c>
    </row>
    <row r="3099" spans="1:3" x14ac:dyDescent="0.2">
      <c r="A3099" s="1">
        <v>41611</v>
      </c>
      <c r="B3099">
        <v>10.34</v>
      </c>
      <c r="C3099" s="2">
        <f t="shared" si="48"/>
        <v>-6.747013546594488E-3</v>
      </c>
    </row>
    <row r="3100" spans="1:3" x14ac:dyDescent="0.2">
      <c r="A3100" s="1">
        <v>41610</v>
      </c>
      <c r="B3100">
        <v>10.41</v>
      </c>
      <c r="C3100" s="2">
        <f t="shared" si="48"/>
        <v>-3.8350957839424259E-3</v>
      </c>
    </row>
    <row r="3101" spans="1:3" x14ac:dyDescent="0.2">
      <c r="A3101" s="1">
        <v>41607</v>
      </c>
      <c r="B3101">
        <v>10.45</v>
      </c>
      <c r="C3101" s="2">
        <f t="shared" si="48"/>
        <v>-5.7252064780398491E-3</v>
      </c>
    </row>
    <row r="3102" spans="1:3" x14ac:dyDescent="0.2">
      <c r="A3102" s="1">
        <v>41606</v>
      </c>
      <c r="B3102">
        <v>10.51</v>
      </c>
      <c r="C3102" s="2">
        <f t="shared" si="48"/>
        <v>1.9047624806538821E-3</v>
      </c>
    </row>
    <row r="3103" spans="1:3" x14ac:dyDescent="0.2">
      <c r="A3103" s="1">
        <v>41605</v>
      </c>
      <c r="B3103">
        <v>10.49</v>
      </c>
      <c r="C3103" s="2">
        <f t="shared" si="48"/>
        <v>1.440255332792267E-2</v>
      </c>
    </row>
    <row r="3104" spans="1:3" x14ac:dyDescent="0.2">
      <c r="A3104" s="1">
        <v>41604</v>
      </c>
      <c r="B3104">
        <v>10.34</v>
      </c>
      <c r="C3104" s="2">
        <f t="shared" si="48"/>
        <v>8.7421634958658942E-3</v>
      </c>
    </row>
    <row r="3105" spans="1:3" x14ac:dyDescent="0.2">
      <c r="A3105" s="1">
        <v>41603</v>
      </c>
      <c r="B3105">
        <v>10.25</v>
      </c>
      <c r="C3105" s="2">
        <f t="shared" si="48"/>
        <v>-2.9225544426018536E-3</v>
      </c>
    </row>
    <row r="3106" spans="1:3" x14ac:dyDescent="0.2">
      <c r="A3106" s="1">
        <v>41600</v>
      </c>
      <c r="B3106">
        <v>10.28</v>
      </c>
      <c r="C3106" s="2">
        <f t="shared" si="48"/>
        <v>1.5686596167699473E-2</v>
      </c>
    </row>
    <row r="3107" spans="1:3" x14ac:dyDescent="0.2">
      <c r="A3107" s="1">
        <v>41599</v>
      </c>
      <c r="B3107">
        <v>10.119999999999999</v>
      </c>
      <c r="C3107" s="2">
        <f t="shared" si="48"/>
        <v>1.8953185802238141E-2</v>
      </c>
    </row>
    <row r="3108" spans="1:3" x14ac:dyDescent="0.2">
      <c r="A3108" s="1">
        <v>41598</v>
      </c>
      <c r="B3108">
        <v>9.93</v>
      </c>
      <c r="C3108" s="2">
        <f t="shared" si="48"/>
        <v>-1.5984356308436365E-2</v>
      </c>
    </row>
    <row r="3109" spans="1:3" x14ac:dyDescent="0.2">
      <c r="A3109" s="1">
        <v>41597</v>
      </c>
      <c r="B3109">
        <v>10.09</v>
      </c>
      <c r="C3109" s="2">
        <f t="shared" si="48"/>
        <v>9.9602417050554341E-3</v>
      </c>
    </row>
    <row r="3110" spans="1:3" x14ac:dyDescent="0.2">
      <c r="A3110" s="1">
        <v>41596</v>
      </c>
      <c r="B3110">
        <v>9.99</v>
      </c>
      <c r="C3110" s="2">
        <f t="shared" si="48"/>
        <v>-9.9602417050554237E-3</v>
      </c>
    </row>
    <row r="3111" spans="1:3" x14ac:dyDescent="0.2">
      <c r="A3111" s="1">
        <v>41593</v>
      </c>
      <c r="B3111">
        <v>10.09</v>
      </c>
      <c r="C3111" s="2">
        <f t="shared" si="48"/>
        <v>-1.9801986668624536E-3</v>
      </c>
    </row>
    <row r="3112" spans="1:3" x14ac:dyDescent="0.2">
      <c r="A3112" s="1">
        <v>41592</v>
      </c>
      <c r="B3112">
        <v>10.11</v>
      </c>
      <c r="C3112" s="2">
        <f t="shared" si="48"/>
        <v>-7.8818142022533677E-3</v>
      </c>
    </row>
    <row r="3113" spans="1:3" x14ac:dyDescent="0.2">
      <c r="A3113" s="1">
        <v>41591</v>
      </c>
      <c r="B3113">
        <v>10.19</v>
      </c>
      <c r="C3113" s="2">
        <f t="shared" si="48"/>
        <v>-1.5579672476744681E-2</v>
      </c>
    </row>
    <row r="3114" spans="1:3" x14ac:dyDescent="0.2">
      <c r="A3114" s="1">
        <v>41590</v>
      </c>
      <c r="B3114">
        <v>10.35</v>
      </c>
      <c r="C3114" s="2">
        <f t="shared" si="48"/>
        <v>9.7088141269609032E-3</v>
      </c>
    </row>
    <row r="3115" spans="1:3" x14ac:dyDescent="0.2">
      <c r="A3115" s="1">
        <v>41589</v>
      </c>
      <c r="B3115">
        <v>10.25</v>
      </c>
      <c r="C3115" s="2">
        <f t="shared" si="48"/>
        <v>1.2764041725097736E-2</v>
      </c>
    </row>
    <row r="3116" spans="1:3" x14ac:dyDescent="0.2">
      <c r="A3116" s="1">
        <v>41586</v>
      </c>
      <c r="B3116">
        <v>10.119999999999999</v>
      </c>
      <c r="C3116" s="2">
        <f t="shared" si="48"/>
        <v>-3.0172605153361596E-2</v>
      </c>
    </row>
    <row r="3117" spans="1:3" x14ac:dyDescent="0.2">
      <c r="A3117" s="1">
        <v>41585</v>
      </c>
      <c r="B3117">
        <v>10.43</v>
      </c>
      <c r="C3117" s="2">
        <f t="shared" si="48"/>
        <v>7.6997493013030759E-3</v>
      </c>
    </row>
    <row r="3118" spans="1:3" x14ac:dyDescent="0.2">
      <c r="A3118" s="1">
        <v>41584</v>
      </c>
      <c r="B3118">
        <v>10.35</v>
      </c>
      <c r="C3118" s="2">
        <f t="shared" si="48"/>
        <v>1.3618887534803821E-2</v>
      </c>
    </row>
    <row r="3119" spans="1:3" x14ac:dyDescent="0.2">
      <c r="A3119" s="1">
        <v>41583</v>
      </c>
      <c r="B3119">
        <v>10.210000000000001</v>
      </c>
      <c r="C3119" s="2">
        <f t="shared" si="48"/>
        <v>1.7787030202730082E-2</v>
      </c>
    </row>
    <row r="3120" spans="1:3" x14ac:dyDescent="0.2">
      <c r="A3120" s="1">
        <v>41582</v>
      </c>
      <c r="B3120">
        <v>10.029999999999999</v>
      </c>
      <c r="C3120" s="2">
        <f t="shared" si="48"/>
        <v>1.4056456339223346E-2</v>
      </c>
    </row>
    <row r="3121" spans="1:3" x14ac:dyDescent="0.2">
      <c r="A3121" s="1">
        <v>41579</v>
      </c>
      <c r="B3121">
        <v>9.89</v>
      </c>
      <c r="C3121" s="2">
        <f t="shared" si="48"/>
        <v>2.2495836169417818E-2</v>
      </c>
    </row>
    <row r="3122" spans="1:3" x14ac:dyDescent="0.2">
      <c r="A3122" s="1">
        <v>41578</v>
      </c>
      <c r="B3122">
        <v>9.67</v>
      </c>
      <c r="C3122" s="2">
        <f t="shared" si="48"/>
        <v>1.3534824005007979E-2</v>
      </c>
    </row>
    <row r="3123" spans="1:3" x14ac:dyDescent="0.2">
      <c r="A3123" s="1">
        <v>41577</v>
      </c>
      <c r="B3123">
        <v>9.5399999999999991</v>
      </c>
      <c r="C3123" s="2">
        <f t="shared" si="48"/>
        <v>1.1597388814829013E-2</v>
      </c>
    </row>
    <row r="3124" spans="1:3" x14ac:dyDescent="0.2">
      <c r="A3124" s="1">
        <v>41576</v>
      </c>
      <c r="B3124">
        <v>9.43</v>
      </c>
      <c r="C3124" s="2">
        <f t="shared" si="48"/>
        <v>1.1733467947866272E-2</v>
      </c>
    </row>
    <row r="3125" spans="1:3" x14ac:dyDescent="0.2">
      <c r="A3125" s="1">
        <v>41575</v>
      </c>
      <c r="B3125">
        <v>9.32</v>
      </c>
      <c r="C3125" s="2">
        <f t="shared" si="48"/>
        <v>-9.6103248997884052E-3</v>
      </c>
    </row>
    <row r="3126" spans="1:3" x14ac:dyDescent="0.2">
      <c r="A3126" s="1">
        <v>41572</v>
      </c>
      <c r="B3126">
        <v>9.41</v>
      </c>
      <c r="C3126" s="2">
        <f t="shared" si="48"/>
        <v>9.6103248997884798E-3</v>
      </c>
    </row>
    <row r="3127" spans="1:3" x14ac:dyDescent="0.2">
      <c r="A3127" s="1">
        <v>41571</v>
      </c>
      <c r="B3127">
        <v>9.32</v>
      </c>
      <c r="C3127" s="2">
        <f t="shared" si="48"/>
        <v>0</v>
      </c>
    </row>
    <row r="3128" spans="1:3" x14ac:dyDescent="0.2">
      <c r="A3128" s="1">
        <v>41570</v>
      </c>
      <c r="B3128">
        <v>9.32</v>
      </c>
      <c r="C3128" s="2">
        <f t="shared" si="48"/>
        <v>8.0797638584117482E-3</v>
      </c>
    </row>
    <row r="3129" spans="1:3" x14ac:dyDescent="0.2">
      <c r="A3129" s="1">
        <v>41569</v>
      </c>
      <c r="B3129">
        <v>9.2449999999999992</v>
      </c>
      <c r="C3129" s="2">
        <f t="shared" si="48"/>
        <v>4.8793807840934881E-3</v>
      </c>
    </row>
    <row r="3130" spans="1:3" x14ac:dyDescent="0.2">
      <c r="A3130" s="1">
        <v>41568</v>
      </c>
      <c r="B3130">
        <v>9.1999999999999993</v>
      </c>
      <c r="C3130" s="2">
        <f t="shared" si="48"/>
        <v>5.4496047675644645E-3</v>
      </c>
    </row>
    <row r="3131" spans="1:3" x14ac:dyDescent="0.2">
      <c r="A3131" s="1">
        <v>41565</v>
      </c>
      <c r="B3131">
        <v>9.15</v>
      </c>
      <c r="C3131" s="2">
        <f t="shared" si="48"/>
        <v>1.7641030803901152E-2</v>
      </c>
    </row>
    <row r="3132" spans="1:3" x14ac:dyDescent="0.2">
      <c r="A3132" s="1">
        <v>41564</v>
      </c>
      <c r="B3132">
        <v>8.99</v>
      </c>
      <c r="C3132" s="2">
        <f t="shared" si="48"/>
        <v>2.992038039503803E-2</v>
      </c>
    </row>
    <row r="3133" spans="1:3" x14ac:dyDescent="0.2">
      <c r="A3133" s="1">
        <v>41563</v>
      </c>
      <c r="B3133">
        <v>8.7249999999999996</v>
      </c>
      <c r="C3133" s="2">
        <f t="shared" si="48"/>
        <v>-1.2528637683168978E-2</v>
      </c>
    </row>
    <row r="3134" spans="1:3" x14ac:dyDescent="0.2">
      <c r="A3134" s="1">
        <v>41562</v>
      </c>
      <c r="B3134">
        <v>8.8350000000000009</v>
      </c>
      <c r="C3134" s="2">
        <f t="shared" si="48"/>
        <v>1.367542679967549E-2</v>
      </c>
    </row>
    <row r="3135" spans="1:3" x14ac:dyDescent="0.2">
      <c r="A3135" s="1">
        <v>41561</v>
      </c>
      <c r="B3135">
        <v>8.7149999999999999</v>
      </c>
      <c r="C3135" s="2">
        <f t="shared" si="48"/>
        <v>-4.0080213975388218E-3</v>
      </c>
    </row>
    <row r="3136" spans="1:3" x14ac:dyDescent="0.2">
      <c r="A3136" s="1">
        <v>41558</v>
      </c>
      <c r="B3136">
        <v>8.75</v>
      </c>
      <c r="C3136" s="2">
        <f t="shared" si="48"/>
        <v>5.7306747089850745E-3</v>
      </c>
    </row>
    <row r="3137" spans="1:3" x14ac:dyDescent="0.2">
      <c r="A3137" s="1">
        <v>41557</v>
      </c>
      <c r="B3137">
        <v>8.6999999999999993</v>
      </c>
      <c r="C3137" s="2">
        <f t="shared" si="48"/>
        <v>1.1560822401076006E-2</v>
      </c>
    </row>
    <row r="3138" spans="1:3" x14ac:dyDescent="0.2">
      <c r="A3138" s="1">
        <v>41556</v>
      </c>
      <c r="B3138">
        <v>8.6</v>
      </c>
      <c r="C3138" s="2">
        <f t="shared" si="48"/>
        <v>1.7457089100230924E-3</v>
      </c>
    </row>
    <row r="3139" spans="1:3" x14ac:dyDescent="0.2">
      <c r="A3139" s="1">
        <v>41555</v>
      </c>
      <c r="B3139">
        <v>8.5850000000000009</v>
      </c>
      <c r="C3139" s="2">
        <f t="shared" ref="C3139:C3202" si="49">+LN(B3139/B3140)</f>
        <v>-5.8072172492029776E-3</v>
      </c>
    </row>
    <row r="3140" spans="1:3" x14ac:dyDescent="0.2">
      <c r="A3140" s="1">
        <v>41554</v>
      </c>
      <c r="B3140">
        <v>8.6349999999999998</v>
      </c>
      <c r="C3140" s="2">
        <f t="shared" si="49"/>
        <v>-7.4993140618961071E-3</v>
      </c>
    </row>
    <row r="3141" spans="1:3" x14ac:dyDescent="0.2">
      <c r="A3141" s="1">
        <v>41551</v>
      </c>
      <c r="B3141">
        <v>8.6999999999999993</v>
      </c>
      <c r="C3141" s="2">
        <f t="shared" si="49"/>
        <v>1.7256259674696358E-3</v>
      </c>
    </row>
    <row r="3142" spans="1:3" x14ac:dyDescent="0.2">
      <c r="A3142" s="1">
        <v>41550</v>
      </c>
      <c r="B3142">
        <v>8.6850000000000005</v>
      </c>
      <c r="C3142" s="2">
        <f t="shared" si="49"/>
        <v>-9.169118680129552E-3</v>
      </c>
    </row>
    <row r="3143" spans="1:3" x14ac:dyDescent="0.2">
      <c r="A3143" s="1">
        <v>41549</v>
      </c>
      <c r="B3143">
        <v>8.7650000000000006</v>
      </c>
      <c r="C3143" s="2">
        <f t="shared" si="49"/>
        <v>-9.0858092385508026E-3</v>
      </c>
    </row>
    <row r="3144" spans="1:3" x14ac:dyDescent="0.2">
      <c r="A3144" s="1">
        <v>41548</v>
      </c>
      <c r="B3144">
        <v>8.8450000000000006</v>
      </c>
      <c r="C3144" s="2">
        <f t="shared" si="49"/>
        <v>-3.9492293923301409E-3</v>
      </c>
    </row>
    <row r="3145" spans="1:3" x14ac:dyDescent="0.2">
      <c r="A3145" s="1">
        <v>41547</v>
      </c>
      <c r="B3145">
        <v>8.8800000000000008</v>
      </c>
      <c r="C3145" s="2">
        <f t="shared" si="49"/>
        <v>1.8755878032094497E-2</v>
      </c>
    </row>
    <row r="3146" spans="1:3" x14ac:dyDescent="0.2">
      <c r="A3146" s="1">
        <v>41544</v>
      </c>
      <c r="B3146">
        <v>8.7149999999999999</v>
      </c>
      <c r="C3146" s="2">
        <f t="shared" si="49"/>
        <v>-2.8645106954598683E-3</v>
      </c>
    </row>
    <row r="3147" spans="1:3" x14ac:dyDescent="0.2">
      <c r="A3147" s="1">
        <v>41543</v>
      </c>
      <c r="B3147">
        <v>8.74</v>
      </c>
      <c r="C3147" s="2">
        <f t="shared" si="49"/>
        <v>-6.8415318167167121E-3</v>
      </c>
    </row>
    <row r="3148" spans="1:3" x14ac:dyDescent="0.2">
      <c r="A3148" s="1">
        <v>41542</v>
      </c>
      <c r="B3148">
        <v>8.8000000000000007</v>
      </c>
      <c r="C3148" s="2">
        <f t="shared" si="49"/>
        <v>-3.4032931317078069E-3</v>
      </c>
    </row>
    <row r="3149" spans="1:3" x14ac:dyDescent="0.2">
      <c r="A3149" s="1">
        <v>41541</v>
      </c>
      <c r="B3149">
        <v>8.83</v>
      </c>
      <c r="C3149" s="2">
        <f t="shared" si="49"/>
        <v>1.2535776694980228E-2</v>
      </c>
    </row>
    <row r="3150" spans="1:3" x14ac:dyDescent="0.2">
      <c r="A3150" s="1">
        <v>41540</v>
      </c>
      <c r="B3150">
        <v>8.7200000000000006</v>
      </c>
      <c r="C3150" s="2">
        <f t="shared" si="49"/>
        <v>1.1534153245286765E-2</v>
      </c>
    </row>
    <row r="3151" spans="1:3" x14ac:dyDescent="0.2">
      <c r="A3151" s="1">
        <v>41537</v>
      </c>
      <c r="B3151">
        <v>8.6199999999999992</v>
      </c>
      <c r="C3151" s="2">
        <f t="shared" si="49"/>
        <v>-1.3252858910418214E-2</v>
      </c>
    </row>
    <row r="3152" spans="1:3" x14ac:dyDescent="0.2">
      <c r="A3152" s="1">
        <v>41536</v>
      </c>
      <c r="B3152">
        <v>8.7349999999999994</v>
      </c>
      <c r="C3152" s="2">
        <f t="shared" si="49"/>
        <v>-3.9988627980718497E-3</v>
      </c>
    </row>
    <row r="3153" spans="1:3" x14ac:dyDescent="0.2">
      <c r="A3153" s="1">
        <v>41535</v>
      </c>
      <c r="B3153">
        <v>8.77</v>
      </c>
      <c r="C3153" s="2">
        <f t="shared" si="49"/>
        <v>-5.6996296783787021E-4</v>
      </c>
    </row>
    <row r="3154" spans="1:3" x14ac:dyDescent="0.2">
      <c r="A3154" s="1">
        <v>41534</v>
      </c>
      <c r="B3154">
        <v>8.7750000000000004</v>
      </c>
      <c r="C3154" s="2">
        <f t="shared" si="49"/>
        <v>7.4349784875179905E-3</v>
      </c>
    </row>
    <row r="3155" spans="1:3" x14ac:dyDescent="0.2">
      <c r="A3155" s="1">
        <v>41533</v>
      </c>
      <c r="B3155">
        <v>8.7100000000000009</v>
      </c>
      <c r="C3155" s="2">
        <f t="shared" si="49"/>
        <v>6.9124699206235809E-3</v>
      </c>
    </row>
    <row r="3156" spans="1:3" x14ac:dyDescent="0.2">
      <c r="A3156" s="1">
        <v>41530</v>
      </c>
      <c r="B3156">
        <v>8.65</v>
      </c>
      <c r="C3156" s="2">
        <f t="shared" si="49"/>
        <v>4.6350025041487046E-3</v>
      </c>
    </row>
    <row r="3157" spans="1:3" x14ac:dyDescent="0.2">
      <c r="A3157" s="1">
        <v>41529</v>
      </c>
      <c r="B3157">
        <v>8.61</v>
      </c>
      <c r="C3157" s="2">
        <f t="shared" si="49"/>
        <v>-2.9186621086531906E-2</v>
      </c>
    </row>
    <row r="3158" spans="1:3" x14ac:dyDescent="0.2">
      <c r="A3158" s="1">
        <v>41528</v>
      </c>
      <c r="B3158">
        <v>8.8650000000000002</v>
      </c>
      <c r="C3158" s="2">
        <f t="shared" si="49"/>
        <v>1.6491701605283005E-2</v>
      </c>
    </row>
    <row r="3159" spans="1:3" x14ac:dyDescent="0.2">
      <c r="A3159" s="1">
        <v>41527</v>
      </c>
      <c r="B3159">
        <v>8.7200000000000006</v>
      </c>
      <c r="C3159" s="2">
        <f t="shared" si="49"/>
        <v>1.1474470564766996E-3</v>
      </c>
    </row>
    <row r="3160" spans="1:3" x14ac:dyDescent="0.2">
      <c r="A3160" s="1">
        <v>41526</v>
      </c>
      <c r="B3160">
        <v>8.7100000000000009</v>
      </c>
      <c r="C3160" s="2">
        <f t="shared" si="49"/>
        <v>1.5037877364540502E-2</v>
      </c>
    </row>
    <row r="3161" spans="1:3" x14ac:dyDescent="0.2">
      <c r="A3161" s="1">
        <v>41523</v>
      </c>
      <c r="B3161">
        <v>8.58</v>
      </c>
      <c r="C3161" s="2">
        <f t="shared" si="49"/>
        <v>1.1723463696059234E-2</v>
      </c>
    </row>
    <row r="3162" spans="1:3" x14ac:dyDescent="0.2">
      <c r="A3162" s="1">
        <v>41522</v>
      </c>
      <c r="B3162">
        <v>8.48</v>
      </c>
      <c r="C3162" s="2">
        <f t="shared" si="49"/>
        <v>-6.4649064425921846E-3</v>
      </c>
    </row>
    <row r="3163" spans="1:3" x14ac:dyDescent="0.2">
      <c r="A3163" s="1">
        <v>41521</v>
      </c>
      <c r="B3163">
        <v>8.5350000000000001</v>
      </c>
      <c r="C3163" s="2">
        <f t="shared" si="49"/>
        <v>-4.092376363284478E-3</v>
      </c>
    </row>
    <row r="3164" spans="1:3" x14ac:dyDescent="0.2">
      <c r="A3164" s="1">
        <v>41520</v>
      </c>
      <c r="B3164">
        <v>8.57</v>
      </c>
      <c r="C3164" s="2">
        <f t="shared" si="49"/>
        <v>-2.0785967759834642E-2</v>
      </c>
    </row>
    <row r="3165" spans="1:3" x14ac:dyDescent="0.2">
      <c r="A3165" s="1">
        <v>41519</v>
      </c>
      <c r="B3165">
        <v>8.75</v>
      </c>
      <c r="C3165" s="2">
        <f t="shared" si="49"/>
        <v>2.5464338865935361E-2</v>
      </c>
    </row>
    <row r="3166" spans="1:3" x14ac:dyDescent="0.2">
      <c r="A3166" s="1">
        <v>41516</v>
      </c>
      <c r="B3166">
        <v>8.5299999999999994</v>
      </c>
      <c r="C3166" s="2">
        <f t="shared" si="49"/>
        <v>5.8789116997758377E-3</v>
      </c>
    </row>
    <row r="3167" spans="1:3" x14ac:dyDescent="0.2">
      <c r="A3167" s="1">
        <v>41515</v>
      </c>
      <c r="B3167">
        <v>8.48</v>
      </c>
      <c r="C3167" s="2">
        <f t="shared" si="49"/>
        <v>-2.3557136924590365E-3</v>
      </c>
    </row>
    <row r="3168" spans="1:3" x14ac:dyDescent="0.2">
      <c r="A3168" s="1">
        <v>41514</v>
      </c>
      <c r="B3168">
        <v>8.5</v>
      </c>
      <c r="C3168" s="2">
        <f t="shared" si="49"/>
        <v>-1.5178341599065873E-2</v>
      </c>
    </row>
    <row r="3169" spans="1:3" x14ac:dyDescent="0.2">
      <c r="A3169" s="1">
        <v>41513</v>
      </c>
      <c r="B3169">
        <v>8.6300000000000008</v>
      </c>
      <c r="C3169" s="2">
        <f t="shared" si="49"/>
        <v>-5.2008207375862916E-3</v>
      </c>
    </row>
    <row r="3170" spans="1:3" x14ac:dyDescent="0.2">
      <c r="A3170" s="1">
        <v>41512</v>
      </c>
      <c r="B3170">
        <v>8.6750000000000007</v>
      </c>
      <c r="C3170" s="2">
        <f t="shared" si="49"/>
        <v>1.7306032585792156E-3</v>
      </c>
    </row>
    <row r="3171" spans="1:3" x14ac:dyDescent="0.2">
      <c r="A3171" s="1">
        <v>41509</v>
      </c>
      <c r="B3171">
        <v>8.66</v>
      </c>
      <c r="C3171" s="2">
        <f t="shared" si="49"/>
        <v>-1.6036998909817076E-2</v>
      </c>
    </row>
    <row r="3172" spans="1:3" x14ac:dyDescent="0.2">
      <c r="A3172" s="1">
        <v>41508</v>
      </c>
      <c r="B3172">
        <v>8.8000000000000007</v>
      </c>
      <c r="C3172" s="2">
        <f t="shared" si="49"/>
        <v>6.2696130135956154E-3</v>
      </c>
    </row>
    <row r="3173" spans="1:3" x14ac:dyDescent="0.2">
      <c r="A3173" s="1">
        <v>41507</v>
      </c>
      <c r="B3173">
        <v>8.7449999999999992</v>
      </c>
      <c r="C3173" s="2">
        <f t="shared" si="49"/>
        <v>7.4605797983065998E-3</v>
      </c>
    </row>
    <row r="3174" spans="1:3" x14ac:dyDescent="0.2">
      <c r="A3174" s="1">
        <v>41506</v>
      </c>
      <c r="B3174">
        <v>8.68</v>
      </c>
      <c r="C3174" s="2">
        <f t="shared" si="49"/>
        <v>-1.486591127582948E-2</v>
      </c>
    </row>
    <row r="3175" spans="1:3" x14ac:dyDescent="0.2">
      <c r="A3175" s="1">
        <v>41505</v>
      </c>
      <c r="B3175">
        <v>8.81</v>
      </c>
      <c r="C3175" s="2">
        <f t="shared" si="49"/>
        <v>-5.6593246689013547E-3</v>
      </c>
    </row>
    <row r="3176" spans="1:3" x14ac:dyDescent="0.2">
      <c r="A3176" s="1">
        <v>41502</v>
      </c>
      <c r="B3176">
        <v>8.86</v>
      </c>
      <c r="C3176" s="2">
        <f t="shared" si="49"/>
        <v>-2.2547923870893162E-3</v>
      </c>
    </row>
    <row r="3177" spans="1:3" x14ac:dyDescent="0.2">
      <c r="A3177" s="1">
        <v>41500</v>
      </c>
      <c r="B3177">
        <v>8.8800000000000008</v>
      </c>
      <c r="C3177" s="2">
        <f t="shared" si="49"/>
        <v>-1.0641377370263803E-2</v>
      </c>
    </row>
    <row r="3178" spans="1:3" x14ac:dyDescent="0.2">
      <c r="A3178" s="1">
        <v>41499</v>
      </c>
      <c r="B3178">
        <v>8.9749999999999996</v>
      </c>
      <c r="C3178" s="2">
        <f t="shared" si="49"/>
        <v>2.4247029426042396E-2</v>
      </c>
    </row>
    <row r="3179" spans="1:3" x14ac:dyDescent="0.2">
      <c r="A3179" s="1">
        <v>41498</v>
      </c>
      <c r="B3179">
        <v>8.76</v>
      </c>
      <c r="C3179" s="2">
        <f t="shared" si="49"/>
        <v>1.7137964777348199E-3</v>
      </c>
    </row>
    <row r="3180" spans="1:3" x14ac:dyDescent="0.2">
      <c r="A3180" s="1">
        <v>41495</v>
      </c>
      <c r="B3180">
        <v>8.7449999999999992</v>
      </c>
      <c r="C3180" s="2">
        <f t="shared" si="49"/>
        <v>-5.1326032265202022E-3</v>
      </c>
    </row>
    <row r="3181" spans="1:3" x14ac:dyDescent="0.2">
      <c r="A3181" s="1">
        <v>41494</v>
      </c>
      <c r="B3181">
        <v>8.7899999999999991</v>
      </c>
      <c r="C3181" s="2">
        <f t="shared" si="49"/>
        <v>1.0866563890839193E-2</v>
      </c>
    </row>
    <row r="3182" spans="1:3" x14ac:dyDescent="0.2">
      <c r="A3182" s="1">
        <v>41493</v>
      </c>
      <c r="B3182">
        <v>8.6950000000000003</v>
      </c>
      <c r="C3182" s="2">
        <f t="shared" si="49"/>
        <v>-4.5897957797734514E-3</v>
      </c>
    </row>
    <row r="3183" spans="1:3" x14ac:dyDescent="0.2">
      <c r="A3183" s="1">
        <v>41492</v>
      </c>
      <c r="B3183">
        <v>8.7349999999999994</v>
      </c>
      <c r="C3183" s="2">
        <f t="shared" si="49"/>
        <v>-6.276768111065761E-3</v>
      </c>
    </row>
    <row r="3184" spans="1:3" x14ac:dyDescent="0.2">
      <c r="A3184" s="1">
        <v>41491</v>
      </c>
      <c r="B3184">
        <v>8.7899999999999991</v>
      </c>
      <c r="C3184" s="2">
        <f t="shared" si="49"/>
        <v>-7.9320529199039432E-3</v>
      </c>
    </row>
    <row r="3185" spans="1:3" x14ac:dyDescent="0.2">
      <c r="A3185" s="1">
        <v>41488</v>
      </c>
      <c r="B3185">
        <v>8.86</v>
      </c>
      <c r="C3185" s="2">
        <f t="shared" si="49"/>
        <v>4.5248945982895028E-3</v>
      </c>
    </row>
    <row r="3186" spans="1:3" x14ac:dyDescent="0.2">
      <c r="A3186" s="1">
        <v>41487</v>
      </c>
      <c r="B3186">
        <v>8.82</v>
      </c>
      <c r="C3186" s="2">
        <f t="shared" si="49"/>
        <v>-3.9604012160969048E-3</v>
      </c>
    </row>
    <row r="3187" spans="1:3" x14ac:dyDescent="0.2">
      <c r="A3187" s="1">
        <v>41486</v>
      </c>
      <c r="B3187">
        <v>8.8550000000000004</v>
      </c>
      <c r="C3187" s="2">
        <f t="shared" si="49"/>
        <v>-5.6449338219265296E-4</v>
      </c>
    </row>
    <row r="3188" spans="1:3" x14ac:dyDescent="0.2">
      <c r="A3188" s="1">
        <v>41485</v>
      </c>
      <c r="B3188">
        <v>8.86</v>
      </c>
      <c r="C3188" s="2">
        <f t="shared" si="49"/>
        <v>1.2493064247466405E-2</v>
      </c>
    </row>
    <row r="3189" spans="1:3" x14ac:dyDescent="0.2">
      <c r="A3189" s="1">
        <v>41484</v>
      </c>
      <c r="B3189">
        <v>8.75</v>
      </c>
      <c r="C3189" s="2">
        <f t="shared" si="49"/>
        <v>-2.3716526617316155E-2</v>
      </c>
    </row>
    <row r="3190" spans="1:3" x14ac:dyDescent="0.2">
      <c r="A3190" s="1">
        <v>41481</v>
      </c>
      <c r="B3190">
        <v>8.9600000000000009</v>
      </c>
      <c r="C3190" s="2">
        <f t="shared" si="49"/>
        <v>1.8018505502678431E-2</v>
      </c>
    </row>
    <row r="3191" spans="1:3" x14ac:dyDescent="0.2">
      <c r="A3191" s="1">
        <v>41480</v>
      </c>
      <c r="B3191">
        <v>8.8000000000000007</v>
      </c>
      <c r="C3191" s="2">
        <f t="shared" si="49"/>
        <v>1.9507216388824161E-2</v>
      </c>
    </row>
    <row r="3192" spans="1:3" x14ac:dyDescent="0.2">
      <c r="A3192" s="1">
        <v>41479</v>
      </c>
      <c r="B3192">
        <v>8.6300000000000008</v>
      </c>
      <c r="C3192" s="2">
        <f t="shared" si="49"/>
        <v>2.3201866556973477E-3</v>
      </c>
    </row>
    <row r="3193" spans="1:3" x14ac:dyDescent="0.2">
      <c r="A3193" s="1">
        <v>41478</v>
      </c>
      <c r="B3193">
        <v>8.61</v>
      </c>
      <c r="C3193" s="2">
        <f t="shared" si="49"/>
        <v>1.1095004324987771E-2</v>
      </c>
    </row>
    <row r="3194" spans="1:3" x14ac:dyDescent="0.2">
      <c r="A3194" s="1">
        <v>41477</v>
      </c>
      <c r="B3194">
        <v>8.5150000000000006</v>
      </c>
      <c r="C3194" s="2">
        <f t="shared" si="49"/>
        <v>-1.5730006829136313E-2</v>
      </c>
    </row>
    <row r="3195" spans="1:3" x14ac:dyDescent="0.2">
      <c r="A3195" s="1">
        <v>41474</v>
      </c>
      <c r="B3195">
        <v>8.65</v>
      </c>
      <c r="C3195" s="2">
        <f t="shared" si="49"/>
        <v>2.8943580263645565E-3</v>
      </c>
    </row>
    <row r="3196" spans="1:3" x14ac:dyDescent="0.2">
      <c r="A3196" s="1">
        <v>41473</v>
      </c>
      <c r="B3196">
        <v>8.625</v>
      </c>
      <c r="C3196" s="2">
        <f t="shared" si="49"/>
        <v>2.8220567642251247E-2</v>
      </c>
    </row>
    <row r="3197" spans="1:3" x14ac:dyDescent="0.2">
      <c r="A3197" s="1">
        <v>41472</v>
      </c>
      <c r="B3197">
        <v>8.3849999999999998</v>
      </c>
      <c r="C3197" s="2">
        <f t="shared" si="49"/>
        <v>5.9648078118048568E-4</v>
      </c>
    </row>
    <row r="3198" spans="1:3" x14ac:dyDescent="0.2">
      <c r="A3198" s="1">
        <v>41471</v>
      </c>
      <c r="B3198">
        <v>8.3800000000000008</v>
      </c>
      <c r="C3198" s="2">
        <f t="shared" si="49"/>
        <v>-8.9100678565518822E-3</v>
      </c>
    </row>
    <row r="3199" spans="1:3" x14ac:dyDescent="0.2">
      <c r="A3199" s="1">
        <v>41470</v>
      </c>
      <c r="B3199">
        <v>8.4550000000000001</v>
      </c>
      <c r="C3199" s="2">
        <f t="shared" si="49"/>
        <v>-3.4295718018979425E-2</v>
      </c>
    </row>
    <row r="3200" spans="1:3" x14ac:dyDescent="0.2">
      <c r="A3200" s="1">
        <v>41467</v>
      </c>
      <c r="B3200">
        <v>8.75</v>
      </c>
      <c r="C3200" s="2">
        <f t="shared" si="49"/>
        <v>-1.6997576368571136E-2</v>
      </c>
    </row>
    <row r="3201" spans="1:3" x14ac:dyDescent="0.2">
      <c r="A3201" s="1">
        <v>41466</v>
      </c>
      <c r="B3201">
        <v>8.9</v>
      </c>
      <c r="C3201" s="2">
        <f t="shared" si="49"/>
        <v>5.6338177182560642E-3</v>
      </c>
    </row>
    <row r="3202" spans="1:3" x14ac:dyDescent="0.2">
      <c r="A3202" s="1">
        <v>41465</v>
      </c>
      <c r="B3202">
        <v>8.85</v>
      </c>
      <c r="C3202" s="2">
        <f t="shared" si="49"/>
        <v>1.1363758650315003E-2</v>
      </c>
    </row>
    <row r="3203" spans="1:3" x14ac:dyDescent="0.2">
      <c r="A3203" s="1">
        <v>41464</v>
      </c>
      <c r="B3203">
        <v>8.75</v>
      </c>
      <c r="C3203" s="2">
        <f t="shared" ref="C3203:C3266" si="50">+LN(B3203/B3204)</f>
        <v>1.1494379425734991E-2</v>
      </c>
    </row>
    <row r="3204" spans="1:3" x14ac:dyDescent="0.2">
      <c r="A3204" s="1">
        <v>41463</v>
      </c>
      <c r="B3204">
        <v>8.65</v>
      </c>
      <c r="C3204" s="2">
        <f t="shared" si="50"/>
        <v>-5.7786768438446894E-4</v>
      </c>
    </row>
    <row r="3205" spans="1:3" x14ac:dyDescent="0.2">
      <c r="A3205" s="1">
        <v>41460</v>
      </c>
      <c r="B3205">
        <v>8.6549999999999994</v>
      </c>
      <c r="C3205" s="2">
        <f t="shared" si="50"/>
        <v>-1.7316021642779351E-3</v>
      </c>
    </row>
    <row r="3206" spans="1:3" x14ac:dyDescent="0.2">
      <c r="A3206" s="1">
        <v>41459</v>
      </c>
      <c r="B3206">
        <v>8.67</v>
      </c>
      <c r="C3206" s="2">
        <f t="shared" si="50"/>
        <v>5.7837061168487611E-3</v>
      </c>
    </row>
    <row r="3207" spans="1:3" x14ac:dyDescent="0.2">
      <c r="A3207" s="1">
        <v>41458</v>
      </c>
      <c r="B3207">
        <v>8.6199999999999992</v>
      </c>
      <c r="C3207" s="2">
        <f t="shared" si="50"/>
        <v>4.6511711757306591E-3</v>
      </c>
    </row>
    <row r="3208" spans="1:3" x14ac:dyDescent="0.2">
      <c r="A3208" s="1">
        <v>41457</v>
      </c>
      <c r="B3208">
        <v>8.58</v>
      </c>
      <c r="C3208" s="2">
        <f t="shared" si="50"/>
        <v>-1.3889112160667037E-2</v>
      </c>
    </row>
    <row r="3209" spans="1:3" x14ac:dyDescent="0.2">
      <c r="A3209" s="1">
        <v>41456</v>
      </c>
      <c r="B3209">
        <v>8.6999999999999993</v>
      </c>
      <c r="C3209" s="2">
        <f t="shared" si="50"/>
        <v>2.0320002490957528E-2</v>
      </c>
    </row>
    <row r="3210" spans="1:3" x14ac:dyDescent="0.2">
      <c r="A3210" s="1">
        <v>41453</v>
      </c>
      <c r="B3210">
        <v>8.5250000000000004</v>
      </c>
      <c r="C3210" s="2">
        <f t="shared" si="50"/>
        <v>1.2987195526811331E-2</v>
      </c>
    </row>
    <row r="3211" spans="1:3" x14ac:dyDescent="0.2">
      <c r="A3211" s="1">
        <v>41452</v>
      </c>
      <c r="B3211">
        <v>8.4149999999999991</v>
      </c>
      <c r="C3211" s="2">
        <f t="shared" si="50"/>
        <v>-1.1813486471882483E-2</v>
      </c>
    </row>
    <row r="3212" spans="1:3" x14ac:dyDescent="0.2">
      <c r="A3212" s="1">
        <v>41451</v>
      </c>
      <c r="B3212">
        <v>8.5150000000000006</v>
      </c>
      <c r="C3212" s="2">
        <f t="shared" si="50"/>
        <v>1.7772979675864369E-2</v>
      </c>
    </row>
    <row r="3213" spans="1:3" x14ac:dyDescent="0.2">
      <c r="A3213" s="1">
        <v>41450</v>
      </c>
      <c r="B3213">
        <v>8.3650000000000002</v>
      </c>
      <c r="C3213" s="2">
        <f t="shared" si="50"/>
        <v>1.6878037787351731E-2</v>
      </c>
    </row>
    <row r="3214" spans="1:3" x14ac:dyDescent="0.2">
      <c r="A3214" s="1">
        <v>41449</v>
      </c>
      <c r="B3214">
        <v>8.2249999999999996</v>
      </c>
      <c r="C3214" s="2">
        <f t="shared" si="50"/>
        <v>-5.4562123841643499E-3</v>
      </c>
    </row>
    <row r="3215" spans="1:3" x14ac:dyDescent="0.2">
      <c r="A3215" s="1">
        <v>41446</v>
      </c>
      <c r="B3215">
        <v>8.27</v>
      </c>
      <c r="C3215" s="2">
        <f t="shared" si="50"/>
        <v>-3.6210057669524049E-3</v>
      </c>
    </row>
    <row r="3216" spans="1:3" x14ac:dyDescent="0.2">
      <c r="A3216" s="1">
        <v>41445</v>
      </c>
      <c r="B3216">
        <v>8.3000000000000007</v>
      </c>
      <c r="C3216" s="2">
        <f t="shared" si="50"/>
        <v>-8.3983696988314937E-3</v>
      </c>
    </row>
    <row r="3217" spans="1:3" x14ac:dyDescent="0.2">
      <c r="A3217" s="1">
        <v>41444</v>
      </c>
      <c r="B3217">
        <v>8.3699999999999992</v>
      </c>
      <c r="C3217" s="2">
        <f t="shared" si="50"/>
        <v>-3.577821347884078E-3</v>
      </c>
    </row>
    <row r="3218" spans="1:3" x14ac:dyDescent="0.2">
      <c r="A3218" s="1">
        <v>41443</v>
      </c>
      <c r="B3218">
        <v>8.4</v>
      </c>
      <c r="C3218" s="2">
        <f t="shared" si="50"/>
        <v>1.077209698191104E-2</v>
      </c>
    </row>
    <row r="3219" spans="1:3" x14ac:dyDescent="0.2">
      <c r="A3219" s="1">
        <v>41442</v>
      </c>
      <c r="B3219">
        <v>8.31</v>
      </c>
      <c r="C3219" s="2">
        <f t="shared" si="50"/>
        <v>1.7602882444928452E-2</v>
      </c>
    </row>
    <row r="3220" spans="1:3" x14ac:dyDescent="0.2">
      <c r="A3220" s="1">
        <v>41439</v>
      </c>
      <c r="B3220">
        <v>8.1649999999999991</v>
      </c>
      <c r="C3220" s="2">
        <f t="shared" si="50"/>
        <v>-4.886998119625844E-3</v>
      </c>
    </row>
    <row r="3221" spans="1:3" x14ac:dyDescent="0.2">
      <c r="A3221" s="1">
        <v>41438</v>
      </c>
      <c r="B3221">
        <v>8.2050000000000001</v>
      </c>
      <c r="C3221" s="2">
        <f t="shared" si="50"/>
        <v>1.9071633111582047E-2</v>
      </c>
    </row>
    <row r="3222" spans="1:3" x14ac:dyDescent="0.2">
      <c r="A3222" s="1">
        <v>41437</v>
      </c>
      <c r="B3222">
        <v>8.0500000000000007</v>
      </c>
      <c r="C3222" s="2">
        <f t="shared" si="50"/>
        <v>-6.1919702479209951E-3</v>
      </c>
    </row>
    <row r="3223" spans="1:3" x14ac:dyDescent="0.2">
      <c r="A3223" s="1">
        <v>41436</v>
      </c>
      <c r="B3223">
        <v>8.1</v>
      </c>
      <c r="C3223" s="2">
        <f t="shared" si="50"/>
        <v>-7.9926647440353091E-3</v>
      </c>
    </row>
    <row r="3224" spans="1:3" x14ac:dyDescent="0.2">
      <c r="A3224" s="1">
        <v>41435</v>
      </c>
      <c r="B3224">
        <v>8.1649999999999991</v>
      </c>
      <c r="C3224" s="2">
        <f t="shared" si="50"/>
        <v>1.1083857313708192E-2</v>
      </c>
    </row>
    <row r="3225" spans="1:3" x14ac:dyDescent="0.2">
      <c r="A3225" s="1">
        <v>41432</v>
      </c>
      <c r="B3225">
        <v>8.0749999999999993</v>
      </c>
      <c r="C3225" s="2">
        <f t="shared" si="50"/>
        <v>1.0582109330536788E-2</v>
      </c>
    </row>
    <row r="3226" spans="1:3" x14ac:dyDescent="0.2">
      <c r="A3226" s="1">
        <v>41431</v>
      </c>
      <c r="B3226">
        <v>7.99</v>
      </c>
      <c r="C3226" s="2">
        <f t="shared" si="50"/>
        <v>-1.9827167474588039E-2</v>
      </c>
    </row>
    <row r="3227" spans="1:3" x14ac:dyDescent="0.2">
      <c r="A3227" s="1">
        <v>41430</v>
      </c>
      <c r="B3227">
        <v>8.15</v>
      </c>
      <c r="C3227" s="2">
        <f t="shared" si="50"/>
        <v>1.2345835822299362E-2</v>
      </c>
    </row>
    <row r="3228" spans="1:3" x14ac:dyDescent="0.2">
      <c r="A3228" s="1">
        <v>41429</v>
      </c>
      <c r="B3228">
        <v>8.0500000000000007</v>
      </c>
      <c r="C3228" s="2">
        <f t="shared" si="50"/>
        <v>0</v>
      </c>
    </row>
    <row r="3229" spans="1:3" x14ac:dyDescent="0.2">
      <c r="A3229" s="1">
        <v>41428</v>
      </c>
      <c r="B3229">
        <v>8.0500000000000007</v>
      </c>
      <c r="C3229" s="2">
        <f t="shared" si="50"/>
        <v>-1.1118088583976936E-2</v>
      </c>
    </row>
    <row r="3230" spans="1:3" x14ac:dyDescent="0.2">
      <c r="A3230" s="1">
        <v>41425</v>
      </c>
      <c r="B3230">
        <v>8.14</v>
      </c>
      <c r="C3230" s="2">
        <f t="shared" si="50"/>
        <v>6.1614489440486265E-3</v>
      </c>
    </row>
    <row r="3231" spans="1:3" x14ac:dyDescent="0.2">
      <c r="A3231" s="1">
        <v>41424</v>
      </c>
      <c r="B3231">
        <v>8.09</v>
      </c>
      <c r="C3231" s="2">
        <f t="shared" si="50"/>
        <v>1.3690319608682841E-2</v>
      </c>
    </row>
    <row r="3232" spans="1:3" x14ac:dyDescent="0.2">
      <c r="A3232" s="1">
        <v>41423</v>
      </c>
      <c r="B3232">
        <v>7.98</v>
      </c>
      <c r="C3232" s="2">
        <f t="shared" si="50"/>
        <v>-2.3530497410194046E-2</v>
      </c>
    </row>
    <row r="3233" spans="1:3" x14ac:dyDescent="0.2">
      <c r="A3233" s="1">
        <v>41422</v>
      </c>
      <c r="B3233">
        <v>8.17</v>
      </c>
      <c r="C3233" s="2">
        <f t="shared" si="50"/>
        <v>7.3710407445899502E-3</v>
      </c>
    </row>
    <row r="3234" spans="1:3" x14ac:dyDescent="0.2">
      <c r="A3234" s="1">
        <v>41421</v>
      </c>
      <c r="B3234">
        <v>8.11</v>
      </c>
      <c r="C3234" s="2">
        <f t="shared" si="50"/>
        <v>-3.692311887127491E-3</v>
      </c>
    </row>
    <row r="3235" spans="1:3" x14ac:dyDescent="0.2">
      <c r="A3235" s="1">
        <v>41418</v>
      </c>
      <c r="B3235">
        <v>8.14</v>
      </c>
      <c r="C3235" s="2">
        <f t="shared" si="50"/>
        <v>1.3605652055778678E-2</v>
      </c>
    </row>
    <row r="3236" spans="1:3" x14ac:dyDescent="0.2">
      <c r="A3236" s="1">
        <v>41417</v>
      </c>
      <c r="B3236">
        <v>8.0299999999999994</v>
      </c>
      <c r="C3236" s="2">
        <f t="shared" si="50"/>
        <v>-1.2445552322047188E-3</v>
      </c>
    </row>
    <row r="3237" spans="1:3" x14ac:dyDescent="0.2">
      <c r="A3237" s="1">
        <v>41416</v>
      </c>
      <c r="B3237">
        <v>8.0399999999999991</v>
      </c>
      <c r="C3237" s="2">
        <f t="shared" si="50"/>
        <v>-1.7263067423780708E-2</v>
      </c>
    </row>
    <row r="3238" spans="1:3" x14ac:dyDescent="0.2">
      <c r="A3238" s="1">
        <v>41415</v>
      </c>
      <c r="B3238">
        <v>8.18</v>
      </c>
      <c r="C3238" s="2">
        <f t="shared" si="50"/>
        <v>1.7263067423780771E-2</v>
      </c>
    </row>
    <row r="3239" spans="1:3" x14ac:dyDescent="0.2">
      <c r="A3239" s="1">
        <v>41414</v>
      </c>
      <c r="B3239">
        <v>8.0399999999999991</v>
      </c>
      <c r="C3239" s="2">
        <f t="shared" si="50"/>
        <v>1.8674141747952407E-3</v>
      </c>
    </row>
    <row r="3240" spans="1:3" x14ac:dyDescent="0.2">
      <c r="A3240" s="1">
        <v>41411</v>
      </c>
      <c r="B3240">
        <v>8.0250000000000004</v>
      </c>
      <c r="C3240" s="2">
        <f t="shared" si="50"/>
        <v>-5.5918132657778296E-3</v>
      </c>
    </row>
    <row r="3241" spans="1:3" x14ac:dyDescent="0.2">
      <c r="A3241" s="1">
        <v>41410</v>
      </c>
      <c r="B3241">
        <v>8.07</v>
      </c>
      <c r="C3241" s="2">
        <f t="shared" si="50"/>
        <v>-1.2927234501459717E-2</v>
      </c>
    </row>
    <row r="3242" spans="1:3" x14ac:dyDescent="0.2">
      <c r="A3242" s="1">
        <v>41409</v>
      </c>
      <c r="B3242">
        <v>8.1750000000000007</v>
      </c>
      <c r="C3242" s="2">
        <f t="shared" si="50"/>
        <v>9.8341296537185624E-3</v>
      </c>
    </row>
    <row r="3243" spans="1:3" x14ac:dyDescent="0.2">
      <c r="A3243" s="1">
        <v>41408</v>
      </c>
      <c r="B3243">
        <v>8.0950000000000006</v>
      </c>
      <c r="C3243" s="2">
        <f t="shared" si="50"/>
        <v>8.6849181135188486E-3</v>
      </c>
    </row>
    <row r="3244" spans="1:3" x14ac:dyDescent="0.2">
      <c r="A3244" s="1">
        <v>41407</v>
      </c>
      <c r="B3244">
        <v>8.0250000000000004</v>
      </c>
      <c r="C3244" s="2">
        <f t="shared" si="50"/>
        <v>1.5698909543103833E-2</v>
      </c>
    </row>
    <row r="3245" spans="1:3" x14ac:dyDescent="0.2">
      <c r="A3245" s="1">
        <v>41404</v>
      </c>
      <c r="B3245">
        <v>7.9</v>
      </c>
      <c r="C3245" s="2">
        <f t="shared" si="50"/>
        <v>-7.5662403833158132E-3</v>
      </c>
    </row>
    <row r="3246" spans="1:3" x14ac:dyDescent="0.2">
      <c r="A3246" s="1">
        <v>41403</v>
      </c>
      <c r="B3246">
        <v>7.96</v>
      </c>
      <c r="C3246" s="2">
        <f t="shared" si="50"/>
        <v>1.3915468061974579E-2</v>
      </c>
    </row>
    <row r="3247" spans="1:3" x14ac:dyDescent="0.2">
      <c r="A3247" s="1">
        <v>41402</v>
      </c>
      <c r="B3247">
        <v>7.85</v>
      </c>
      <c r="C3247" s="2">
        <f t="shared" si="50"/>
        <v>0</v>
      </c>
    </row>
    <row r="3248" spans="1:3" x14ac:dyDescent="0.2">
      <c r="A3248" s="1">
        <v>41401</v>
      </c>
      <c r="B3248">
        <v>7.85</v>
      </c>
      <c r="C3248" s="2">
        <f t="shared" si="50"/>
        <v>5.7489778269217574E-3</v>
      </c>
    </row>
    <row r="3249" spans="1:3" x14ac:dyDescent="0.2">
      <c r="A3249" s="1">
        <v>41400</v>
      </c>
      <c r="B3249">
        <v>7.8049999999999997</v>
      </c>
      <c r="C3249" s="2">
        <f t="shared" si="50"/>
        <v>5.7822197722679838E-3</v>
      </c>
    </row>
    <row r="3250" spans="1:3" x14ac:dyDescent="0.2">
      <c r="A3250" s="1">
        <v>41397</v>
      </c>
      <c r="B3250">
        <v>7.76</v>
      </c>
      <c r="C3250" s="2">
        <f t="shared" si="50"/>
        <v>-1.1531197599189679E-2</v>
      </c>
    </row>
    <row r="3251" spans="1:3" x14ac:dyDescent="0.2">
      <c r="A3251" s="1">
        <v>41396</v>
      </c>
      <c r="B3251">
        <v>7.85</v>
      </c>
      <c r="C3251" s="2">
        <f t="shared" si="50"/>
        <v>2.5510217916052047E-3</v>
      </c>
    </row>
    <row r="3252" spans="1:3" x14ac:dyDescent="0.2">
      <c r="A3252" s="1">
        <v>41394</v>
      </c>
      <c r="B3252">
        <v>7.83</v>
      </c>
      <c r="C3252" s="2">
        <f t="shared" si="50"/>
        <v>1.2779554454919874E-3</v>
      </c>
    </row>
    <row r="3253" spans="1:3" x14ac:dyDescent="0.2">
      <c r="A3253" s="1">
        <v>41393</v>
      </c>
      <c r="B3253">
        <v>7.82</v>
      </c>
      <c r="C3253" s="2">
        <f t="shared" si="50"/>
        <v>4.4857492712581746E-3</v>
      </c>
    </row>
    <row r="3254" spans="1:3" x14ac:dyDescent="0.2">
      <c r="A3254" s="1">
        <v>41390</v>
      </c>
      <c r="B3254">
        <v>7.7850000000000001</v>
      </c>
      <c r="C3254" s="2">
        <f t="shared" si="50"/>
        <v>1.7493157447517119E-2</v>
      </c>
    </row>
    <row r="3255" spans="1:3" x14ac:dyDescent="0.2">
      <c r="A3255" s="1">
        <v>41389</v>
      </c>
      <c r="B3255">
        <v>7.65</v>
      </c>
      <c r="C3255" s="2">
        <f t="shared" si="50"/>
        <v>3.2733253449691085E-3</v>
      </c>
    </row>
    <row r="3256" spans="1:3" x14ac:dyDescent="0.2">
      <c r="A3256" s="1">
        <v>41388</v>
      </c>
      <c r="B3256">
        <v>7.625</v>
      </c>
      <c r="C3256" s="2">
        <f t="shared" si="50"/>
        <v>-1.9652806849537567E-3</v>
      </c>
    </row>
    <row r="3257" spans="1:3" x14ac:dyDescent="0.2">
      <c r="A3257" s="1">
        <v>41387</v>
      </c>
      <c r="B3257">
        <v>7.64</v>
      </c>
      <c r="C3257" s="2">
        <f t="shared" si="50"/>
        <v>1.5166792543489512E-2</v>
      </c>
    </row>
    <row r="3258" spans="1:3" x14ac:dyDescent="0.2">
      <c r="A3258" s="1">
        <v>41386</v>
      </c>
      <c r="B3258">
        <v>7.5250000000000004</v>
      </c>
      <c r="C3258" s="2">
        <f t="shared" si="50"/>
        <v>3.3277900926747457E-3</v>
      </c>
    </row>
    <row r="3259" spans="1:3" x14ac:dyDescent="0.2">
      <c r="A3259" s="1">
        <v>41383</v>
      </c>
      <c r="B3259">
        <v>7.5</v>
      </c>
      <c r="C3259" s="2">
        <f t="shared" si="50"/>
        <v>-1.1928570865273732E-2</v>
      </c>
    </row>
    <row r="3260" spans="1:3" x14ac:dyDescent="0.2">
      <c r="A3260" s="1">
        <v>41382</v>
      </c>
      <c r="B3260">
        <v>7.59</v>
      </c>
      <c r="C3260" s="2">
        <f t="shared" si="50"/>
        <v>2.1305732677870681E-2</v>
      </c>
    </row>
    <row r="3261" spans="1:3" x14ac:dyDescent="0.2">
      <c r="A3261" s="1">
        <v>41381</v>
      </c>
      <c r="B3261">
        <v>7.43</v>
      </c>
      <c r="C3261" s="2">
        <f t="shared" si="50"/>
        <v>1.7651510575322334E-2</v>
      </c>
    </row>
    <row r="3262" spans="1:3" x14ac:dyDescent="0.2">
      <c r="A3262" s="1">
        <v>41380</v>
      </c>
      <c r="B3262">
        <v>7.3</v>
      </c>
      <c r="C3262" s="2">
        <f t="shared" si="50"/>
        <v>6.8516617959651059E-4</v>
      </c>
    </row>
    <row r="3263" spans="1:3" x14ac:dyDescent="0.2">
      <c r="A3263" s="1">
        <v>41379</v>
      </c>
      <c r="B3263">
        <v>7.2949999999999999</v>
      </c>
      <c r="C3263" s="2">
        <f t="shared" si="50"/>
        <v>1.3717423275807366E-3</v>
      </c>
    </row>
    <row r="3264" spans="1:3" x14ac:dyDescent="0.2">
      <c r="A3264" s="1">
        <v>41376</v>
      </c>
      <c r="B3264">
        <v>7.2850000000000001</v>
      </c>
      <c r="C3264" s="2">
        <f t="shared" si="50"/>
        <v>1.5911785035639288E-2</v>
      </c>
    </row>
    <row r="3265" spans="1:3" x14ac:dyDescent="0.2">
      <c r="A3265" s="1">
        <v>41375</v>
      </c>
      <c r="B3265">
        <v>7.17</v>
      </c>
      <c r="C3265" s="2">
        <f t="shared" si="50"/>
        <v>3.4928432296983903E-3</v>
      </c>
    </row>
    <row r="3266" spans="1:3" x14ac:dyDescent="0.2">
      <c r="A3266" s="1">
        <v>41374</v>
      </c>
      <c r="B3266">
        <v>7.1449999999999996</v>
      </c>
      <c r="C3266" s="2">
        <f t="shared" si="50"/>
        <v>1.055233147334932E-2</v>
      </c>
    </row>
    <row r="3267" spans="1:3" x14ac:dyDescent="0.2">
      <c r="A3267" s="1">
        <v>41373</v>
      </c>
      <c r="B3267">
        <v>7.07</v>
      </c>
      <c r="C3267" s="2">
        <f t="shared" ref="C3267:C3330" si="51">+LN(B3267/B3268)</f>
        <v>-2.0994472996253385E-2</v>
      </c>
    </row>
    <row r="3268" spans="1:3" x14ac:dyDescent="0.2">
      <c r="A3268" s="1">
        <v>41372</v>
      </c>
      <c r="B3268">
        <v>7.22</v>
      </c>
      <c r="C3268" s="2">
        <f t="shared" si="51"/>
        <v>2.5246782734783889E-2</v>
      </c>
    </row>
    <row r="3269" spans="1:3" x14ac:dyDescent="0.2">
      <c r="A3269" s="1">
        <v>41369</v>
      </c>
      <c r="B3269">
        <v>7.04</v>
      </c>
      <c r="C3269" s="2">
        <f t="shared" si="51"/>
        <v>-2.1284151348262875E-3</v>
      </c>
    </row>
    <row r="3270" spans="1:3" x14ac:dyDescent="0.2">
      <c r="A3270" s="1">
        <v>41368</v>
      </c>
      <c r="B3270">
        <v>7.0549999999999997</v>
      </c>
      <c r="C3270" s="2">
        <f t="shared" si="51"/>
        <v>4.9733672670576306E-3</v>
      </c>
    </row>
    <row r="3271" spans="1:3" x14ac:dyDescent="0.2">
      <c r="A3271" s="1">
        <v>41367</v>
      </c>
      <c r="B3271">
        <v>7.02</v>
      </c>
      <c r="C3271" s="2">
        <f t="shared" si="51"/>
        <v>-1.133156600954997E-2</v>
      </c>
    </row>
    <row r="3272" spans="1:3" x14ac:dyDescent="0.2">
      <c r="A3272" s="1">
        <v>41366</v>
      </c>
      <c r="B3272">
        <v>7.1</v>
      </c>
      <c r="C3272" s="2">
        <f t="shared" si="51"/>
        <v>5.6497325421191276E-3</v>
      </c>
    </row>
    <row r="3273" spans="1:3" x14ac:dyDescent="0.2">
      <c r="A3273" s="1">
        <v>41361</v>
      </c>
      <c r="B3273">
        <v>7.06</v>
      </c>
      <c r="C3273" s="2">
        <f t="shared" si="51"/>
        <v>0</v>
      </c>
    </row>
    <row r="3274" spans="1:3" x14ac:dyDescent="0.2">
      <c r="A3274" s="1">
        <v>41360</v>
      </c>
      <c r="B3274">
        <v>7.06</v>
      </c>
      <c r="C3274" s="2">
        <f t="shared" si="51"/>
        <v>-7.0571923099988628E-3</v>
      </c>
    </row>
    <row r="3275" spans="1:3" x14ac:dyDescent="0.2">
      <c r="A3275" s="1">
        <v>41359</v>
      </c>
      <c r="B3275">
        <v>7.11</v>
      </c>
      <c r="C3275" s="2">
        <f t="shared" si="51"/>
        <v>2.8169032711133734E-3</v>
      </c>
    </row>
    <row r="3276" spans="1:3" x14ac:dyDescent="0.2">
      <c r="A3276" s="1">
        <v>41358</v>
      </c>
      <c r="B3276">
        <v>7.09</v>
      </c>
      <c r="C3276" s="2">
        <f t="shared" si="51"/>
        <v>-2.3694488292668549E-2</v>
      </c>
    </row>
    <row r="3277" spans="1:3" x14ac:dyDescent="0.2">
      <c r="A3277" s="1">
        <v>41355</v>
      </c>
      <c r="B3277">
        <v>7.26</v>
      </c>
      <c r="C3277" s="2">
        <f t="shared" si="51"/>
        <v>3.4494687532575482E-3</v>
      </c>
    </row>
    <row r="3278" spans="1:3" x14ac:dyDescent="0.2">
      <c r="A3278" s="1">
        <v>41354</v>
      </c>
      <c r="B3278">
        <v>7.2350000000000003</v>
      </c>
      <c r="C3278" s="2">
        <f t="shared" si="51"/>
        <v>1.7428116268297718E-2</v>
      </c>
    </row>
    <row r="3279" spans="1:3" x14ac:dyDescent="0.2">
      <c r="A3279" s="1">
        <v>41353</v>
      </c>
      <c r="B3279">
        <v>7.11</v>
      </c>
      <c r="C3279" s="2">
        <f t="shared" si="51"/>
        <v>-1.3966707481708193E-2</v>
      </c>
    </row>
    <row r="3280" spans="1:3" x14ac:dyDescent="0.2">
      <c r="A3280" s="1">
        <v>41352</v>
      </c>
      <c r="B3280">
        <v>7.21</v>
      </c>
      <c r="C3280" s="2">
        <f t="shared" si="51"/>
        <v>5.5632966853287318E-3</v>
      </c>
    </row>
    <row r="3281" spans="1:3" x14ac:dyDescent="0.2">
      <c r="A3281" s="1">
        <v>41351</v>
      </c>
      <c r="B3281">
        <v>7.17</v>
      </c>
      <c r="C3281" s="2">
        <f t="shared" si="51"/>
        <v>-1.1785231724622119E-2</v>
      </c>
    </row>
    <row r="3282" spans="1:3" x14ac:dyDescent="0.2">
      <c r="A3282" s="1">
        <v>41348</v>
      </c>
      <c r="B3282">
        <v>7.2549999999999999</v>
      </c>
      <c r="C3282" s="2">
        <f t="shared" si="51"/>
        <v>-1.0284629562409008E-2</v>
      </c>
    </row>
    <row r="3283" spans="1:3" x14ac:dyDescent="0.2">
      <c r="A3283" s="1">
        <v>41347</v>
      </c>
      <c r="B3283">
        <v>7.33</v>
      </c>
      <c r="C3283" s="2">
        <f t="shared" si="51"/>
        <v>3.3290175354523943E-2</v>
      </c>
    </row>
    <row r="3284" spans="1:3" x14ac:dyDescent="0.2">
      <c r="A3284" s="1">
        <v>41346</v>
      </c>
      <c r="B3284">
        <v>7.09</v>
      </c>
      <c r="C3284" s="2">
        <f t="shared" si="51"/>
        <v>-2.3694488292668549E-2</v>
      </c>
    </row>
    <row r="3285" spans="1:3" x14ac:dyDescent="0.2">
      <c r="A3285" s="1">
        <v>41345</v>
      </c>
      <c r="B3285">
        <v>7.26</v>
      </c>
      <c r="C3285" s="2">
        <f t="shared" si="51"/>
        <v>-1.97756188830574E-2</v>
      </c>
    </row>
    <row r="3286" spans="1:3" x14ac:dyDescent="0.2">
      <c r="A3286" s="1">
        <v>41344</v>
      </c>
      <c r="B3286">
        <v>7.4050000000000002</v>
      </c>
      <c r="C3286" s="2">
        <f t="shared" si="51"/>
        <v>-2.1376899520557144E-2</v>
      </c>
    </row>
    <row r="3287" spans="1:3" x14ac:dyDescent="0.2">
      <c r="A3287" s="1">
        <v>41341</v>
      </c>
      <c r="B3287">
        <v>7.5650000000000004</v>
      </c>
      <c r="C3287" s="2">
        <f t="shared" si="51"/>
        <v>1.1968227963569285E-2</v>
      </c>
    </row>
    <row r="3288" spans="1:3" x14ac:dyDescent="0.2">
      <c r="A3288" s="1">
        <v>41340</v>
      </c>
      <c r="B3288">
        <v>7.4749999999999996</v>
      </c>
      <c r="C3288" s="2">
        <f t="shared" si="51"/>
        <v>-1.8555867070375081E-2</v>
      </c>
    </row>
    <row r="3289" spans="1:3" x14ac:dyDescent="0.2">
      <c r="A3289" s="1">
        <v>41339</v>
      </c>
      <c r="B3289">
        <v>7.6150000000000002</v>
      </c>
      <c r="C3289" s="2">
        <f t="shared" si="51"/>
        <v>-6.5638335142973435E-4</v>
      </c>
    </row>
    <row r="3290" spans="1:3" x14ac:dyDescent="0.2">
      <c r="A3290" s="1">
        <v>41338</v>
      </c>
      <c r="B3290">
        <v>7.62</v>
      </c>
      <c r="C3290" s="2">
        <f t="shared" si="51"/>
        <v>-9.7943975922876979E-3</v>
      </c>
    </row>
    <row r="3291" spans="1:3" x14ac:dyDescent="0.2">
      <c r="A3291" s="1">
        <v>41337</v>
      </c>
      <c r="B3291">
        <v>7.6950000000000003</v>
      </c>
      <c r="C3291" s="2">
        <f t="shared" si="51"/>
        <v>2.6024738175816544E-3</v>
      </c>
    </row>
    <row r="3292" spans="1:3" x14ac:dyDescent="0.2">
      <c r="A3292" s="1">
        <v>41334</v>
      </c>
      <c r="B3292">
        <v>7.6749999999999998</v>
      </c>
      <c r="C3292" s="2">
        <f t="shared" si="51"/>
        <v>8.5051215996664251E-3</v>
      </c>
    </row>
    <row r="3293" spans="1:3" x14ac:dyDescent="0.2">
      <c r="A3293" s="1">
        <v>41333</v>
      </c>
      <c r="B3293">
        <v>7.61</v>
      </c>
      <c r="C3293" s="2">
        <f t="shared" si="51"/>
        <v>3.9499722193142902E-3</v>
      </c>
    </row>
    <row r="3294" spans="1:3" x14ac:dyDescent="0.2">
      <c r="A3294" s="1">
        <v>41332</v>
      </c>
      <c r="B3294">
        <v>7.58</v>
      </c>
      <c r="C3294" s="2">
        <f t="shared" si="51"/>
        <v>4.2444902632034098E-2</v>
      </c>
    </row>
    <row r="3295" spans="1:3" x14ac:dyDescent="0.2">
      <c r="A3295" s="1">
        <v>41331</v>
      </c>
      <c r="B3295">
        <v>7.2649999999999997</v>
      </c>
      <c r="C3295" s="2">
        <f t="shared" si="51"/>
        <v>-3.7816795197566026E-2</v>
      </c>
    </row>
    <row r="3296" spans="1:3" x14ac:dyDescent="0.2">
      <c r="A3296" s="1">
        <v>41330</v>
      </c>
      <c r="B3296">
        <v>7.5449999999999999</v>
      </c>
      <c r="C3296" s="2">
        <f t="shared" si="51"/>
        <v>-1.3820555618632312E-2</v>
      </c>
    </row>
    <row r="3297" spans="1:3" x14ac:dyDescent="0.2">
      <c r="A3297" s="1">
        <v>41327</v>
      </c>
      <c r="B3297">
        <v>7.65</v>
      </c>
      <c r="C3297" s="2">
        <f t="shared" si="51"/>
        <v>2.6178025420788799E-3</v>
      </c>
    </row>
    <row r="3298" spans="1:3" x14ac:dyDescent="0.2">
      <c r="A3298" s="1">
        <v>41326</v>
      </c>
      <c r="B3298">
        <v>7.63</v>
      </c>
      <c r="C3298" s="2">
        <f t="shared" si="51"/>
        <v>-2.2676708671029701E-2</v>
      </c>
    </row>
    <row r="3299" spans="1:3" x14ac:dyDescent="0.2">
      <c r="A3299" s="1">
        <v>41325</v>
      </c>
      <c r="B3299">
        <v>7.8049999999999997</v>
      </c>
      <c r="C3299" s="2">
        <f t="shared" si="51"/>
        <v>1.1598068152271107E-2</v>
      </c>
    </row>
    <row r="3300" spans="1:3" x14ac:dyDescent="0.2">
      <c r="A3300" s="1">
        <v>41324</v>
      </c>
      <c r="B3300">
        <v>7.7149999999999999</v>
      </c>
      <c r="C3300" s="2">
        <f t="shared" si="51"/>
        <v>-7.7469722501737259E-3</v>
      </c>
    </row>
    <row r="3301" spans="1:3" x14ac:dyDescent="0.2">
      <c r="A3301" s="1">
        <v>41323</v>
      </c>
      <c r="B3301">
        <v>7.7750000000000004</v>
      </c>
      <c r="C3301" s="2">
        <f t="shared" si="51"/>
        <v>-2.5690444444419597E-3</v>
      </c>
    </row>
    <row r="3302" spans="1:3" x14ac:dyDescent="0.2">
      <c r="A3302" s="1">
        <v>41320</v>
      </c>
      <c r="B3302">
        <v>7.7949999999999999</v>
      </c>
      <c r="C3302" s="2">
        <f t="shared" si="51"/>
        <v>6.4164262708304011E-4</v>
      </c>
    </row>
    <row r="3303" spans="1:3" x14ac:dyDescent="0.2">
      <c r="A3303" s="1">
        <v>41319</v>
      </c>
      <c r="B3303">
        <v>7.79</v>
      </c>
      <c r="C3303" s="2">
        <f t="shared" si="51"/>
        <v>5.7933860138249778E-3</v>
      </c>
    </row>
    <row r="3304" spans="1:3" x14ac:dyDescent="0.2">
      <c r="A3304" s="1">
        <v>41318</v>
      </c>
      <c r="B3304">
        <v>7.7450000000000001</v>
      </c>
      <c r="C3304" s="2">
        <f t="shared" si="51"/>
        <v>1.4959628572466369E-2</v>
      </c>
    </row>
    <row r="3305" spans="1:3" x14ac:dyDescent="0.2">
      <c r="A3305" s="1">
        <v>41317</v>
      </c>
      <c r="B3305">
        <v>7.63</v>
      </c>
      <c r="C3305" s="2">
        <f t="shared" si="51"/>
        <v>5.9152324958699522E-3</v>
      </c>
    </row>
    <row r="3306" spans="1:3" x14ac:dyDescent="0.2">
      <c r="A3306" s="1">
        <v>41316</v>
      </c>
      <c r="B3306">
        <v>7.585</v>
      </c>
      <c r="C3306" s="2">
        <f t="shared" si="51"/>
        <v>-2.6333129107606571E-3</v>
      </c>
    </row>
    <row r="3307" spans="1:3" x14ac:dyDescent="0.2">
      <c r="A3307" s="1">
        <v>41313</v>
      </c>
      <c r="B3307">
        <v>7.6050000000000004</v>
      </c>
      <c r="C3307" s="2">
        <f t="shared" si="51"/>
        <v>3.2927260569759068E-3</v>
      </c>
    </row>
    <row r="3308" spans="1:3" x14ac:dyDescent="0.2">
      <c r="A3308" s="1">
        <v>41312</v>
      </c>
      <c r="B3308">
        <v>7.58</v>
      </c>
      <c r="C3308" s="2">
        <f t="shared" si="51"/>
        <v>-6.5941314621531825E-4</v>
      </c>
    </row>
    <row r="3309" spans="1:3" x14ac:dyDescent="0.2">
      <c r="A3309" s="1">
        <v>41311</v>
      </c>
      <c r="B3309">
        <v>7.585</v>
      </c>
      <c r="C3309" s="2">
        <f t="shared" si="51"/>
        <v>3.3014226090540026E-3</v>
      </c>
    </row>
    <row r="3310" spans="1:3" x14ac:dyDescent="0.2">
      <c r="A3310" s="1">
        <v>41310</v>
      </c>
      <c r="B3310">
        <v>7.56</v>
      </c>
      <c r="C3310" s="2">
        <f t="shared" si="51"/>
        <v>1.8018505502678212E-2</v>
      </c>
    </row>
    <row r="3311" spans="1:3" x14ac:dyDescent="0.2">
      <c r="A3311" s="1">
        <v>41309</v>
      </c>
      <c r="B3311">
        <v>7.4249999999999998</v>
      </c>
      <c r="C3311" s="2">
        <f t="shared" si="51"/>
        <v>-2.0660514965516956E-2</v>
      </c>
    </row>
    <row r="3312" spans="1:3" x14ac:dyDescent="0.2">
      <c r="A3312" s="1">
        <v>41306</v>
      </c>
      <c r="B3312">
        <v>7.58</v>
      </c>
      <c r="C3312" s="2">
        <f t="shared" si="51"/>
        <v>5.9543675758215097E-3</v>
      </c>
    </row>
    <row r="3313" spans="1:3" x14ac:dyDescent="0.2">
      <c r="A3313" s="1">
        <v>41305</v>
      </c>
      <c r="B3313">
        <v>7.5350000000000001</v>
      </c>
      <c r="C3313" s="2">
        <f t="shared" si="51"/>
        <v>-1.4493007302566752E-2</v>
      </c>
    </row>
    <row r="3314" spans="1:3" x14ac:dyDescent="0.2">
      <c r="A3314" s="1">
        <v>41304</v>
      </c>
      <c r="B3314">
        <v>7.6449999999999996</v>
      </c>
      <c r="C3314" s="2">
        <f t="shared" si="51"/>
        <v>1.250427612009233E-2</v>
      </c>
    </row>
    <row r="3315" spans="1:3" x14ac:dyDescent="0.2">
      <c r="A3315" s="1">
        <v>41303</v>
      </c>
      <c r="B3315">
        <v>7.55</v>
      </c>
      <c r="C3315" s="2">
        <f t="shared" si="51"/>
        <v>-1.185003991749573E-2</v>
      </c>
    </row>
    <row r="3316" spans="1:3" x14ac:dyDescent="0.2">
      <c r="A3316" s="1">
        <v>41302</v>
      </c>
      <c r="B3316">
        <v>7.64</v>
      </c>
      <c r="C3316" s="2">
        <f t="shared" si="51"/>
        <v>1.3175421158564328E-2</v>
      </c>
    </row>
    <row r="3317" spans="1:3" x14ac:dyDescent="0.2">
      <c r="A3317" s="1">
        <v>41299</v>
      </c>
      <c r="B3317">
        <v>7.54</v>
      </c>
      <c r="C3317" s="2">
        <f t="shared" si="51"/>
        <v>-1.3253812410685707E-3</v>
      </c>
    </row>
    <row r="3318" spans="1:3" x14ac:dyDescent="0.2">
      <c r="A3318" s="1">
        <v>41298</v>
      </c>
      <c r="B3318">
        <v>7.55</v>
      </c>
      <c r="C3318" s="2">
        <f t="shared" si="51"/>
        <v>9.3147712745473878E-3</v>
      </c>
    </row>
    <row r="3319" spans="1:3" x14ac:dyDescent="0.2">
      <c r="A3319" s="1">
        <v>41297</v>
      </c>
      <c r="B3319">
        <v>7.48</v>
      </c>
      <c r="C3319" s="2">
        <f t="shared" si="51"/>
        <v>2.0073609952321451E-3</v>
      </c>
    </row>
    <row r="3320" spans="1:3" x14ac:dyDescent="0.2">
      <c r="A3320" s="1">
        <v>41296</v>
      </c>
      <c r="B3320">
        <v>7.4649999999999999</v>
      </c>
      <c r="C3320" s="2">
        <f t="shared" si="51"/>
        <v>4.0268510790354454E-3</v>
      </c>
    </row>
    <row r="3321" spans="1:3" x14ac:dyDescent="0.2">
      <c r="A3321" s="1">
        <v>41295</v>
      </c>
      <c r="B3321">
        <v>7.4349999999999996</v>
      </c>
      <c r="C3321" s="2">
        <f t="shared" si="51"/>
        <v>1.1498266687373079E-2</v>
      </c>
    </row>
    <row r="3322" spans="1:3" x14ac:dyDescent="0.2">
      <c r="A3322" s="1">
        <v>41292</v>
      </c>
      <c r="B3322">
        <v>7.35</v>
      </c>
      <c r="C3322" s="2">
        <f t="shared" si="51"/>
        <v>-1.0152371464018073E-2</v>
      </c>
    </row>
    <row r="3323" spans="1:3" x14ac:dyDescent="0.2">
      <c r="A3323" s="1">
        <v>41291</v>
      </c>
      <c r="B3323">
        <v>7.4249999999999998</v>
      </c>
      <c r="C3323" s="2">
        <f t="shared" si="51"/>
        <v>-6.7317404090443719E-4</v>
      </c>
    </row>
    <row r="3324" spans="1:3" x14ac:dyDescent="0.2">
      <c r="A3324" s="1">
        <v>41290</v>
      </c>
      <c r="B3324">
        <v>7.43</v>
      </c>
      <c r="C3324" s="2">
        <f t="shared" si="51"/>
        <v>1.2868447134722709E-2</v>
      </c>
    </row>
    <row r="3325" spans="1:3" x14ac:dyDescent="0.2">
      <c r="A3325" s="1">
        <v>41289</v>
      </c>
      <c r="B3325">
        <v>7.335</v>
      </c>
      <c r="C3325" s="2">
        <f t="shared" si="51"/>
        <v>2.2751756983416027E-2</v>
      </c>
    </row>
    <row r="3326" spans="1:3" x14ac:dyDescent="0.2">
      <c r="A3326" s="1">
        <v>41288</v>
      </c>
      <c r="B3326">
        <v>7.17</v>
      </c>
      <c r="C3326" s="2">
        <f t="shared" si="51"/>
        <v>1.3956736389747558E-3</v>
      </c>
    </row>
    <row r="3327" spans="1:3" x14ac:dyDescent="0.2">
      <c r="A3327" s="1">
        <v>41285</v>
      </c>
      <c r="B3327">
        <v>7.16</v>
      </c>
      <c r="C3327" s="2">
        <f t="shared" si="51"/>
        <v>-9.7290551981191499E-3</v>
      </c>
    </row>
    <row r="3328" spans="1:3" x14ac:dyDescent="0.2">
      <c r="A3328" s="1">
        <v>41284</v>
      </c>
      <c r="B3328">
        <v>7.23</v>
      </c>
      <c r="C3328" s="2">
        <f t="shared" si="51"/>
        <v>0</v>
      </c>
    </row>
    <row r="3329" spans="1:3" x14ac:dyDescent="0.2">
      <c r="A3329" s="1">
        <v>41283</v>
      </c>
      <c r="B3329">
        <v>7.23</v>
      </c>
      <c r="C3329" s="2">
        <f t="shared" si="51"/>
        <v>-2.0725396019723123E-3</v>
      </c>
    </row>
    <row r="3330" spans="1:3" x14ac:dyDescent="0.2">
      <c r="A3330" s="1">
        <v>41282</v>
      </c>
      <c r="B3330">
        <v>7.2450000000000001</v>
      </c>
      <c r="C3330" s="2">
        <f t="shared" si="51"/>
        <v>1.3199219066729289E-2</v>
      </c>
    </row>
    <row r="3331" spans="1:3" x14ac:dyDescent="0.2">
      <c r="A3331" s="1">
        <v>41281</v>
      </c>
      <c r="B3331">
        <v>7.15</v>
      </c>
      <c r="C3331" s="2">
        <f t="shared" ref="C3331:C3394" si="52">+LN(B3331/B3332)</f>
        <v>1.7637141486106876E-2</v>
      </c>
    </row>
    <row r="3332" spans="1:3" x14ac:dyDescent="0.2">
      <c r="A3332" s="1">
        <v>41278</v>
      </c>
      <c r="B3332">
        <v>7.0250000000000004</v>
      </c>
      <c r="C3332" s="2">
        <f t="shared" si="52"/>
        <v>4.9946589740906371E-3</v>
      </c>
    </row>
    <row r="3333" spans="1:3" x14ac:dyDescent="0.2">
      <c r="A3333" s="1">
        <v>41277</v>
      </c>
      <c r="B3333">
        <v>6.99</v>
      </c>
      <c r="C3333" s="2">
        <f t="shared" si="52"/>
        <v>4.3010818993907017E-3</v>
      </c>
    </row>
    <row r="3334" spans="1:3" x14ac:dyDescent="0.2">
      <c r="A3334" s="1">
        <v>41276</v>
      </c>
      <c r="B3334">
        <v>6.96</v>
      </c>
      <c r="C3334" s="2">
        <f t="shared" si="52"/>
        <v>7.2098365667497503E-3</v>
      </c>
    </row>
    <row r="3335" spans="1:3" x14ac:dyDescent="0.2">
      <c r="A3335" s="1">
        <v>41271</v>
      </c>
      <c r="B3335">
        <v>6.91</v>
      </c>
      <c r="C3335" s="2">
        <f t="shared" si="52"/>
        <v>-6.4911875958277472E-3</v>
      </c>
    </row>
    <row r="3336" spans="1:3" x14ac:dyDescent="0.2">
      <c r="A3336" s="1">
        <v>41270</v>
      </c>
      <c r="B3336">
        <v>6.9550000000000001</v>
      </c>
      <c r="C3336" s="2">
        <f t="shared" si="52"/>
        <v>-2.154399397026214E-3</v>
      </c>
    </row>
    <row r="3337" spans="1:3" x14ac:dyDescent="0.2">
      <c r="A3337" s="1">
        <v>41264</v>
      </c>
      <c r="B3337">
        <v>6.97</v>
      </c>
      <c r="C3337" s="2">
        <f t="shared" si="52"/>
        <v>7.9222596557109171E-3</v>
      </c>
    </row>
    <row r="3338" spans="1:3" x14ac:dyDescent="0.2">
      <c r="A3338" s="1">
        <v>41263</v>
      </c>
      <c r="B3338">
        <v>6.915</v>
      </c>
      <c r="C3338" s="2">
        <f t="shared" si="52"/>
        <v>-5.7678602586847261E-3</v>
      </c>
    </row>
    <row r="3339" spans="1:3" x14ac:dyDescent="0.2">
      <c r="A3339" s="1">
        <v>41262</v>
      </c>
      <c r="B3339">
        <v>6.9550000000000001</v>
      </c>
      <c r="C3339" s="2">
        <f t="shared" si="52"/>
        <v>-1.5692190761084603E-2</v>
      </c>
    </row>
    <row r="3340" spans="1:3" x14ac:dyDescent="0.2">
      <c r="A3340" s="1">
        <v>41261</v>
      </c>
      <c r="B3340">
        <v>7.0650000000000004</v>
      </c>
      <c r="C3340" s="2">
        <f t="shared" si="52"/>
        <v>4.9663103139171638E-3</v>
      </c>
    </row>
    <row r="3341" spans="1:3" x14ac:dyDescent="0.2">
      <c r="A3341" s="1">
        <v>41260</v>
      </c>
      <c r="B3341">
        <v>7.03</v>
      </c>
      <c r="C3341" s="2">
        <f t="shared" si="52"/>
        <v>1.9390194577308506E-2</v>
      </c>
    </row>
    <row r="3342" spans="1:3" x14ac:dyDescent="0.2">
      <c r="A3342" s="1">
        <v>41257</v>
      </c>
      <c r="B3342">
        <v>6.8949999999999996</v>
      </c>
      <c r="C3342" s="2">
        <f t="shared" si="52"/>
        <v>1.0937039389894394E-2</v>
      </c>
    </row>
    <row r="3343" spans="1:3" x14ac:dyDescent="0.2">
      <c r="A3343" s="1">
        <v>41256</v>
      </c>
      <c r="B3343">
        <v>6.82</v>
      </c>
      <c r="C3343" s="2">
        <f t="shared" si="52"/>
        <v>3.6724242522637898E-3</v>
      </c>
    </row>
    <row r="3344" spans="1:3" x14ac:dyDescent="0.2">
      <c r="A3344" s="1">
        <v>41255</v>
      </c>
      <c r="B3344">
        <v>6.7949999999999999</v>
      </c>
      <c r="C3344" s="2">
        <f t="shared" si="52"/>
        <v>1.5573173462969887E-2</v>
      </c>
    </row>
    <row r="3345" spans="1:3" x14ac:dyDescent="0.2">
      <c r="A3345" s="1">
        <v>41254</v>
      </c>
      <c r="B3345">
        <v>6.69</v>
      </c>
      <c r="C3345" s="2">
        <f t="shared" si="52"/>
        <v>1.4958865915829297E-3</v>
      </c>
    </row>
    <row r="3346" spans="1:3" x14ac:dyDescent="0.2">
      <c r="A3346" s="1">
        <v>41253</v>
      </c>
      <c r="B3346">
        <v>6.68</v>
      </c>
      <c r="C3346" s="2">
        <f t="shared" si="52"/>
        <v>-1.4958865915828024E-3</v>
      </c>
    </row>
    <row r="3347" spans="1:3" x14ac:dyDescent="0.2">
      <c r="A3347" s="1">
        <v>41250</v>
      </c>
      <c r="B3347">
        <v>6.69</v>
      </c>
      <c r="C3347" s="2">
        <f t="shared" si="52"/>
        <v>0</v>
      </c>
    </row>
    <row r="3348" spans="1:3" x14ac:dyDescent="0.2">
      <c r="A3348" s="1">
        <v>41249</v>
      </c>
      <c r="B3348">
        <v>6.69</v>
      </c>
      <c r="C3348" s="2">
        <f t="shared" si="52"/>
        <v>3.2665266554535832E-2</v>
      </c>
    </row>
    <row r="3349" spans="1:3" x14ac:dyDescent="0.2">
      <c r="A3349" s="1">
        <v>41248</v>
      </c>
      <c r="B3349">
        <v>6.4749999999999996</v>
      </c>
      <c r="C3349" s="2">
        <f t="shared" si="52"/>
        <v>-1.5432101828058516E-3</v>
      </c>
    </row>
    <row r="3350" spans="1:3" x14ac:dyDescent="0.2">
      <c r="A3350" s="1">
        <v>41247</v>
      </c>
      <c r="B3350">
        <v>6.4850000000000003</v>
      </c>
      <c r="C3350" s="2">
        <f t="shared" si="52"/>
        <v>8.5172795188792529E-3</v>
      </c>
    </row>
    <row r="3351" spans="1:3" x14ac:dyDescent="0.2">
      <c r="A3351" s="1">
        <v>41246</v>
      </c>
      <c r="B3351">
        <v>6.43</v>
      </c>
      <c r="C3351" s="2">
        <f t="shared" si="52"/>
        <v>-7.7730279856190281E-4</v>
      </c>
    </row>
    <row r="3352" spans="1:3" x14ac:dyDescent="0.2">
      <c r="A3352" s="1">
        <v>41243</v>
      </c>
      <c r="B3352">
        <v>6.4349999999999996</v>
      </c>
      <c r="C3352" s="2">
        <f t="shared" si="52"/>
        <v>-6.9686693160934277E-3</v>
      </c>
    </row>
    <row r="3353" spans="1:3" x14ac:dyDescent="0.2">
      <c r="A3353" s="1">
        <v>41242</v>
      </c>
      <c r="B3353">
        <v>6.48</v>
      </c>
      <c r="C3353" s="2">
        <f t="shared" si="52"/>
        <v>7.7190277858196635E-4</v>
      </c>
    </row>
    <row r="3354" spans="1:3" x14ac:dyDescent="0.2">
      <c r="A3354" s="1">
        <v>41241</v>
      </c>
      <c r="B3354">
        <v>6.4749999999999996</v>
      </c>
      <c r="C3354" s="2">
        <f t="shared" si="52"/>
        <v>1.1650617219975054E-2</v>
      </c>
    </row>
    <row r="3355" spans="1:3" x14ac:dyDescent="0.2">
      <c r="A3355" s="1">
        <v>41240</v>
      </c>
      <c r="B3355">
        <v>6.4</v>
      </c>
      <c r="C3355" s="2">
        <f t="shared" si="52"/>
        <v>1.8132148323415472E-2</v>
      </c>
    </row>
    <row r="3356" spans="1:3" x14ac:dyDescent="0.2">
      <c r="A3356" s="1">
        <v>41239</v>
      </c>
      <c r="B3356">
        <v>6.2850000000000001</v>
      </c>
      <c r="C3356" s="2">
        <f t="shared" si="52"/>
        <v>4.7846981233362531E-3</v>
      </c>
    </row>
    <row r="3357" spans="1:3" x14ac:dyDescent="0.2">
      <c r="A3357" s="1">
        <v>41236</v>
      </c>
      <c r="B3357">
        <v>6.2549999999999999</v>
      </c>
      <c r="C3357" s="2">
        <f t="shared" si="52"/>
        <v>5.6112371677863862E-3</v>
      </c>
    </row>
    <row r="3358" spans="1:3" x14ac:dyDescent="0.2">
      <c r="A3358" s="1">
        <v>41235</v>
      </c>
      <c r="B3358">
        <v>6.22</v>
      </c>
      <c r="C3358" s="2">
        <f t="shared" si="52"/>
        <v>1.3759828588213324E-2</v>
      </c>
    </row>
    <row r="3359" spans="1:3" x14ac:dyDescent="0.2">
      <c r="A3359" s="1">
        <v>41234</v>
      </c>
      <c r="B3359">
        <v>6.1349999999999998</v>
      </c>
      <c r="C3359" s="2">
        <f t="shared" si="52"/>
        <v>-2.4420036555518557E-3</v>
      </c>
    </row>
    <row r="3360" spans="1:3" x14ac:dyDescent="0.2">
      <c r="A3360" s="1">
        <v>41233</v>
      </c>
      <c r="B3360">
        <v>6.15</v>
      </c>
      <c r="C3360" s="2">
        <f t="shared" si="52"/>
        <v>-5.6749240260245441E-3</v>
      </c>
    </row>
    <row r="3361" spans="1:3" x14ac:dyDescent="0.2">
      <c r="A3361" s="1">
        <v>41232</v>
      </c>
      <c r="B3361">
        <v>6.1849999999999996</v>
      </c>
      <c r="C3361" s="2">
        <f t="shared" si="52"/>
        <v>-7.2493269549106674E-3</v>
      </c>
    </row>
    <row r="3362" spans="1:3" x14ac:dyDescent="0.2">
      <c r="A3362" s="1">
        <v>41229</v>
      </c>
      <c r="B3362">
        <v>6.23</v>
      </c>
      <c r="C3362" s="2">
        <f t="shared" si="52"/>
        <v>-1.1173300598125076E-2</v>
      </c>
    </row>
    <row r="3363" spans="1:3" x14ac:dyDescent="0.2">
      <c r="A3363" s="1">
        <v>41228</v>
      </c>
      <c r="B3363">
        <v>6.3</v>
      </c>
      <c r="C3363" s="2">
        <f t="shared" si="52"/>
        <v>-7.9333601939587397E-4</v>
      </c>
    </row>
    <row r="3364" spans="1:3" x14ac:dyDescent="0.2">
      <c r="A3364" s="1">
        <v>41227</v>
      </c>
      <c r="B3364">
        <v>6.3049999999999997</v>
      </c>
      <c r="C3364" s="2">
        <f t="shared" si="52"/>
        <v>-3.957266739201961E-3</v>
      </c>
    </row>
    <row r="3365" spans="1:3" x14ac:dyDescent="0.2">
      <c r="A3365" s="1">
        <v>41226</v>
      </c>
      <c r="B3365">
        <v>6.33</v>
      </c>
      <c r="C3365" s="2">
        <f t="shared" si="52"/>
        <v>6.3391654437356757E-3</v>
      </c>
    </row>
    <row r="3366" spans="1:3" x14ac:dyDescent="0.2">
      <c r="A3366" s="1">
        <v>41225</v>
      </c>
      <c r="B3366">
        <v>6.29</v>
      </c>
      <c r="C3366" s="2">
        <f t="shared" si="52"/>
        <v>-6.339165443735654E-3</v>
      </c>
    </row>
    <row r="3367" spans="1:3" x14ac:dyDescent="0.2">
      <c r="A3367" s="1">
        <v>41222</v>
      </c>
      <c r="B3367">
        <v>6.33</v>
      </c>
      <c r="C3367" s="2">
        <f t="shared" si="52"/>
        <v>9.523881511255541E-3</v>
      </c>
    </row>
    <row r="3368" spans="1:3" x14ac:dyDescent="0.2">
      <c r="A3368" s="1">
        <v>41221</v>
      </c>
      <c r="B3368">
        <v>6.27</v>
      </c>
      <c r="C3368" s="2">
        <f t="shared" si="52"/>
        <v>7.9776629679771064E-4</v>
      </c>
    </row>
    <row r="3369" spans="1:3" x14ac:dyDescent="0.2">
      <c r="A3369" s="1">
        <v>41220</v>
      </c>
      <c r="B3369">
        <v>6.2649999999999997</v>
      </c>
      <c r="C3369" s="2">
        <f t="shared" si="52"/>
        <v>1.5974444291570774E-3</v>
      </c>
    </row>
    <row r="3370" spans="1:3" x14ac:dyDescent="0.2">
      <c r="A3370" s="1">
        <v>41219</v>
      </c>
      <c r="B3370">
        <v>6.2549999999999999</v>
      </c>
      <c r="C3370" s="2">
        <f t="shared" si="52"/>
        <v>-3.9888365612328726E-3</v>
      </c>
    </row>
    <row r="3371" spans="1:3" x14ac:dyDescent="0.2">
      <c r="A3371" s="1">
        <v>41218</v>
      </c>
      <c r="B3371">
        <v>6.28</v>
      </c>
      <c r="C3371" s="2">
        <f t="shared" si="52"/>
        <v>-3.1796529173795732E-3</v>
      </c>
    </row>
    <row r="3372" spans="1:3" x14ac:dyDescent="0.2">
      <c r="A3372" s="1">
        <v>41215</v>
      </c>
      <c r="B3372">
        <v>6.3</v>
      </c>
      <c r="C3372" s="2">
        <f t="shared" si="52"/>
        <v>3.9761483796394168E-3</v>
      </c>
    </row>
    <row r="3373" spans="1:3" x14ac:dyDescent="0.2">
      <c r="A3373" s="1">
        <v>41214</v>
      </c>
      <c r="B3373">
        <v>6.2750000000000004</v>
      </c>
      <c r="C3373" s="2">
        <f t="shared" si="52"/>
        <v>1.6064602503806841E-2</v>
      </c>
    </row>
    <row r="3374" spans="1:3" x14ac:dyDescent="0.2">
      <c r="A3374" s="1">
        <v>41213</v>
      </c>
      <c r="B3374">
        <v>6.1749999999999998</v>
      </c>
      <c r="C3374" s="2">
        <f t="shared" si="52"/>
        <v>2.4321049686123948E-3</v>
      </c>
    </row>
    <row r="3375" spans="1:3" x14ac:dyDescent="0.2">
      <c r="A3375" s="1">
        <v>41212</v>
      </c>
      <c r="B3375">
        <v>6.16</v>
      </c>
      <c r="C3375" s="2">
        <f t="shared" si="52"/>
        <v>8.1201790901145666E-4</v>
      </c>
    </row>
    <row r="3376" spans="1:3" x14ac:dyDescent="0.2">
      <c r="A3376" s="1">
        <v>41211</v>
      </c>
      <c r="B3376">
        <v>6.1550000000000002</v>
      </c>
      <c r="C3376" s="2">
        <f t="shared" si="52"/>
        <v>8.9759884571513765E-3</v>
      </c>
    </row>
    <row r="3377" spans="1:3" x14ac:dyDescent="0.2">
      <c r="A3377" s="1">
        <v>41208</v>
      </c>
      <c r="B3377">
        <v>6.1</v>
      </c>
      <c r="C3377" s="2">
        <f t="shared" si="52"/>
        <v>1.6406894574597963E-3</v>
      </c>
    </row>
    <row r="3378" spans="1:3" x14ac:dyDescent="0.2">
      <c r="A3378" s="1">
        <v>41207</v>
      </c>
      <c r="B3378">
        <v>6.09</v>
      </c>
      <c r="C3378" s="2">
        <f t="shared" si="52"/>
        <v>1.1560822401076006E-2</v>
      </c>
    </row>
    <row r="3379" spans="1:3" x14ac:dyDescent="0.2">
      <c r="A3379" s="1">
        <v>41206</v>
      </c>
      <c r="B3379">
        <v>6.02</v>
      </c>
      <c r="C3379" s="2">
        <f t="shared" si="52"/>
        <v>1.337812594617605E-2</v>
      </c>
    </row>
    <row r="3380" spans="1:3" x14ac:dyDescent="0.2">
      <c r="A3380" s="1">
        <v>41205</v>
      </c>
      <c r="B3380">
        <v>5.94</v>
      </c>
      <c r="C3380" s="2">
        <f t="shared" si="52"/>
        <v>-1.6694878572169992E-2</v>
      </c>
    </row>
    <row r="3381" spans="1:3" x14ac:dyDescent="0.2">
      <c r="A3381" s="1">
        <v>41204</v>
      </c>
      <c r="B3381">
        <v>6.04</v>
      </c>
      <c r="C3381" s="2">
        <f t="shared" si="52"/>
        <v>8.3125998193655654E-3</v>
      </c>
    </row>
    <row r="3382" spans="1:3" x14ac:dyDescent="0.2">
      <c r="A3382" s="1">
        <v>41201</v>
      </c>
      <c r="B3382">
        <v>5.99</v>
      </c>
      <c r="C3382" s="2">
        <f t="shared" si="52"/>
        <v>7.5408819846129174E-3</v>
      </c>
    </row>
    <row r="3383" spans="1:3" x14ac:dyDescent="0.2">
      <c r="A3383" s="1">
        <v>41200</v>
      </c>
      <c r="B3383">
        <v>5.9450000000000003</v>
      </c>
      <c r="C3383" s="2">
        <f t="shared" si="52"/>
        <v>-2.5199509345131652E-3</v>
      </c>
    </row>
    <row r="3384" spans="1:3" x14ac:dyDescent="0.2">
      <c r="A3384" s="1">
        <v>41199</v>
      </c>
      <c r="B3384">
        <v>5.96</v>
      </c>
      <c r="C3384" s="2">
        <f t="shared" si="52"/>
        <v>-3.3500868852820854E-3</v>
      </c>
    </row>
    <row r="3385" spans="1:3" x14ac:dyDescent="0.2">
      <c r="A3385" s="1">
        <v>41198</v>
      </c>
      <c r="B3385">
        <v>5.98</v>
      </c>
      <c r="C3385" s="2">
        <f t="shared" si="52"/>
        <v>3.9220713153281329E-2</v>
      </c>
    </row>
    <row r="3386" spans="1:3" x14ac:dyDescent="0.2">
      <c r="A3386" s="1">
        <v>41197</v>
      </c>
      <c r="B3386">
        <v>5.75</v>
      </c>
      <c r="C3386" s="2">
        <f t="shared" si="52"/>
        <v>1.2248622076199239E-2</v>
      </c>
    </row>
    <row r="3387" spans="1:3" x14ac:dyDescent="0.2">
      <c r="A3387" s="1">
        <v>41194</v>
      </c>
      <c r="B3387">
        <v>5.68</v>
      </c>
      <c r="C3387" s="2">
        <f t="shared" si="52"/>
        <v>7.0671672230923528E-3</v>
      </c>
    </row>
    <row r="3388" spans="1:3" x14ac:dyDescent="0.2">
      <c r="A3388" s="1">
        <v>41193</v>
      </c>
      <c r="B3388">
        <v>5.64</v>
      </c>
      <c r="C3388" s="2">
        <f t="shared" si="52"/>
        <v>-3.5398267051241737E-3</v>
      </c>
    </row>
    <row r="3389" spans="1:3" x14ac:dyDescent="0.2">
      <c r="A3389" s="1">
        <v>41192</v>
      </c>
      <c r="B3389">
        <v>5.66</v>
      </c>
      <c r="C3389" s="2">
        <f t="shared" si="52"/>
        <v>-1.7652255245690809E-3</v>
      </c>
    </row>
    <row r="3390" spans="1:3" x14ac:dyDescent="0.2">
      <c r="A3390" s="1">
        <v>41191</v>
      </c>
      <c r="B3390">
        <v>5.67</v>
      </c>
      <c r="C3390" s="2">
        <f t="shared" si="52"/>
        <v>3.5335725813110445E-3</v>
      </c>
    </row>
    <row r="3391" spans="1:3" x14ac:dyDescent="0.2">
      <c r="A3391" s="1">
        <v>41190</v>
      </c>
      <c r="B3391">
        <v>5.65</v>
      </c>
      <c r="C3391" s="2">
        <f t="shared" si="52"/>
        <v>-8.8456440973421803E-4</v>
      </c>
    </row>
    <row r="3392" spans="1:3" x14ac:dyDescent="0.2">
      <c r="A3392" s="1">
        <v>41187</v>
      </c>
      <c r="B3392">
        <v>5.6550000000000002</v>
      </c>
      <c r="C3392" s="2">
        <f t="shared" si="52"/>
        <v>7.989390033478861E-3</v>
      </c>
    </row>
    <row r="3393" spans="1:3" x14ac:dyDescent="0.2">
      <c r="A3393" s="1">
        <v>41186</v>
      </c>
      <c r="B3393">
        <v>5.61</v>
      </c>
      <c r="C3393" s="2">
        <f t="shared" si="52"/>
        <v>8.9166301048164203E-4</v>
      </c>
    </row>
    <row r="3394" spans="1:3" x14ac:dyDescent="0.2">
      <c r="A3394" s="1">
        <v>41185</v>
      </c>
      <c r="B3394">
        <v>5.6050000000000004</v>
      </c>
      <c r="C3394" s="2">
        <f t="shared" si="52"/>
        <v>-7.1111410775020105E-3</v>
      </c>
    </row>
    <row r="3395" spans="1:3" x14ac:dyDescent="0.2">
      <c r="A3395" s="1">
        <v>41184</v>
      </c>
      <c r="B3395">
        <v>5.6449999999999996</v>
      </c>
      <c r="C3395" s="2">
        <f t="shared" ref="C3395:C3458" si="53">+LN(B3395/B3396)</f>
        <v>1.8775696842432726E-2</v>
      </c>
    </row>
    <row r="3396" spans="1:3" x14ac:dyDescent="0.2">
      <c r="A3396" s="1">
        <v>41183</v>
      </c>
      <c r="B3396">
        <v>5.54</v>
      </c>
      <c r="C3396" s="2">
        <f t="shared" si="53"/>
        <v>1.8066852249490513E-3</v>
      </c>
    </row>
    <row r="3397" spans="1:3" x14ac:dyDescent="0.2">
      <c r="A3397" s="1">
        <v>41180</v>
      </c>
      <c r="B3397">
        <v>5.53</v>
      </c>
      <c r="C3397" s="2">
        <f t="shared" si="53"/>
        <v>9.0456813042691462E-4</v>
      </c>
    </row>
    <row r="3398" spans="1:3" x14ac:dyDescent="0.2">
      <c r="A3398" s="1">
        <v>41179</v>
      </c>
      <c r="B3398">
        <v>5.5250000000000004</v>
      </c>
      <c r="C3398" s="2">
        <f t="shared" si="53"/>
        <v>2.7186242389934637E-3</v>
      </c>
    </row>
    <row r="3399" spans="1:3" x14ac:dyDescent="0.2">
      <c r="A3399" s="1">
        <v>41178</v>
      </c>
      <c r="B3399">
        <v>5.51</v>
      </c>
      <c r="C3399" s="2">
        <f t="shared" si="53"/>
        <v>-8.1337999267701439E-3</v>
      </c>
    </row>
    <row r="3400" spans="1:3" x14ac:dyDescent="0.2">
      <c r="A3400" s="1">
        <v>41177</v>
      </c>
      <c r="B3400">
        <v>5.5549999999999997</v>
      </c>
      <c r="C3400" s="2">
        <f t="shared" si="53"/>
        <v>-1.7985616359149784E-3</v>
      </c>
    </row>
    <row r="3401" spans="1:3" x14ac:dyDescent="0.2">
      <c r="A3401" s="1">
        <v>41176</v>
      </c>
      <c r="B3401">
        <v>5.5650000000000004</v>
      </c>
      <c r="C3401" s="2">
        <f t="shared" si="53"/>
        <v>-8.9446034628982863E-3</v>
      </c>
    </row>
    <row r="3402" spans="1:3" x14ac:dyDescent="0.2">
      <c r="A3402" s="1">
        <v>41173</v>
      </c>
      <c r="B3402">
        <v>5.6150000000000002</v>
      </c>
      <c r="C3402" s="2">
        <f t="shared" si="53"/>
        <v>-1.7793599000773153E-3</v>
      </c>
    </row>
    <row r="3403" spans="1:3" x14ac:dyDescent="0.2">
      <c r="A3403" s="1">
        <v>41172</v>
      </c>
      <c r="B3403">
        <v>5.625</v>
      </c>
      <c r="C3403" s="2">
        <f t="shared" si="53"/>
        <v>-7.0859463894858352E-3</v>
      </c>
    </row>
    <row r="3404" spans="1:3" x14ac:dyDescent="0.2">
      <c r="A3404" s="1">
        <v>41171</v>
      </c>
      <c r="B3404">
        <v>5.665</v>
      </c>
      <c r="C3404" s="2">
        <f t="shared" si="53"/>
        <v>-8.8222325969103746E-4</v>
      </c>
    </row>
    <row r="3405" spans="1:3" x14ac:dyDescent="0.2">
      <c r="A3405" s="1">
        <v>41170</v>
      </c>
      <c r="B3405">
        <v>5.67</v>
      </c>
      <c r="C3405" s="2">
        <f t="shared" si="53"/>
        <v>0</v>
      </c>
    </row>
    <row r="3406" spans="1:3" x14ac:dyDescent="0.2">
      <c r="A3406" s="1">
        <v>41169</v>
      </c>
      <c r="B3406">
        <v>5.67</v>
      </c>
      <c r="C3406" s="2">
        <f t="shared" si="53"/>
        <v>-3.5211303985789363E-3</v>
      </c>
    </row>
    <row r="3407" spans="1:3" x14ac:dyDescent="0.2">
      <c r="A3407" s="1">
        <v>41166</v>
      </c>
      <c r="B3407">
        <v>5.69</v>
      </c>
      <c r="C3407" s="2">
        <f t="shared" si="53"/>
        <v>0</v>
      </c>
    </row>
    <row r="3408" spans="1:3" x14ac:dyDescent="0.2">
      <c r="A3408" s="1">
        <v>41165</v>
      </c>
      <c r="B3408">
        <v>5.69</v>
      </c>
      <c r="C3408" s="2">
        <f t="shared" si="53"/>
        <v>6.1701385701557771E-3</v>
      </c>
    </row>
    <row r="3409" spans="1:3" x14ac:dyDescent="0.2">
      <c r="A3409" s="1">
        <v>41164</v>
      </c>
      <c r="B3409">
        <v>5.6550000000000002</v>
      </c>
      <c r="C3409" s="2">
        <f t="shared" si="53"/>
        <v>-8.8378264700779516E-4</v>
      </c>
    </row>
    <row r="3410" spans="1:3" x14ac:dyDescent="0.2">
      <c r="A3410" s="1">
        <v>41163</v>
      </c>
      <c r="B3410">
        <v>5.66</v>
      </c>
      <c r="C3410" s="2">
        <f t="shared" si="53"/>
        <v>3.539826705124208E-3</v>
      </c>
    </row>
    <row r="3411" spans="1:3" x14ac:dyDescent="0.2">
      <c r="A3411" s="1">
        <v>41162</v>
      </c>
      <c r="B3411">
        <v>5.64</v>
      </c>
      <c r="C3411" s="2">
        <f t="shared" si="53"/>
        <v>-9.7045313891780203E-3</v>
      </c>
    </row>
    <row r="3412" spans="1:3" x14ac:dyDescent="0.2">
      <c r="A3412" s="1">
        <v>41159</v>
      </c>
      <c r="B3412">
        <v>5.6950000000000003</v>
      </c>
      <c r="C3412" s="2">
        <f t="shared" si="53"/>
        <v>-8.7413144015735487E-3</v>
      </c>
    </row>
    <row r="3413" spans="1:3" x14ac:dyDescent="0.2">
      <c r="A3413" s="1">
        <v>41158</v>
      </c>
      <c r="B3413">
        <v>5.7450000000000001</v>
      </c>
      <c r="C3413" s="2">
        <f t="shared" si="53"/>
        <v>7.8637364602144513E-3</v>
      </c>
    </row>
    <row r="3414" spans="1:3" x14ac:dyDescent="0.2">
      <c r="A3414" s="1">
        <v>41157</v>
      </c>
      <c r="B3414">
        <v>5.7</v>
      </c>
      <c r="C3414" s="2">
        <f t="shared" si="53"/>
        <v>-6.9930354909706373E-3</v>
      </c>
    </row>
    <row r="3415" spans="1:3" x14ac:dyDescent="0.2">
      <c r="A3415" s="1">
        <v>41156</v>
      </c>
      <c r="B3415">
        <v>5.74</v>
      </c>
      <c r="C3415" s="2">
        <f t="shared" si="53"/>
        <v>9.6280831289757129E-3</v>
      </c>
    </row>
    <row r="3416" spans="1:3" x14ac:dyDescent="0.2">
      <c r="A3416" s="1">
        <v>41155</v>
      </c>
      <c r="B3416">
        <v>5.6849999999999996</v>
      </c>
      <c r="C3416" s="2">
        <f t="shared" si="53"/>
        <v>-3.5118561115396593E-3</v>
      </c>
    </row>
    <row r="3417" spans="1:3" x14ac:dyDescent="0.2">
      <c r="A3417" s="1">
        <v>41152</v>
      </c>
      <c r="B3417">
        <v>5.7050000000000001</v>
      </c>
      <c r="C3417" s="2">
        <f t="shared" si="53"/>
        <v>1.05727857124137E-2</v>
      </c>
    </row>
    <row r="3418" spans="1:3" x14ac:dyDescent="0.2">
      <c r="A3418" s="1">
        <v>41151</v>
      </c>
      <c r="B3418">
        <v>5.6449999999999996</v>
      </c>
      <c r="C3418" s="2">
        <f t="shared" si="53"/>
        <v>7.1111410775019715E-3</v>
      </c>
    </row>
    <row r="3419" spans="1:3" x14ac:dyDescent="0.2">
      <c r="A3419" s="1">
        <v>41150</v>
      </c>
      <c r="B3419">
        <v>5.6050000000000004</v>
      </c>
      <c r="C3419" s="2">
        <f t="shared" si="53"/>
        <v>-1.7825316662831907E-3</v>
      </c>
    </row>
    <row r="3420" spans="1:3" x14ac:dyDescent="0.2">
      <c r="A3420" s="1">
        <v>41149</v>
      </c>
      <c r="B3420">
        <v>5.6150000000000002</v>
      </c>
      <c r="C3420" s="2">
        <f t="shared" si="53"/>
        <v>-1.7793599000773153E-3</v>
      </c>
    </row>
    <row r="3421" spans="1:3" x14ac:dyDescent="0.2">
      <c r="A3421" s="1">
        <v>41148</v>
      </c>
      <c r="B3421">
        <v>5.625</v>
      </c>
      <c r="C3421" s="2">
        <f t="shared" si="53"/>
        <v>2.6702285558788921E-3</v>
      </c>
    </row>
    <row r="3422" spans="1:3" x14ac:dyDescent="0.2">
      <c r="A3422" s="1">
        <v>41145</v>
      </c>
      <c r="B3422">
        <v>5.61</v>
      </c>
      <c r="C3422" s="2">
        <f t="shared" si="53"/>
        <v>1.1654098732274605E-2</v>
      </c>
    </row>
    <row r="3423" spans="1:3" x14ac:dyDescent="0.2">
      <c r="A3423" s="1">
        <v>41144</v>
      </c>
      <c r="B3423">
        <v>5.5449999999999999</v>
      </c>
      <c r="C3423" s="2">
        <f t="shared" si="53"/>
        <v>-1.2544967388076146E-2</v>
      </c>
    </row>
    <row r="3424" spans="1:3" x14ac:dyDescent="0.2">
      <c r="A3424" s="1">
        <v>41143</v>
      </c>
      <c r="B3424">
        <v>5.6150000000000002</v>
      </c>
      <c r="C3424" s="2">
        <f t="shared" si="53"/>
        <v>4.4623010233986859E-3</v>
      </c>
    </row>
    <row r="3425" spans="1:3" x14ac:dyDescent="0.2">
      <c r="A3425" s="1">
        <v>41142</v>
      </c>
      <c r="B3425">
        <v>5.59</v>
      </c>
      <c r="C3425" s="2">
        <f t="shared" si="53"/>
        <v>1.3507634461542002E-2</v>
      </c>
    </row>
    <row r="3426" spans="1:3" x14ac:dyDescent="0.2">
      <c r="A3426" s="1">
        <v>41141</v>
      </c>
      <c r="B3426">
        <v>5.5149999999999997</v>
      </c>
      <c r="C3426" s="2">
        <f t="shared" si="53"/>
        <v>4.5433971840263508E-3</v>
      </c>
    </row>
    <row r="3427" spans="1:3" x14ac:dyDescent="0.2">
      <c r="A3427" s="1">
        <v>41138</v>
      </c>
      <c r="B3427">
        <v>5.49</v>
      </c>
      <c r="C3427" s="2">
        <f t="shared" si="53"/>
        <v>1.3755375068485419E-2</v>
      </c>
    </row>
    <row r="3428" spans="1:3" x14ac:dyDescent="0.2">
      <c r="A3428" s="1">
        <v>41137</v>
      </c>
      <c r="B3428">
        <v>5.415</v>
      </c>
      <c r="C3428" s="2">
        <f t="shared" si="53"/>
        <v>1.8484293617823751E-3</v>
      </c>
    </row>
    <row r="3429" spans="1:3" x14ac:dyDescent="0.2">
      <c r="A3429" s="1">
        <v>41135</v>
      </c>
      <c r="B3429">
        <v>5.4050000000000002</v>
      </c>
      <c r="C3429" s="2">
        <f t="shared" si="53"/>
        <v>-3.6934483353516095E-3</v>
      </c>
    </row>
    <row r="3430" spans="1:3" x14ac:dyDescent="0.2">
      <c r="A3430" s="1">
        <v>41134</v>
      </c>
      <c r="B3430">
        <v>5.4249999999999998</v>
      </c>
      <c r="C3430" s="2">
        <f t="shared" si="53"/>
        <v>0</v>
      </c>
    </row>
    <row r="3431" spans="1:3" x14ac:dyDescent="0.2">
      <c r="A3431" s="1">
        <v>41131</v>
      </c>
      <c r="B3431">
        <v>5.4249999999999998</v>
      </c>
      <c r="C3431" s="2">
        <f t="shared" si="53"/>
        <v>1.8450189735692967E-3</v>
      </c>
    </row>
    <row r="3432" spans="1:3" x14ac:dyDescent="0.2">
      <c r="A3432" s="1">
        <v>41130</v>
      </c>
      <c r="B3432">
        <v>5.415</v>
      </c>
      <c r="C3432" s="2">
        <f t="shared" si="53"/>
        <v>-2.7662534928900736E-3</v>
      </c>
    </row>
    <row r="3433" spans="1:3" x14ac:dyDescent="0.2">
      <c r="A3433" s="1">
        <v>41129</v>
      </c>
      <c r="B3433">
        <v>5.43</v>
      </c>
      <c r="C3433" s="2">
        <f t="shared" si="53"/>
        <v>-8.2531417567204141E-3</v>
      </c>
    </row>
    <row r="3434" spans="1:3" x14ac:dyDescent="0.2">
      <c r="A3434" s="1">
        <v>41128</v>
      </c>
      <c r="B3434">
        <v>5.4749999999999996</v>
      </c>
      <c r="C3434" s="2">
        <f t="shared" si="53"/>
        <v>-1.0899290458035742E-2</v>
      </c>
    </row>
    <row r="3435" spans="1:3" x14ac:dyDescent="0.2">
      <c r="A3435" s="1">
        <v>41127</v>
      </c>
      <c r="B3435">
        <v>5.5350000000000001</v>
      </c>
      <c r="C3435" s="2">
        <f t="shared" si="53"/>
        <v>1.1812949726710388E-2</v>
      </c>
    </row>
    <row r="3436" spans="1:3" x14ac:dyDescent="0.2">
      <c r="A3436" s="1">
        <v>41124</v>
      </c>
      <c r="B3436">
        <v>5.47</v>
      </c>
      <c r="C3436" s="2">
        <f t="shared" si="53"/>
        <v>2.1247912534177672E-2</v>
      </c>
    </row>
    <row r="3437" spans="1:3" x14ac:dyDescent="0.2">
      <c r="A3437" s="1">
        <v>41123</v>
      </c>
      <c r="B3437">
        <v>5.3550000000000004</v>
      </c>
      <c r="C3437" s="2">
        <f t="shared" si="53"/>
        <v>-1.8501915385322035E-2</v>
      </c>
    </row>
    <row r="3438" spans="1:3" x14ac:dyDescent="0.2">
      <c r="A3438" s="1">
        <v>41122</v>
      </c>
      <c r="B3438">
        <v>5.4550000000000001</v>
      </c>
      <c r="C3438" s="2">
        <f t="shared" si="53"/>
        <v>-5.4844744421594519E-3</v>
      </c>
    </row>
    <row r="3439" spans="1:3" x14ac:dyDescent="0.2">
      <c r="A3439" s="1">
        <v>41121</v>
      </c>
      <c r="B3439">
        <v>5.4850000000000003</v>
      </c>
      <c r="C3439" s="2">
        <f t="shared" si="53"/>
        <v>-9.11161794245659E-4</v>
      </c>
    </row>
    <row r="3440" spans="1:3" x14ac:dyDescent="0.2">
      <c r="A3440" s="1">
        <v>41120</v>
      </c>
      <c r="B3440">
        <v>5.49</v>
      </c>
      <c r="C3440" s="2">
        <f t="shared" si="53"/>
        <v>-2.1622464013165657E-2</v>
      </c>
    </row>
    <row r="3441" spans="1:3" x14ac:dyDescent="0.2">
      <c r="A3441" s="1">
        <v>41117</v>
      </c>
      <c r="B3441">
        <v>5.61</v>
      </c>
      <c r="C3441" s="2">
        <f t="shared" si="53"/>
        <v>3.5714323675971795E-3</v>
      </c>
    </row>
    <row r="3442" spans="1:3" x14ac:dyDescent="0.2">
      <c r="A3442" s="1">
        <v>41116</v>
      </c>
      <c r="B3442">
        <v>5.59</v>
      </c>
      <c r="C3442" s="2">
        <f t="shared" si="53"/>
        <v>5.138745191316043E-2</v>
      </c>
    </row>
    <row r="3443" spans="1:3" x14ac:dyDescent="0.2">
      <c r="A3443" s="1">
        <v>41115</v>
      </c>
      <c r="B3443">
        <v>5.31</v>
      </c>
      <c r="C3443" s="2">
        <f t="shared" si="53"/>
        <v>-1.588076345625055E-2</v>
      </c>
    </row>
    <row r="3444" spans="1:3" x14ac:dyDescent="0.2">
      <c r="A3444" s="1">
        <v>41114</v>
      </c>
      <c r="B3444">
        <v>5.3949999999999996</v>
      </c>
      <c r="C3444" s="2">
        <f t="shared" si="53"/>
        <v>2.7842245364048603E-3</v>
      </c>
    </row>
    <row r="3445" spans="1:3" x14ac:dyDescent="0.2">
      <c r="A3445" s="1">
        <v>41113</v>
      </c>
      <c r="B3445">
        <v>5.38</v>
      </c>
      <c r="C3445" s="2">
        <f t="shared" si="53"/>
        <v>-2.3876248991130083E-2</v>
      </c>
    </row>
    <row r="3446" spans="1:3" x14ac:dyDescent="0.2">
      <c r="A3446" s="1">
        <v>41110</v>
      </c>
      <c r="B3446">
        <v>5.51</v>
      </c>
      <c r="C3446" s="2">
        <f t="shared" si="53"/>
        <v>-1.6201974576280372E-2</v>
      </c>
    </row>
    <row r="3447" spans="1:3" x14ac:dyDescent="0.2">
      <c r="A3447" s="1">
        <v>41109</v>
      </c>
      <c r="B3447">
        <v>5.6</v>
      </c>
      <c r="C3447" s="2">
        <f t="shared" si="53"/>
        <v>1.7109827566460185E-2</v>
      </c>
    </row>
    <row r="3448" spans="1:3" x14ac:dyDescent="0.2">
      <c r="A3448" s="1">
        <v>41108</v>
      </c>
      <c r="B3448">
        <v>5.5049999999999999</v>
      </c>
      <c r="C3448" s="2">
        <f t="shared" si="53"/>
        <v>2.0184171464545386E-2</v>
      </c>
    </row>
    <row r="3449" spans="1:3" x14ac:dyDescent="0.2">
      <c r="A3449" s="1">
        <v>41107</v>
      </c>
      <c r="B3449">
        <v>5.3949999999999996</v>
      </c>
      <c r="C3449" s="2">
        <f t="shared" si="53"/>
        <v>-1.7455656811341376E-2</v>
      </c>
    </row>
    <row r="3450" spans="1:3" x14ac:dyDescent="0.2">
      <c r="A3450" s="1">
        <v>41106</v>
      </c>
      <c r="B3450">
        <v>5.49</v>
      </c>
      <c r="C3450" s="2">
        <f t="shared" si="53"/>
        <v>-9.1033233414537372E-4</v>
      </c>
    </row>
    <row r="3451" spans="1:3" x14ac:dyDescent="0.2">
      <c r="A3451" s="1">
        <v>41103</v>
      </c>
      <c r="B3451">
        <v>5.4950000000000001</v>
      </c>
      <c r="C3451" s="2">
        <f t="shared" si="53"/>
        <v>2.7334868956604189E-3</v>
      </c>
    </row>
    <row r="3452" spans="1:3" x14ac:dyDescent="0.2">
      <c r="A3452" s="1">
        <v>41102</v>
      </c>
      <c r="B3452">
        <v>5.48</v>
      </c>
      <c r="C3452" s="2">
        <f t="shared" si="53"/>
        <v>-1.6289952979268458E-2</v>
      </c>
    </row>
    <row r="3453" spans="1:3" x14ac:dyDescent="0.2">
      <c r="A3453" s="1">
        <v>41101</v>
      </c>
      <c r="B3453">
        <v>5.57</v>
      </c>
      <c r="C3453" s="2">
        <f t="shared" si="53"/>
        <v>-8.9726340698978229E-4</v>
      </c>
    </row>
    <row r="3454" spans="1:3" x14ac:dyDescent="0.2">
      <c r="A3454" s="1">
        <v>41100</v>
      </c>
      <c r="B3454">
        <v>5.5750000000000002</v>
      </c>
      <c r="C3454" s="2">
        <f t="shared" si="53"/>
        <v>5.3956965438520547E-3</v>
      </c>
    </row>
    <row r="3455" spans="1:3" x14ac:dyDescent="0.2">
      <c r="A3455" s="1">
        <v>41099</v>
      </c>
      <c r="B3455">
        <v>5.5449999999999999</v>
      </c>
      <c r="C3455" s="2">
        <f t="shared" si="53"/>
        <v>-4.4984331368623691E-3</v>
      </c>
    </row>
    <row r="3456" spans="1:3" x14ac:dyDescent="0.2">
      <c r="A3456" s="1">
        <v>41096</v>
      </c>
      <c r="B3456">
        <v>5.57</v>
      </c>
      <c r="C3456" s="2">
        <f t="shared" si="53"/>
        <v>-1.2489011570774809E-2</v>
      </c>
    </row>
    <row r="3457" spans="1:3" x14ac:dyDescent="0.2">
      <c r="A3457" s="1">
        <v>41095</v>
      </c>
      <c r="B3457">
        <v>5.64</v>
      </c>
      <c r="C3457" s="2">
        <f t="shared" si="53"/>
        <v>9.7996329888033404E-3</v>
      </c>
    </row>
    <row r="3458" spans="1:3" x14ac:dyDescent="0.2">
      <c r="A3458" s="1">
        <v>41094</v>
      </c>
      <c r="B3458">
        <v>5.585</v>
      </c>
      <c r="C3458" s="2">
        <f t="shared" si="53"/>
        <v>-4.4662870134409716E-3</v>
      </c>
    </row>
    <row r="3459" spans="1:3" x14ac:dyDescent="0.2">
      <c r="A3459" s="1">
        <v>41093</v>
      </c>
      <c r="B3459">
        <v>5.61</v>
      </c>
      <c r="C3459" s="2">
        <f t="shared" ref="C3459:C3522" si="54">+LN(B3459/B3460)</f>
        <v>-1.7809443709946974E-3</v>
      </c>
    </row>
    <row r="3460" spans="1:3" x14ac:dyDescent="0.2">
      <c r="A3460" s="1">
        <v>41092</v>
      </c>
      <c r="B3460">
        <v>5.62</v>
      </c>
      <c r="C3460" s="2">
        <f t="shared" si="54"/>
        <v>0</v>
      </c>
    </row>
    <row r="3461" spans="1:3" x14ac:dyDescent="0.2">
      <c r="A3461" s="1">
        <v>41089</v>
      </c>
      <c r="B3461">
        <v>5.62</v>
      </c>
      <c r="C3461" s="2">
        <f t="shared" si="54"/>
        <v>3.9932710335371012E-2</v>
      </c>
    </row>
    <row r="3462" spans="1:3" x14ac:dyDescent="0.2">
      <c r="A3462" s="1">
        <v>41088</v>
      </c>
      <c r="B3462">
        <v>5.4</v>
      </c>
      <c r="C3462" s="2">
        <f t="shared" si="54"/>
        <v>-4.6189458562944166E-3</v>
      </c>
    </row>
    <row r="3463" spans="1:3" x14ac:dyDescent="0.2">
      <c r="A3463" s="1">
        <v>41087</v>
      </c>
      <c r="B3463">
        <v>5.4249999999999998</v>
      </c>
      <c r="C3463" s="2">
        <f t="shared" si="54"/>
        <v>-2.7611614413281683E-3</v>
      </c>
    </row>
    <row r="3464" spans="1:3" x14ac:dyDescent="0.2">
      <c r="A3464" s="1">
        <v>41086</v>
      </c>
      <c r="B3464">
        <v>5.44</v>
      </c>
      <c r="C3464" s="2">
        <f t="shared" si="54"/>
        <v>6.4546097766796928E-3</v>
      </c>
    </row>
    <row r="3465" spans="1:3" x14ac:dyDescent="0.2">
      <c r="A3465" s="1">
        <v>41085</v>
      </c>
      <c r="B3465">
        <v>5.4050000000000002</v>
      </c>
      <c r="C3465" s="2">
        <f t="shared" si="54"/>
        <v>-2.4670049668020853E-2</v>
      </c>
    </row>
    <row r="3466" spans="1:3" x14ac:dyDescent="0.2">
      <c r="A3466" s="1">
        <v>41082</v>
      </c>
      <c r="B3466">
        <v>5.54</v>
      </c>
      <c r="C3466" s="2">
        <f t="shared" si="54"/>
        <v>1.2715884325302714E-2</v>
      </c>
    </row>
    <row r="3467" spans="1:3" x14ac:dyDescent="0.2">
      <c r="A3467" s="1">
        <v>41081</v>
      </c>
      <c r="B3467">
        <v>5.47</v>
      </c>
      <c r="C3467" s="2">
        <f t="shared" si="54"/>
        <v>-2.3487981307213742E-2</v>
      </c>
    </row>
    <row r="3468" spans="1:3" x14ac:dyDescent="0.2">
      <c r="A3468" s="1">
        <v>41080</v>
      </c>
      <c r="B3468">
        <v>5.6</v>
      </c>
      <c r="C3468" s="2">
        <f t="shared" si="54"/>
        <v>3.5778213478839024E-3</v>
      </c>
    </row>
    <row r="3469" spans="1:3" x14ac:dyDescent="0.2">
      <c r="A3469" s="1">
        <v>41079</v>
      </c>
      <c r="B3469">
        <v>5.58</v>
      </c>
      <c r="C3469" s="2">
        <f t="shared" si="54"/>
        <v>5.390848634876373E-3</v>
      </c>
    </row>
    <row r="3470" spans="1:3" x14ac:dyDescent="0.2">
      <c r="A3470" s="1">
        <v>41078</v>
      </c>
      <c r="B3470">
        <v>5.55</v>
      </c>
      <c r="C3470" s="2">
        <f t="shared" si="54"/>
        <v>1.6349138001529411E-2</v>
      </c>
    </row>
    <row r="3471" spans="1:3" x14ac:dyDescent="0.2">
      <c r="A3471" s="1">
        <v>41075</v>
      </c>
      <c r="B3471">
        <v>5.46</v>
      </c>
      <c r="C3471" s="2">
        <f t="shared" si="54"/>
        <v>1.4760415583120674E-2</v>
      </c>
    </row>
    <row r="3472" spans="1:3" x14ac:dyDescent="0.2">
      <c r="A3472" s="1">
        <v>41074</v>
      </c>
      <c r="B3472">
        <v>5.38</v>
      </c>
      <c r="C3472" s="2">
        <f t="shared" si="54"/>
        <v>9.3371359959399172E-3</v>
      </c>
    </row>
    <row r="3473" spans="1:3" x14ac:dyDescent="0.2">
      <c r="A3473" s="1">
        <v>41073</v>
      </c>
      <c r="B3473">
        <v>5.33</v>
      </c>
      <c r="C3473" s="2">
        <f t="shared" si="54"/>
        <v>9.4251404595831131E-3</v>
      </c>
    </row>
    <row r="3474" spans="1:3" x14ac:dyDescent="0.2">
      <c r="A3474" s="1">
        <v>41072</v>
      </c>
      <c r="B3474">
        <v>5.28</v>
      </c>
      <c r="C3474" s="2">
        <f t="shared" si="54"/>
        <v>1.8957351648991973E-3</v>
      </c>
    </row>
    <row r="3475" spans="1:3" x14ac:dyDescent="0.2">
      <c r="A3475" s="1">
        <v>41071</v>
      </c>
      <c r="B3475">
        <v>5.27</v>
      </c>
      <c r="C3475" s="2">
        <f t="shared" si="54"/>
        <v>-3.7878833169370917E-3</v>
      </c>
    </row>
    <row r="3476" spans="1:3" x14ac:dyDescent="0.2">
      <c r="A3476" s="1">
        <v>41068</v>
      </c>
      <c r="B3476">
        <v>5.29</v>
      </c>
      <c r="C3476" s="2">
        <f t="shared" si="54"/>
        <v>-1.3145729212502616E-2</v>
      </c>
    </row>
    <row r="3477" spans="1:3" x14ac:dyDescent="0.2">
      <c r="A3477" s="1">
        <v>41067</v>
      </c>
      <c r="B3477">
        <v>5.36</v>
      </c>
      <c r="C3477" s="2">
        <f t="shared" si="54"/>
        <v>0</v>
      </c>
    </row>
    <row r="3478" spans="1:3" x14ac:dyDescent="0.2">
      <c r="A3478" s="1">
        <v>41066</v>
      </c>
      <c r="B3478">
        <v>5.36</v>
      </c>
      <c r="C3478" s="2">
        <f t="shared" si="54"/>
        <v>2.8384119317435199E-2</v>
      </c>
    </row>
    <row r="3479" spans="1:3" x14ac:dyDescent="0.2">
      <c r="A3479" s="1">
        <v>41065</v>
      </c>
      <c r="B3479">
        <v>5.21</v>
      </c>
      <c r="C3479" s="2">
        <f t="shared" si="54"/>
        <v>-1.901197948857189E-2</v>
      </c>
    </row>
    <row r="3480" spans="1:3" x14ac:dyDescent="0.2">
      <c r="A3480" s="1">
        <v>41064</v>
      </c>
      <c r="B3480">
        <v>5.31</v>
      </c>
      <c r="C3480" s="2">
        <f t="shared" si="54"/>
        <v>1.5180557177015799E-2</v>
      </c>
    </row>
    <row r="3481" spans="1:3" x14ac:dyDescent="0.2">
      <c r="A3481" s="1">
        <v>41061</v>
      </c>
      <c r="B3481">
        <v>5.23</v>
      </c>
      <c r="C3481" s="2">
        <f t="shared" si="54"/>
        <v>-1.2351700976538206E-2</v>
      </c>
    </row>
    <row r="3482" spans="1:3" x14ac:dyDescent="0.2">
      <c r="A3482" s="1">
        <v>41060</v>
      </c>
      <c r="B3482">
        <v>5.2949999999999999</v>
      </c>
      <c r="C3482" s="2">
        <f t="shared" si="54"/>
        <v>-1.2200996029340945E-2</v>
      </c>
    </row>
    <row r="3483" spans="1:3" x14ac:dyDescent="0.2">
      <c r="A3483" s="1">
        <v>41059</v>
      </c>
      <c r="B3483">
        <v>5.36</v>
      </c>
      <c r="C3483" s="2">
        <f t="shared" si="54"/>
        <v>-1.9400146545791145E-2</v>
      </c>
    </row>
    <row r="3484" spans="1:3" x14ac:dyDescent="0.2">
      <c r="A3484" s="1">
        <v>41058</v>
      </c>
      <c r="B3484">
        <v>5.4649999999999999</v>
      </c>
      <c r="C3484" s="2">
        <f t="shared" si="54"/>
        <v>9.191241175547862E-3</v>
      </c>
    </row>
    <row r="3485" spans="1:3" x14ac:dyDescent="0.2">
      <c r="A3485" s="1">
        <v>41057</v>
      </c>
      <c r="B3485">
        <v>5.415</v>
      </c>
      <c r="C3485" s="2">
        <f t="shared" si="54"/>
        <v>-9.2293499860083943E-4</v>
      </c>
    </row>
    <row r="3486" spans="1:3" x14ac:dyDescent="0.2">
      <c r="A3486" s="1">
        <v>41054</v>
      </c>
      <c r="B3486">
        <v>5.42</v>
      </c>
      <c r="C3486" s="2">
        <f t="shared" si="54"/>
        <v>-1.843318494289224E-3</v>
      </c>
    </row>
    <row r="3487" spans="1:3" x14ac:dyDescent="0.2">
      <c r="A3487" s="1">
        <v>41053</v>
      </c>
      <c r="B3487">
        <v>5.43</v>
      </c>
      <c r="C3487" s="2">
        <f t="shared" si="54"/>
        <v>0</v>
      </c>
    </row>
    <row r="3488" spans="1:3" x14ac:dyDescent="0.2">
      <c r="A3488" s="1">
        <v>41052</v>
      </c>
      <c r="B3488">
        <v>5.43</v>
      </c>
      <c r="C3488" s="2">
        <f t="shared" si="54"/>
        <v>2.7066514623643002E-2</v>
      </c>
    </row>
    <row r="3489" spans="1:3" x14ac:dyDescent="0.2">
      <c r="A3489" s="1">
        <v>41051</v>
      </c>
      <c r="B3489">
        <v>5.2850000000000001</v>
      </c>
      <c r="C3489" s="2">
        <f t="shared" si="54"/>
        <v>1.2375217427653599E-2</v>
      </c>
    </row>
    <row r="3490" spans="1:3" x14ac:dyDescent="0.2">
      <c r="A3490" s="1">
        <v>41050</v>
      </c>
      <c r="B3490">
        <v>5.22</v>
      </c>
      <c r="C3490" s="2">
        <f t="shared" si="54"/>
        <v>1.9342962843130935E-2</v>
      </c>
    </row>
    <row r="3491" spans="1:3" x14ac:dyDescent="0.2">
      <c r="A3491" s="1">
        <v>41047</v>
      </c>
      <c r="B3491">
        <v>5.12</v>
      </c>
      <c r="C3491" s="2">
        <f t="shared" si="54"/>
        <v>3.9138993211363148E-3</v>
      </c>
    </row>
    <row r="3492" spans="1:3" x14ac:dyDescent="0.2">
      <c r="A3492" s="1">
        <v>41046</v>
      </c>
      <c r="B3492">
        <v>5.0999999999999996</v>
      </c>
      <c r="C3492" s="2">
        <f t="shared" si="54"/>
        <v>9.8087305559189236E-4</v>
      </c>
    </row>
    <row r="3493" spans="1:3" x14ac:dyDescent="0.2">
      <c r="A3493" s="1">
        <v>41045</v>
      </c>
      <c r="B3493">
        <v>5.0949999999999998</v>
      </c>
      <c r="C3493" s="2">
        <f t="shared" si="54"/>
        <v>6.8931833753140305E-3</v>
      </c>
    </row>
    <row r="3494" spans="1:3" x14ac:dyDescent="0.2">
      <c r="A3494" s="1">
        <v>41044</v>
      </c>
      <c r="B3494">
        <v>5.0599999999999996</v>
      </c>
      <c r="C3494" s="2">
        <f t="shared" si="54"/>
        <v>1.2728891036042673E-2</v>
      </c>
    </row>
    <row r="3495" spans="1:3" x14ac:dyDescent="0.2">
      <c r="A3495" s="1">
        <v>41043</v>
      </c>
      <c r="B3495">
        <v>4.9960000000000004</v>
      </c>
      <c r="C3495" s="2">
        <f t="shared" si="54"/>
        <v>-1.2728891036042748E-2</v>
      </c>
    </row>
    <row r="3496" spans="1:3" x14ac:dyDescent="0.2">
      <c r="A3496" s="1">
        <v>41040</v>
      </c>
      <c r="B3496">
        <v>5.0599999999999996</v>
      </c>
      <c r="C3496" s="2">
        <f t="shared" si="54"/>
        <v>-3.9447782910164517E-3</v>
      </c>
    </row>
    <row r="3497" spans="1:3" x14ac:dyDescent="0.2">
      <c r="A3497" s="1">
        <v>41039</v>
      </c>
      <c r="B3497">
        <v>5.08</v>
      </c>
      <c r="C3497" s="2">
        <f t="shared" si="54"/>
        <v>-8.8192634340813602E-3</v>
      </c>
    </row>
    <row r="3498" spans="1:3" x14ac:dyDescent="0.2">
      <c r="A3498" s="1">
        <v>41038</v>
      </c>
      <c r="B3498">
        <v>5.125</v>
      </c>
      <c r="C3498" s="2">
        <f t="shared" si="54"/>
        <v>-1.5489177042460304E-2</v>
      </c>
    </row>
    <row r="3499" spans="1:3" x14ac:dyDescent="0.2">
      <c r="A3499" s="1">
        <v>41037</v>
      </c>
      <c r="B3499">
        <v>5.2050000000000001</v>
      </c>
      <c r="C3499" s="2">
        <f t="shared" si="54"/>
        <v>0</v>
      </c>
    </row>
    <row r="3500" spans="1:3" x14ac:dyDescent="0.2">
      <c r="A3500" s="1">
        <v>41036</v>
      </c>
      <c r="B3500">
        <v>5.2050000000000001</v>
      </c>
      <c r="C3500" s="2">
        <f t="shared" si="54"/>
        <v>-2.8776998276150581E-3</v>
      </c>
    </row>
    <row r="3501" spans="1:3" x14ac:dyDescent="0.2">
      <c r="A3501" s="1">
        <v>41033</v>
      </c>
      <c r="B3501">
        <v>5.22</v>
      </c>
      <c r="C3501" s="2">
        <f t="shared" si="54"/>
        <v>-4.7778399537131968E-3</v>
      </c>
    </row>
    <row r="3502" spans="1:3" x14ac:dyDescent="0.2">
      <c r="A3502" s="1">
        <v>41032</v>
      </c>
      <c r="B3502">
        <v>5.2450000000000001</v>
      </c>
      <c r="C3502" s="2">
        <f t="shared" si="54"/>
        <v>-7.5973774739404656E-3</v>
      </c>
    </row>
    <row r="3503" spans="1:3" x14ac:dyDescent="0.2">
      <c r="A3503" s="1">
        <v>41031</v>
      </c>
      <c r="B3503">
        <v>5.2850000000000001</v>
      </c>
      <c r="C3503" s="2">
        <f t="shared" si="54"/>
        <v>5.6926149932864985E-3</v>
      </c>
    </row>
    <row r="3504" spans="1:3" x14ac:dyDescent="0.2">
      <c r="A3504" s="1">
        <v>41029</v>
      </c>
      <c r="B3504">
        <v>5.2549999999999999</v>
      </c>
      <c r="C3504" s="2">
        <f t="shared" si="54"/>
        <v>5.7252064780398647E-3</v>
      </c>
    </row>
    <row r="3505" spans="1:3" x14ac:dyDescent="0.2">
      <c r="A3505" s="1">
        <v>41026</v>
      </c>
      <c r="B3505">
        <v>5.2249999999999996</v>
      </c>
      <c r="C3505" s="2">
        <f t="shared" si="54"/>
        <v>5.7581732996839653E-3</v>
      </c>
    </row>
    <row r="3506" spans="1:3" x14ac:dyDescent="0.2">
      <c r="A3506" s="1">
        <v>41025</v>
      </c>
      <c r="B3506">
        <v>5.1950000000000003</v>
      </c>
      <c r="C3506" s="2">
        <f t="shared" si="54"/>
        <v>-1.6229473166979404E-2</v>
      </c>
    </row>
    <row r="3507" spans="1:3" x14ac:dyDescent="0.2">
      <c r="A3507" s="1">
        <v>41024</v>
      </c>
      <c r="B3507">
        <v>5.28</v>
      </c>
      <c r="C3507" s="2">
        <f t="shared" si="54"/>
        <v>1.7192400540372771E-2</v>
      </c>
    </row>
    <row r="3508" spans="1:3" x14ac:dyDescent="0.2">
      <c r="A3508" s="1">
        <v>41023</v>
      </c>
      <c r="B3508">
        <v>5.19</v>
      </c>
      <c r="C3508" s="2">
        <f t="shared" si="54"/>
        <v>1.0653853797275807E-2</v>
      </c>
    </row>
    <row r="3509" spans="1:3" x14ac:dyDescent="0.2">
      <c r="A3509" s="1">
        <v>41022</v>
      </c>
      <c r="B3509">
        <v>5.1349999999999998</v>
      </c>
      <c r="C3509" s="2">
        <f t="shared" si="54"/>
        <v>-4.5678730633204968E-2</v>
      </c>
    </row>
    <row r="3510" spans="1:3" x14ac:dyDescent="0.2">
      <c r="A3510" s="1">
        <v>41019</v>
      </c>
      <c r="B3510">
        <v>5.375</v>
      </c>
      <c r="C3510" s="2">
        <f t="shared" si="54"/>
        <v>1.4051753455650287E-2</v>
      </c>
    </row>
    <row r="3511" spans="1:3" x14ac:dyDescent="0.2">
      <c r="A3511" s="1">
        <v>41018</v>
      </c>
      <c r="B3511">
        <v>5.3</v>
      </c>
      <c r="C3511" s="2">
        <f t="shared" si="54"/>
        <v>-2.4232313387767858E-2</v>
      </c>
    </row>
    <row r="3512" spans="1:3" x14ac:dyDescent="0.2">
      <c r="A3512" s="1">
        <v>41017</v>
      </c>
      <c r="B3512">
        <v>5.43</v>
      </c>
      <c r="C3512" s="2">
        <f t="shared" si="54"/>
        <v>-1.0077959781349601E-2</v>
      </c>
    </row>
    <row r="3513" spans="1:3" x14ac:dyDescent="0.2">
      <c r="A3513" s="1">
        <v>41016</v>
      </c>
      <c r="B3513">
        <v>5.4850000000000003</v>
      </c>
      <c r="C3513" s="2">
        <f t="shared" si="54"/>
        <v>1.0077959781349637E-2</v>
      </c>
    </row>
    <row r="3514" spans="1:3" x14ac:dyDescent="0.2">
      <c r="A3514" s="1">
        <v>41015</v>
      </c>
      <c r="B3514">
        <v>5.43</v>
      </c>
      <c r="C3514" s="2">
        <f t="shared" si="54"/>
        <v>-2.7586224390798624E-3</v>
      </c>
    </row>
    <row r="3515" spans="1:3" x14ac:dyDescent="0.2">
      <c r="A3515" s="1">
        <v>41012</v>
      </c>
      <c r="B3515">
        <v>5.4450000000000003</v>
      </c>
      <c r="C3515" s="2">
        <f t="shared" si="54"/>
        <v>-9.1785229022888577E-4</v>
      </c>
    </row>
    <row r="3516" spans="1:3" x14ac:dyDescent="0.2">
      <c r="A3516" s="1">
        <v>41011</v>
      </c>
      <c r="B3516">
        <v>5.45</v>
      </c>
      <c r="C3516" s="2">
        <f t="shared" si="54"/>
        <v>1.665163359244216E-2</v>
      </c>
    </row>
    <row r="3517" spans="1:3" x14ac:dyDescent="0.2">
      <c r="A3517" s="1">
        <v>41010</v>
      </c>
      <c r="B3517">
        <v>5.36</v>
      </c>
      <c r="C3517" s="2">
        <f t="shared" si="54"/>
        <v>1.8674141747954624E-3</v>
      </c>
    </row>
    <row r="3518" spans="1:3" x14ac:dyDescent="0.2">
      <c r="A3518" s="1">
        <v>41009</v>
      </c>
      <c r="B3518">
        <v>5.35</v>
      </c>
      <c r="C3518" s="2">
        <f t="shared" si="54"/>
        <v>-3.760186218367819E-2</v>
      </c>
    </row>
    <row r="3519" spans="1:3" x14ac:dyDescent="0.2">
      <c r="A3519" s="1">
        <v>41004</v>
      </c>
      <c r="B3519">
        <v>5.5549999999999997</v>
      </c>
      <c r="C3519" s="2">
        <f t="shared" si="54"/>
        <v>-7.1749186722952054E-3</v>
      </c>
    </row>
    <row r="3520" spans="1:3" x14ac:dyDescent="0.2">
      <c r="A3520" s="1">
        <v>41003</v>
      </c>
      <c r="B3520">
        <v>5.5949999999999998</v>
      </c>
      <c r="C3520" s="2">
        <f t="shared" si="54"/>
        <v>-2.2969207676414798E-2</v>
      </c>
    </row>
    <row r="3521" spans="1:3" x14ac:dyDescent="0.2">
      <c r="A3521" s="1">
        <v>41002</v>
      </c>
      <c r="B3521">
        <v>5.7249999999999996</v>
      </c>
      <c r="C3521" s="2">
        <f t="shared" si="54"/>
        <v>-4.3573053689558126E-3</v>
      </c>
    </row>
    <row r="3522" spans="1:3" x14ac:dyDescent="0.2">
      <c r="A3522" s="1">
        <v>41001</v>
      </c>
      <c r="B3522">
        <v>5.75</v>
      </c>
      <c r="C3522" s="2">
        <f t="shared" si="54"/>
        <v>8.7336799687546315E-3</v>
      </c>
    </row>
    <row r="3523" spans="1:3" x14ac:dyDescent="0.2">
      <c r="A3523" s="1">
        <v>40998</v>
      </c>
      <c r="B3523">
        <v>5.7</v>
      </c>
      <c r="C3523" s="2">
        <f t="shared" ref="C3523:C3586" si="55">+LN(B3523/B3524)</f>
        <v>7.042282625412951E-3</v>
      </c>
    </row>
    <row r="3524" spans="1:3" x14ac:dyDescent="0.2">
      <c r="A3524" s="1">
        <v>40997</v>
      </c>
      <c r="B3524">
        <v>5.66</v>
      </c>
      <c r="C3524" s="2">
        <f t="shared" si="55"/>
        <v>-1.2291638511556624E-2</v>
      </c>
    </row>
    <row r="3525" spans="1:3" x14ac:dyDescent="0.2">
      <c r="A3525" s="1">
        <v>40996</v>
      </c>
      <c r="B3525">
        <v>5.73</v>
      </c>
      <c r="C3525" s="2">
        <f t="shared" si="55"/>
        <v>-4.3535114471976643E-3</v>
      </c>
    </row>
    <row r="3526" spans="1:3" x14ac:dyDescent="0.2">
      <c r="A3526" s="1">
        <v>40995</v>
      </c>
      <c r="B3526">
        <v>5.7549999999999999</v>
      </c>
      <c r="C3526" s="2">
        <f t="shared" si="55"/>
        <v>-1.9785591666159185E-2</v>
      </c>
    </row>
    <row r="3527" spans="1:3" x14ac:dyDescent="0.2">
      <c r="A3527" s="1">
        <v>40994</v>
      </c>
      <c r="B3527">
        <v>5.87</v>
      </c>
      <c r="C3527" s="2">
        <f t="shared" si="55"/>
        <v>3.2903401106945215E-2</v>
      </c>
    </row>
    <row r="3528" spans="1:3" x14ac:dyDescent="0.2">
      <c r="A3528" s="1">
        <v>40991</v>
      </c>
      <c r="B3528">
        <v>5.68</v>
      </c>
      <c r="C3528" s="2">
        <f t="shared" si="55"/>
        <v>-6.143064513714048E-3</v>
      </c>
    </row>
    <row r="3529" spans="1:3" x14ac:dyDescent="0.2">
      <c r="A3529" s="1">
        <v>40990</v>
      </c>
      <c r="B3529">
        <v>5.7149999999999999</v>
      </c>
      <c r="C3529" s="2">
        <f t="shared" si="55"/>
        <v>-1.6486273617045799E-2</v>
      </c>
    </row>
    <row r="3530" spans="1:3" x14ac:dyDescent="0.2">
      <c r="A3530" s="1">
        <v>40989</v>
      </c>
      <c r="B3530">
        <v>5.81</v>
      </c>
      <c r="C3530" s="2">
        <f t="shared" si="55"/>
        <v>4.3122102181799059E-3</v>
      </c>
    </row>
    <row r="3531" spans="1:3" x14ac:dyDescent="0.2">
      <c r="A3531" s="1">
        <v>40988</v>
      </c>
      <c r="B3531">
        <v>5.7850000000000001</v>
      </c>
      <c r="C3531" s="2">
        <f t="shared" si="55"/>
        <v>1.7301042377825121E-3</v>
      </c>
    </row>
    <row r="3532" spans="1:3" x14ac:dyDescent="0.2">
      <c r="A3532" s="1">
        <v>40987</v>
      </c>
      <c r="B3532">
        <v>5.7750000000000004</v>
      </c>
      <c r="C3532" s="2">
        <f t="shared" si="55"/>
        <v>1.4828008269617634E-2</v>
      </c>
    </row>
    <row r="3533" spans="1:3" x14ac:dyDescent="0.2">
      <c r="A3533" s="1">
        <v>40984</v>
      </c>
      <c r="B3533">
        <v>5.69</v>
      </c>
      <c r="C3533" s="2">
        <f t="shared" si="55"/>
        <v>7.0547029798900332E-3</v>
      </c>
    </row>
    <row r="3534" spans="1:3" x14ac:dyDescent="0.2">
      <c r="A3534" s="1">
        <v>40983</v>
      </c>
      <c r="B3534">
        <v>5.65</v>
      </c>
      <c r="C3534" s="2">
        <f t="shared" si="55"/>
        <v>0</v>
      </c>
    </row>
    <row r="3535" spans="1:3" x14ac:dyDescent="0.2">
      <c r="A3535" s="1">
        <v>40982</v>
      </c>
      <c r="B3535">
        <v>5.65</v>
      </c>
      <c r="C3535" s="2">
        <f t="shared" si="55"/>
        <v>5.323881252750017E-3</v>
      </c>
    </row>
    <row r="3536" spans="1:3" x14ac:dyDescent="0.2">
      <c r="A3536" s="1">
        <v>40981</v>
      </c>
      <c r="B3536">
        <v>5.62</v>
      </c>
      <c r="C3536" s="2">
        <f t="shared" si="55"/>
        <v>5.3523767385920606E-3</v>
      </c>
    </row>
    <row r="3537" spans="1:3" x14ac:dyDescent="0.2">
      <c r="A3537" s="1">
        <v>40980</v>
      </c>
      <c r="B3537">
        <v>5.59</v>
      </c>
      <c r="C3537" s="2">
        <f t="shared" si="55"/>
        <v>6.2808640754145797E-3</v>
      </c>
    </row>
    <row r="3538" spans="1:3" x14ac:dyDescent="0.2">
      <c r="A3538" s="1">
        <v>40977</v>
      </c>
      <c r="B3538">
        <v>5.5549999999999997</v>
      </c>
      <c r="C3538" s="2">
        <f t="shared" si="55"/>
        <v>1.0859835236008504E-2</v>
      </c>
    </row>
    <row r="3539" spans="1:3" x14ac:dyDescent="0.2">
      <c r="A3539" s="1">
        <v>40976</v>
      </c>
      <c r="B3539">
        <v>5.4950000000000001</v>
      </c>
      <c r="C3539" s="2">
        <f t="shared" si="55"/>
        <v>1.8214941283910141E-3</v>
      </c>
    </row>
    <row r="3540" spans="1:3" x14ac:dyDescent="0.2">
      <c r="A3540" s="1">
        <v>40975</v>
      </c>
      <c r="B3540">
        <v>5.4850000000000003</v>
      </c>
      <c r="C3540" s="2">
        <f t="shared" si="55"/>
        <v>-2.7309985112316283E-3</v>
      </c>
    </row>
    <row r="3541" spans="1:3" x14ac:dyDescent="0.2">
      <c r="A3541" s="1">
        <v>40974</v>
      </c>
      <c r="B3541">
        <v>5.5</v>
      </c>
      <c r="C3541" s="2">
        <f t="shared" si="55"/>
        <v>-3.2203140494634706E-2</v>
      </c>
    </row>
    <row r="3542" spans="1:3" x14ac:dyDescent="0.2">
      <c r="A3542" s="1">
        <v>40973</v>
      </c>
      <c r="B3542">
        <v>5.68</v>
      </c>
      <c r="C3542" s="2">
        <f t="shared" si="55"/>
        <v>-6.143064513714048E-3</v>
      </c>
    </row>
    <row r="3543" spans="1:3" x14ac:dyDescent="0.2">
      <c r="A3543" s="1">
        <v>40970</v>
      </c>
      <c r="B3543">
        <v>5.7149999999999999</v>
      </c>
      <c r="C3543" s="2">
        <f t="shared" si="55"/>
        <v>1.75131393273488E-3</v>
      </c>
    </row>
    <row r="3544" spans="1:3" x14ac:dyDescent="0.2">
      <c r="A3544" s="1">
        <v>40969</v>
      </c>
      <c r="B3544">
        <v>5.7050000000000001</v>
      </c>
      <c r="C3544" s="2">
        <f t="shared" si="55"/>
        <v>8.7680847353438615E-4</v>
      </c>
    </row>
    <row r="3545" spans="1:3" x14ac:dyDescent="0.2">
      <c r="A3545" s="1">
        <v>40968</v>
      </c>
      <c r="B3545">
        <v>5.7</v>
      </c>
      <c r="C3545" s="2">
        <f t="shared" si="55"/>
        <v>-6.1215757408296127E-3</v>
      </c>
    </row>
    <row r="3546" spans="1:3" x14ac:dyDescent="0.2">
      <c r="A3546" s="1">
        <v>40967</v>
      </c>
      <c r="B3546">
        <v>5.7350000000000003</v>
      </c>
      <c r="C3546" s="2">
        <f t="shared" si="55"/>
        <v>-9.5445410035698598E-3</v>
      </c>
    </row>
    <row r="3547" spans="1:3" x14ac:dyDescent="0.2">
      <c r="A3547" s="1">
        <v>40966</v>
      </c>
      <c r="B3547">
        <v>5.79</v>
      </c>
      <c r="C3547" s="2">
        <f t="shared" si="55"/>
        <v>-1.201731200401744E-2</v>
      </c>
    </row>
    <row r="3548" spans="1:3" x14ac:dyDescent="0.2">
      <c r="A3548" s="1">
        <v>40963</v>
      </c>
      <c r="B3548">
        <v>5.86</v>
      </c>
      <c r="C3548" s="2">
        <f t="shared" si="55"/>
        <v>1.5477523068913143E-2</v>
      </c>
    </row>
    <row r="3549" spans="1:3" x14ac:dyDescent="0.2">
      <c r="A3549" s="1">
        <v>40962</v>
      </c>
      <c r="B3549">
        <v>5.77</v>
      </c>
      <c r="C3549" s="2">
        <f t="shared" si="55"/>
        <v>-2.8194947541623175E-2</v>
      </c>
    </row>
    <row r="3550" spans="1:3" x14ac:dyDescent="0.2">
      <c r="A3550" s="1">
        <v>40961</v>
      </c>
      <c r="B3550">
        <v>5.9349999999999996</v>
      </c>
      <c r="C3550" s="2">
        <f t="shared" si="55"/>
        <v>1.6863410404364121E-3</v>
      </c>
    </row>
    <row r="3551" spans="1:3" x14ac:dyDescent="0.2">
      <c r="A3551" s="1">
        <v>40960</v>
      </c>
      <c r="B3551">
        <v>5.9249999999999998</v>
      </c>
      <c r="C3551" s="2">
        <f t="shared" si="55"/>
        <v>4.2283361095211049E-3</v>
      </c>
    </row>
    <row r="3552" spans="1:3" x14ac:dyDescent="0.2">
      <c r="A3552" s="1">
        <v>40959</v>
      </c>
      <c r="B3552">
        <v>5.9</v>
      </c>
      <c r="C3552" s="2">
        <f t="shared" si="55"/>
        <v>-8.4709873765188664E-4</v>
      </c>
    </row>
    <row r="3553" spans="1:3" x14ac:dyDescent="0.2">
      <c r="A3553" s="1">
        <v>40956</v>
      </c>
      <c r="B3553">
        <v>5.9050000000000002</v>
      </c>
      <c r="C3553" s="2">
        <f t="shared" si="55"/>
        <v>-8.4638176868118652E-4</v>
      </c>
    </row>
    <row r="3554" spans="1:3" x14ac:dyDescent="0.2">
      <c r="A3554" s="1">
        <v>40955</v>
      </c>
      <c r="B3554">
        <v>5.91</v>
      </c>
      <c r="C3554" s="2">
        <f t="shared" si="55"/>
        <v>-1.2610507591929696E-2</v>
      </c>
    </row>
    <row r="3555" spans="1:3" x14ac:dyDescent="0.2">
      <c r="A3555" s="1">
        <v>40954</v>
      </c>
      <c r="B3555">
        <v>5.9850000000000003</v>
      </c>
      <c r="C3555" s="2">
        <f t="shared" si="55"/>
        <v>-5.0000104167056405E-3</v>
      </c>
    </row>
    <row r="3556" spans="1:3" x14ac:dyDescent="0.2">
      <c r="A3556" s="1">
        <v>40953</v>
      </c>
      <c r="B3556">
        <v>6.0149999999999997</v>
      </c>
      <c r="C3556" s="2">
        <f t="shared" si="55"/>
        <v>-9.9256397999700433E-3</v>
      </c>
    </row>
    <row r="3557" spans="1:3" x14ac:dyDescent="0.2">
      <c r="A3557" s="1">
        <v>40952</v>
      </c>
      <c r="B3557">
        <v>6.0750000000000002</v>
      </c>
      <c r="C3557" s="2">
        <f t="shared" si="55"/>
        <v>3.2976122215566729E-3</v>
      </c>
    </row>
    <row r="3558" spans="1:3" x14ac:dyDescent="0.2">
      <c r="A3558" s="1">
        <v>40949</v>
      </c>
      <c r="B3558">
        <v>6.0549999999999997</v>
      </c>
      <c r="C3558" s="2">
        <f t="shared" si="55"/>
        <v>-8.2542307616754681E-4</v>
      </c>
    </row>
    <row r="3559" spans="1:3" x14ac:dyDescent="0.2">
      <c r="A3559" s="1">
        <v>40948</v>
      </c>
      <c r="B3559">
        <v>6.06</v>
      </c>
      <c r="C3559" s="2">
        <f t="shared" si="55"/>
        <v>-3.2948958968526494E-3</v>
      </c>
    </row>
    <row r="3560" spans="1:3" x14ac:dyDescent="0.2">
      <c r="A3560" s="1">
        <v>40947</v>
      </c>
      <c r="B3560">
        <v>6.08</v>
      </c>
      <c r="C3560" s="2">
        <f t="shared" si="55"/>
        <v>4.9464239353256166E-3</v>
      </c>
    </row>
    <row r="3561" spans="1:3" x14ac:dyDescent="0.2">
      <c r="A3561" s="1">
        <v>40946</v>
      </c>
      <c r="B3561">
        <v>6.05</v>
      </c>
      <c r="C3561" s="2">
        <f t="shared" si="55"/>
        <v>-2.4762703532634008E-3</v>
      </c>
    </row>
    <row r="3562" spans="1:3" x14ac:dyDescent="0.2">
      <c r="A3562" s="1">
        <v>40945</v>
      </c>
      <c r="B3562">
        <v>6.0650000000000004</v>
      </c>
      <c r="C3562" s="2">
        <f t="shared" si="55"/>
        <v>-9.8442140347771226E-3</v>
      </c>
    </row>
    <row r="3563" spans="1:3" x14ac:dyDescent="0.2">
      <c r="A3563" s="1">
        <v>40942</v>
      </c>
      <c r="B3563">
        <v>6.125</v>
      </c>
      <c r="C3563" s="2">
        <f t="shared" si="55"/>
        <v>5.7306747089850745E-3</v>
      </c>
    </row>
    <row r="3564" spans="1:3" x14ac:dyDescent="0.2">
      <c r="A3564" s="1">
        <v>40941</v>
      </c>
      <c r="B3564">
        <v>6.09</v>
      </c>
      <c r="C3564" s="2">
        <f t="shared" si="55"/>
        <v>2.4660924951934683E-3</v>
      </c>
    </row>
    <row r="3565" spans="1:3" x14ac:dyDescent="0.2">
      <c r="A3565" s="1">
        <v>40940</v>
      </c>
      <c r="B3565">
        <v>6.0750000000000002</v>
      </c>
      <c r="C3565" s="2">
        <f t="shared" si="55"/>
        <v>3.2976122215566729E-3</v>
      </c>
    </row>
    <row r="3566" spans="1:3" x14ac:dyDescent="0.2">
      <c r="A3566" s="1">
        <v>40939</v>
      </c>
      <c r="B3566">
        <v>6.0549999999999997</v>
      </c>
      <c r="C3566" s="2">
        <f t="shared" si="55"/>
        <v>7.4596284579393568E-3</v>
      </c>
    </row>
    <row r="3567" spans="1:3" x14ac:dyDescent="0.2">
      <c r="A3567" s="1">
        <v>40938</v>
      </c>
      <c r="B3567">
        <v>6.01</v>
      </c>
      <c r="C3567" s="2">
        <f t="shared" si="55"/>
        <v>2.2718688516893563E-2</v>
      </c>
    </row>
    <row r="3568" spans="1:3" x14ac:dyDescent="0.2">
      <c r="A3568" s="1">
        <v>40935</v>
      </c>
      <c r="B3568">
        <v>5.875</v>
      </c>
      <c r="C3568" s="2">
        <f t="shared" si="55"/>
        <v>1.7035779247838289E-3</v>
      </c>
    </row>
    <row r="3569" spans="1:3" x14ac:dyDescent="0.2">
      <c r="A3569" s="1">
        <v>40934</v>
      </c>
      <c r="B3569">
        <v>5.8650000000000002</v>
      </c>
      <c r="C3569" s="2">
        <f t="shared" si="55"/>
        <v>0</v>
      </c>
    </row>
    <row r="3570" spans="1:3" x14ac:dyDescent="0.2">
      <c r="A3570" s="1">
        <v>40933</v>
      </c>
      <c r="B3570">
        <v>5.8650000000000002</v>
      </c>
      <c r="C3570" s="2">
        <f t="shared" si="55"/>
        <v>-2.5542798050967423E-3</v>
      </c>
    </row>
    <row r="3571" spans="1:3" x14ac:dyDescent="0.2">
      <c r="A3571" s="1">
        <v>40932</v>
      </c>
      <c r="B3571">
        <v>5.88</v>
      </c>
      <c r="C3571" s="2">
        <f t="shared" si="55"/>
        <v>-2.5477720787986644E-3</v>
      </c>
    </row>
    <row r="3572" spans="1:3" x14ac:dyDescent="0.2">
      <c r="A3572" s="1">
        <v>40931</v>
      </c>
      <c r="B3572">
        <v>5.8949999999999996</v>
      </c>
      <c r="C3572" s="2">
        <f t="shared" si="55"/>
        <v>9.3737371491985147E-3</v>
      </c>
    </row>
    <row r="3573" spans="1:3" x14ac:dyDescent="0.2">
      <c r="A3573" s="1">
        <v>40928</v>
      </c>
      <c r="B3573">
        <v>5.84</v>
      </c>
      <c r="C3573" s="2">
        <f t="shared" si="55"/>
        <v>-1.1068652809190052E-2</v>
      </c>
    </row>
    <row r="3574" spans="1:3" x14ac:dyDescent="0.2">
      <c r="A3574" s="1">
        <v>40927</v>
      </c>
      <c r="B3574">
        <v>5.9050000000000002</v>
      </c>
      <c r="C3574" s="2">
        <f t="shared" si="55"/>
        <v>-2.0118029727393107E-2</v>
      </c>
    </row>
    <row r="3575" spans="1:3" x14ac:dyDescent="0.2">
      <c r="A3575" s="1">
        <v>40926</v>
      </c>
      <c r="B3575">
        <v>6.0250000000000004</v>
      </c>
      <c r="C3575" s="2">
        <f t="shared" si="55"/>
        <v>4.4980004668919008E-2</v>
      </c>
    </row>
    <row r="3576" spans="1:3" x14ac:dyDescent="0.2">
      <c r="A3576" s="1">
        <v>40925</v>
      </c>
      <c r="B3576">
        <v>5.76</v>
      </c>
      <c r="C3576" s="2">
        <f t="shared" si="55"/>
        <v>1.5748356968139112E-2</v>
      </c>
    </row>
    <row r="3577" spans="1:3" x14ac:dyDescent="0.2">
      <c r="A3577" s="1">
        <v>40924</v>
      </c>
      <c r="B3577">
        <v>5.67</v>
      </c>
      <c r="C3577" s="2">
        <f t="shared" si="55"/>
        <v>1.4209830572653003E-2</v>
      </c>
    </row>
    <row r="3578" spans="1:3" x14ac:dyDescent="0.2">
      <c r="A3578" s="1">
        <v>40921</v>
      </c>
      <c r="B3578">
        <v>5.59</v>
      </c>
      <c r="C3578" s="2">
        <f t="shared" si="55"/>
        <v>-3.5714323675972446E-3</v>
      </c>
    </row>
    <row r="3579" spans="1:3" x14ac:dyDescent="0.2">
      <c r="A3579" s="1">
        <v>40920</v>
      </c>
      <c r="B3579">
        <v>5.61</v>
      </c>
      <c r="C3579" s="2">
        <f t="shared" si="55"/>
        <v>-6.2194780670203082E-3</v>
      </c>
    </row>
    <row r="3580" spans="1:3" x14ac:dyDescent="0.2">
      <c r="A3580" s="1">
        <v>40919</v>
      </c>
      <c r="B3580">
        <v>5.6449999999999996</v>
      </c>
      <c r="C3580" s="2">
        <f t="shared" si="55"/>
        <v>2.6607554500262726E-3</v>
      </c>
    </row>
    <row r="3581" spans="1:3" x14ac:dyDescent="0.2">
      <c r="A3581" s="1">
        <v>40918</v>
      </c>
      <c r="B3581">
        <v>5.63</v>
      </c>
      <c r="C3581" s="2">
        <f t="shared" si="55"/>
        <v>-6.1974523283706614E-3</v>
      </c>
    </row>
    <row r="3582" spans="1:3" x14ac:dyDescent="0.2">
      <c r="A3582" s="1">
        <v>40917</v>
      </c>
      <c r="B3582">
        <v>5.665</v>
      </c>
      <c r="C3582" s="2">
        <f t="shared" si="55"/>
        <v>-1.4892960329289438E-2</v>
      </c>
    </row>
    <row r="3583" spans="1:3" x14ac:dyDescent="0.2">
      <c r="A3583" s="1">
        <v>40914</v>
      </c>
      <c r="B3583">
        <v>5.75</v>
      </c>
      <c r="C3583" s="2">
        <f t="shared" si="55"/>
        <v>1.7544309650909525E-2</v>
      </c>
    </row>
    <row r="3584" spans="1:3" x14ac:dyDescent="0.2">
      <c r="A3584" s="1">
        <v>40913</v>
      </c>
      <c r="B3584">
        <v>5.65</v>
      </c>
      <c r="C3584" s="2">
        <f t="shared" si="55"/>
        <v>-1.9281929549450169E-2</v>
      </c>
    </row>
    <row r="3585" spans="1:3" x14ac:dyDescent="0.2">
      <c r="A3585" s="1">
        <v>40912</v>
      </c>
      <c r="B3585">
        <v>5.76</v>
      </c>
      <c r="C3585" s="2">
        <f t="shared" si="55"/>
        <v>5.2219439811516249E-3</v>
      </c>
    </row>
    <row r="3586" spans="1:3" x14ac:dyDescent="0.2">
      <c r="A3586" s="1">
        <v>40911</v>
      </c>
      <c r="B3586">
        <v>5.73</v>
      </c>
      <c r="C3586" s="2">
        <f t="shared" si="55"/>
        <v>1.0526412986987603E-2</v>
      </c>
    </row>
    <row r="3587" spans="1:3" x14ac:dyDescent="0.2">
      <c r="A3587" s="1">
        <v>40910</v>
      </c>
      <c r="B3587">
        <v>5.67</v>
      </c>
      <c r="C3587" s="2">
        <f t="shared" ref="C3587:C3650" si="56">+LN(B3587/B3588)</f>
        <v>1.5104685218496628E-2</v>
      </c>
    </row>
    <row r="3588" spans="1:3" x14ac:dyDescent="0.2">
      <c r="A3588" s="1">
        <v>40907</v>
      </c>
      <c r="B3588">
        <v>5.585</v>
      </c>
      <c r="C3588" s="2">
        <f t="shared" si="56"/>
        <v>4.4863242586731062E-3</v>
      </c>
    </row>
    <row r="3589" spans="1:3" x14ac:dyDescent="0.2">
      <c r="A3589" s="1">
        <v>40906</v>
      </c>
      <c r="B3589">
        <v>5.56</v>
      </c>
      <c r="C3589" s="2">
        <f t="shared" si="56"/>
        <v>-5.3811789045168186E-3</v>
      </c>
    </row>
    <row r="3590" spans="1:3" x14ac:dyDescent="0.2">
      <c r="A3590" s="1">
        <v>40905</v>
      </c>
      <c r="B3590">
        <v>5.59</v>
      </c>
      <c r="C3590" s="2">
        <f t="shared" si="56"/>
        <v>2.6869698208253877E-3</v>
      </c>
    </row>
    <row r="3591" spans="1:3" x14ac:dyDescent="0.2">
      <c r="A3591" s="1">
        <v>40904</v>
      </c>
      <c r="B3591">
        <v>5.5750000000000002</v>
      </c>
      <c r="C3591" s="2">
        <f t="shared" si="56"/>
        <v>-6.2584021884224796E-3</v>
      </c>
    </row>
    <row r="3592" spans="1:3" x14ac:dyDescent="0.2">
      <c r="A3592" s="1">
        <v>40900</v>
      </c>
      <c r="B3592">
        <v>5.61</v>
      </c>
      <c r="C3592" s="2">
        <f t="shared" si="56"/>
        <v>7.155665595412232E-3</v>
      </c>
    </row>
    <row r="3593" spans="1:3" x14ac:dyDescent="0.2">
      <c r="A3593" s="1">
        <v>40899</v>
      </c>
      <c r="B3593">
        <v>5.57</v>
      </c>
      <c r="C3593" s="2">
        <f t="shared" si="56"/>
        <v>1.7969456767018563E-3</v>
      </c>
    </row>
    <row r="3594" spans="1:3" x14ac:dyDescent="0.2">
      <c r="A3594" s="1">
        <v>40898</v>
      </c>
      <c r="B3594">
        <v>5.56</v>
      </c>
      <c r="C3594" s="2">
        <f t="shared" si="56"/>
        <v>2.701487460160518E-3</v>
      </c>
    </row>
    <row r="3595" spans="1:3" x14ac:dyDescent="0.2">
      <c r="A3595" s="1">
        <v>40897</v>
      </c>
      <c r="B3595">
        <v>5.5449999999999999</v>
      </c>
      <c r="C3595" s="2">
        <f t="shared" si="56"/>
        <v>7.2398506276871782E-3</v>
      </c>
    </row>
    <row r="3596" spans="1:3" x14ac:dyDescent="0.2">
      <c r="A3596" s="1">
        <v>40896</v>
      </c>
      <c r="B3596">
        <v>5.5049999999999999</v>
      </c>
      <c r="C3596" s="2">
        <f t="shared" si="56"/>
        <v>1.5560954723088398E-2</v>
      </c>
    </row>
    <row r="3597" spans="1:3" x14ac:dyDescent="0.2">
      <c r="A3597" s="1">
        <v>40893</v>
      </c>
      <c r="B3597">
        <v>5.42</v>
      </c>
      <c r="C3597" s="2">
        <f t="shared" si="56"/>
        <v>-8.2683061769469914E-3</v>
      </c>
    </row>
    <row r="3598" spans="1:3" x14ac:dyDescent="0.2">
      <c r="A3598" s="1">
        <v>40892</v>
      </c>
      <c r="B3598">
        <v>5.4649999999999999</v>
      </c>
      <c r="C3598" s="2">
        <f t="shared" si="56"/>
        <v>-1.8281540740625898E-3</v>
      </c>
    </row>
    <row r="3599" spans="1:3" x14ac:dyDescent="0.2">
      <c r="A3599" s="1">
        <v>40891</v>
      </c>
      <c r="B3599">
        <v>5.4749999999999996</v>
      </c>
      <c r="C3599" s="2">
        <f t="shared" si="56"/>
        <v>-9.9955398316790307E-3</v>
      </c>
    </row>
    <row r="3600" spans="1:3" x14ac:dyDescent="0.2">
      <c r="A3600" s="1">
        <v>40890</v>
      </c>
      <c r="B3600">
        <v>5.53</v>
      </c>
      <c r="C3600" s="2">
        <f t="shared" si="56"/>
        <v>0</v>
      </c>
    </row>
    <row r="3601" spans="1:3" x14ac:dyDescent="0.2">
      <c r="A3601" s="1">
        <v>40889</v>
      </c>
      <c r="B3601">
        <v>5.53</v>
      </c>
      <c r="C3601" s="2">
        <f t="shared" si="56"/>
        <v>-1.3471240989879825E-2</v>
      </c>
    </row>
    <row r="3602" spans="1:3" x14ac:dyDescent="0.2">
      <c r="A3602" s="1">
        <v>40886</v>
      </c>
      <c r="B3602">
        <v>5.6050000000000004</v>
      </c>
      <c r="C3602" s="2">
        <f t="shared" si="56"/>
        <v>1.7857147602347531E-3</v>
      </c>
    </row>
    <row r="3603" spans="1:3" x14ac:dyDescent="0.2">
      <c r="A3603" s="1">
        <v>40885</v>
      </c>
      <c r="B3603">
        <v>5.5949999999999998</v>
      </c>
      <c r="C3603" s="2">
        <f t="shared" si="56"/>
        <v>-1.5957785438610806E-2</v>
      </c>
    </row>
    <row r="3604" spans="1:3" x14ac:dyDescent="0.2">
      <c r="A3604" s="1">
        <v>40884</v>
      </c>
      <c r="B3604">
        <v>5.6849999999999996</v>
      </c>
      <c r="C3604" s="2">
        <f t="shared" si="56"/>
        <v>1.7605638350329589E-3</v>
      </c>
    </row>
    <row r="3605" spans="1:3" x14ac:dyDescent="0.2">
      <c r="A3605" s="1">
        <v>40883</v>
      </c>
      <c r="B3605">
        <v>5.6749999999999998</v>
      </c>
      <c r="C3605" s="2">
        <f t="shared" si="56"/>
        <v>-1.1388646964008752E-2</v>
      </c>
    </row>
    <row r="3606" spans="1:3" x14ac:dyDescent="0.2">
      <c r="A3606" s="1">
        <v>40882</v>
      </c>
      <c r="B3606">
        <v>5.74</v>
      </c>
      <c r="C3606" s="2">
        <f t="shared" si="56"/>
        <v>1.1388646964008811E-2</v>
      </c>
    </row>
    <row r="3607" spans="1:3" x14ac:dyDescent="0.2">
      <c r="A3607" s="1">
        <v>40879</v>
      </c>
      <c r="B3607">
        <v>5.6749999999999998</v>
      </c>
      <c r="C3607" s="2">
        <f t="shared" si="56"/>
        <v>-1.7605638350329032E-3</v>
      </c>
    </row>
    <row r="3608" spans="1:3" x14ac:dyDescent="0.2">
      <c r="A3608" s="1">
        <v>40878</v>
      </c>
      <c r="B3608">
        <v>5.6849999999999996</v>
      </c>
      <c r="C3608" s="2">
        <f t="shared" si="56"/>
        <v>-2.6350476380052252E-3</v>
      </c>
    </row>
    <row r="3609" spans="1:3" x14ac:dyDescent="0.2">
      <c r="A3609" s="1">
        <v>40877</v>
      </c>
      <c r="B3609">
        <v>5.7</v>
      </c>
      <c r="C3609" s="2">
        <f t="shared" si="56"/>
        <v>2.7569554038174213E-2</v>
      </c>
    </row>
    <row r="3610" spans="1:3" x14ac:dyDescent="0.2">
      <c r="A3610" s="1">
        <v>40876</v>
      </c>
      <c r="B3610">
        <v>5.5449999999999999</v>
      </c>
      <c r="C3610" s="2">
        <f t="shared" si="56"/>
        <v>-9.0130695601277572E-4</v>
      </c>
    </row>
    <row r="3611" spans="1:3" x14ac:dyDescent="0.2">
      <c r="A3611" s="1">
        <v>40875</v>
      </c>
      <c r="B3611">
        <v>5.55</v>
      </c>
      <c r="C3611" s="2">
        <f t="shared" si="56"/>
        <v>2.7398974188114347E-2</v>
      </c>
    </row>
    <row r="3612" spans="1:3" x14ac:dyDescent="0.2">
      <c r="A3612" s="1">
        <v>40872</v>
      </c>
      <c r="B3612">
        <v>5.4</v>
      </c>
      <c r="C3612" s="2">
        <f t="shared" si="56"/>
        <v>-9.2549752094292124E-4</v>
      </c>
    </row>
    <row r="3613" spans="1:3" x14ac:dyDescent="0.2">
      <c r="A3613" s="1">
        <v>40871</v>
      </c>
      <c r="B3613">
        <v>5.4050000000000002</v>
      </c>
      <c r="C3613" s="2">
        <f t="shared" si="56"/>
        <v>1.0227890183256542E-2</v>
      </c>
    </row>
    <row r="3614" spans="1:3" x14ac:dyDescent="0.2">
      <c r="A3614" s="1">
        <v>40870</v>
      </c>
      <c r="B3614">
        <v>5.35</v>
      </c>
      <c r="C3614" s="2">
        <f t="shared" si="56"/>
        <v>-6.5207497004367574E-3</v>
      </c>
    </row>
    <row r="3615" spans="1:3" x14ac:dyDescent="0.2">
      <c r="A3615" s="1">
        <v>40869</v>
      </c>
      <c r="B3615">
        <v>5.3849999999999998</v>
      </c>
      <c r="C3615" s="2">
        <f t="shared" si="56"/>
        <v>-9.2807431255385983E-4</v>
      </c>
    </row>
    <row r="3616" spans="1:3" x14ac:dyDescent="0.2">
      <c r="A3616" s="1">
        <v>40868</v>
      </c>
      <c r="B3616">
        <v>5.39</v>
      </c>
      <c r="C3616" s="2">
        <f t="shared" si="56"/>
        <v>-4.9761509559063943E-2</v>
      </c>
    </row>
    <row r="3617" spans="1:3" x14ac:dyDescent="0.2">
      <c r="A3617" s="1">
        <v>40865</v>
      </c>
      <c r="B3617">
        <v>5.665</v>
      </c>
      <c r="C3617" s="2">
        <f t="shared" si="56"/>
        <v>-2.8710105882431367E-2</v>
      </c>
    </row>
    <row r="3618" spans="1:3" x14ac:dyDescent="0.2">
      <c r="A3618" s="1">
        <v>40864</v>
      </c>
      <c r="B3618">
        <v>5.83</v>
      </c>
      <c r="C3618" s="2">
        <f t="shared" si="56"/>
        <v>-1.7137964777346304E-3</v>
      </c>
    </row>
    <row r="3619" spans="1:3" x14ac:dyDescent="0.2">
      <c r="A3619" s="1">
        <v>40863</v>
      </c>
      <c r="B3619">
        <v>5.84</v>
      </c>
      <c r="C3619" s="2">
        <f t="shared" si="56"/>
        <v>6.0111816902809782E-3</v>
      </c>
    </row>
    <row r="3620" spans="1:3" x14ac:dyDescent="0.2">
      <c r="A3620" s="1">
        <v>40862</v>
      </c>
      <c r="B3620">
        <v>5.8049999999999997</v>
      </c>
      <c r="C3620" s="2">
        <f t="shared" si="56"/>
        <v>2.587323564950954E-3</v>
      </c>
    </row>
    <row r="3621" spans="1:3" x14ac:dyDescent="0.2">
      <c r="A3621" s="1">
        <v>40861</v>
      </c>
      <c r="B3621">
        <v>5.79</v>
      </c>
      <c r="C3621" s="2">
        <f t="shared" si="56"/>
        <v>-1.0309369658861213E-2</v>
      </c>
    </row>
    <row r="3622" spans="1:3" x14ac:dyDescent="0.2">
      <c r="A3622" s="1">
        <v>40858</v>
      </c>
      <c r="B3622">
        <v>5.85</v>
      </c>
      <c r="C3622" s="2">
        <f t="shared" si="56"/>
        <v>4.3675063502661635E-2</v>
      </c>
    </row>
    <row r="3623" spans="1:3" x14ac:dyDescent="0.2">
      <c r="A3623" s="1">
        <v>40857</v>
      </c>
      <c r="B3623">
        <v>5.6</v>
      </c>
      <c r="C3623" s="2">
        <f t="shared" si="56"/>
        <v>-3.5650661644962569E-3</v>
      </c>
    </row>
    <row r="3624" spans="1:3" x14ac:dyDescent="0.2">
      <c r="A3624" s="1">
        <v>40856</v>
      </c>
      <c r="B3624">
        <v>5.62</v>
      </c>
      <c r="C3624" s="2">
        <f t="shared" si="56"/>
        <v>-6.7924685521042472E-2</v>
      </c>
    </row>
    <row r="3625" spans="1:3" x14ac:dyDescent="0.2">
      <c r="A3625" s="1">
        <v>40855</v>
      </c>
      <c r="B3625">
        <v>6.0149999999999997</v>
      </c>
      <c r="C3625" s="2">
        <f t="shared" si="56"/>
        <v>3.3305609471645323E-3</v>
      </c>
    </row>
    <row r="3626" spans="1:3" x14ac:dyDescent="0.2">
      <c r="A3626" s="1">
        <v>40854</v>
      </c>
      <c r="B3626">
        <v>5.9950000000000001</v>
      </c>
      <c r="C3626" s="2">
        <f t="shared" si="56"/>
        <v>-7.4782234672460231E-3</v>
      </c>
    </row>
    <row r="3627" spans="1:3" x14ac:dyDescent="0.2">
      <c r="A3627" s="1">
        <v>40851</v>
      </c>
      <c r="B3627">
        <v>6.04</v>
      </c>
      <c r="C3627" s="2">
        <f t="shared" si="56"/>
        <v>-2.4803650583319539E-3</v>
      </c>
    </row>
    <row r="3628" spans="1:3" x14ac:dyDescent="0.2">
      <c r="A3628" s="1">
        <v>40850</v>
      </c>
      <c r="B3628">
        <v>6.0549999999999997</v>
      </c>
      <c r="C3628" s="2">
        <f t="shared" si="56"/>
        <v>1.2463809042515143E-2</v>
      </c>
    </row>
    <row r="3629" spans="1:3" x14ac:dyDescent="0.2">
      <c r="A3629" s="1">
        <v>40849</v>
      </c>
      <c r="B3629">
        <v>5.98</v>
      </c>
      <c r="C3629" s="2">
        <f t="shared" si="56"/>
        <v>-5.8357814641016529E-3</v>
      </c>
    </row>
    <row r="3630" spans="1:3" x14ac:dyDescent="0.2">
      <c r="A3630" s="1">
        <v>40848</v>
      </c>
      <c r="B3630">
        <v>6.0149999999999997</v>
      </c>
      <c r="C3630" s="2">
        <f t="shared" si="56"/>
        <v>-4.787932712647959E-2</v>
      </c>
    </row>
    <row r="3631" spans="1:3" x14ac:dyDescent="0.2">
      <c r="A3631" s="1">
        <v>40847</v>
      </c>
      <c r="B3631">
        <v>6.31</v>
      </c>
      <c r="C3631" s="2">
        <f t="shared" si="56"/>
        <v>-1.5835316056443847E-3</v>
      </c>
    </row>
    <row r="3632" spans="1:3" x14ac:dyDescent="0.2">
      <c r="A3632" s="1">
        <v>40844</v>
      </c>
      <c r="B3632">
        <v>6.32</v>
      </c>
      <c r="C3632" s="2">
        <f t="shared" si="56"/>
        <v>-4.7356047458341271E-3</v>
      </c>
    </row>
    <row r="3633" spans="1:3" x14ac:dyDescent="0.2">
      <c r="A3633" s="1">
        <v>40843</v>
      </c>
      <c r="B3633">
        <v>6.35</v>
      </c>
      <c r="C3633" s="2">
        <f t="shared" si="56"/>
        <v>7.1118434877173739E-3</v>
      </c>
    </row>
    <row r="3634" spans="1:3" x14ac:dyDescent="0.2">
      <c r="A3634" s="1">
        <v>40842</v>
      </c>
      <c r="B3634">
        <v>6.3049999999999997</v>
      </c>
      <c r="C3634" s="2">
        <f t="shared" si="56"/>
        <v>-6.3241317494681119E-3</v>
      </c>
    </row>
    <row r="3635" spans="1:3" x14ac:dyDescent="0.2">
      <c r="A3635" s="1">
        <v>40841</v>
      </c>
      <c r="B3635">
        <v>6.3449999999999998</v>
      </c>
      <c r="C3635" s="2">
        <f t="shared" si="56"/>
        <v>2.3668650102660225E-3</v>
      </c>
    </row>
    <row r="3636" spans="1:3" x14ac:dyDescent="0.2">
      <c r="A3636" s="1">
        <v>40840</v>
      </c>
      <c r="B3636">
        <v>6.33</v>
      </c>
      <c r="C3636" s="2">
        <f t="shared" si="56"/>
        <v>-1.6451604892005055E-2</v>
      </c>
    </row>
    <row r="3637" spans="1:3" x14ac:dyDescent="0.2">
      <c r="A3637" s="1">
        <v>40837</v>
      </c>
      <c r="B3637">
        <v>6.4349999999999996</v>
      </c>
      <c r="C3637" s="2">
        <f t="shared" si="56"/>
        <v>2.0408871631207033E-2</v>
      </c>
    </row>
    <row r="3638" spans="1:3" x14ac:dyDescent="0.2">
      <c r="A3638" s="1">
        <v>40836</v>
      </c>
      <c r="B3638">
        <v>6.3049999999999997</v>
      </c>
      <c r="C3638" s="2">
        <f t="shared" si="56"/>
        <v>-9.4712625924870484E-3</v>
      </c>
    </row>
    <row r="3639" spans="1:3" x14ac:dyDescent="0.2">
      <c r="A3639" s="1">
        <v>40835</v>
      </c>
      <c r="B3639">
        <v>6.3650000000000002</v>
      </c>
      <c r="C3639" s="2">
        <f t="shared" si="56"/>
        <v>-1.1714308106892441E-2</v>
      </c>
    </row>
    <row r="3640" spans="1:3" x14ac:dyDescent="0.2">
      <c r="A3640" s="1">
        <v>40834</v>
      </c>
      <c r="B3640">
        <v>6.44</v>
      </c>
      <c r="C3640" s="2">
        <f t="shared" si="56"/>
        <v>8.5770506317596803E-3</v>
      </c>
    </row>
    <row r="3641" spans="1:3" x14ac:dyDescent="0.2">
      <c r="A3641" s="1">
        <v>40833</v>
      </c>
      <c r="B3641">
        <v>6.3849999999999998</v>
      </c>
      <c r="C3641" s="2">
        <f t="shared" si="56"/>
        <v>-2.3220857591682704E-2</v>
      </c>
    </row>
    <row r="3642" spans="1:3" x14ac:dyDescent="0.2">
      <c r="A3642" s="1">
        <v>40830</v>
      </c>
      <c r="B3642">
        <v>6.5350000000000001</v>
      </c>
      <c r="C3642" s="2">
        <f t="shared" si="56"/>
        <v>7.6805293077779778E-3</v>
      </c>
    </row>
    <row r="3643" spans="1:3" x14ac:dyDescent="0.2">
      <c r="A3643" s="1">
        <v>40829</v>
      </c>
      <c r="B3643">
        <v>6.4850000000000003</v>
      </c>
      <c r="C3643" s="2">
        <f t="shared" si="56"/>
        <v>-6.915125519932468E-3</v>
      </c>
    </row>
    <row r="3644" spans="1:3" x14ac:dyDescent="0.2">
      <c r="A3644" s="1">
        <v>40828</v>
      </c>
      <c r="B3644">
        <v>6.53</v>
      </c>
      <c r="C3644" s="2">
        <f t="shared" si="56"/>
        <v>0</v>
      </c>
    </row>
    <row r="3645" spans="1:3" x14ac:dyDescent="0.2">
      <c r="A3645" s="1">
        <v>40827</v>
      </c>
      <c r="B3645">
        <v>6.53</v>
      </c>
      <c r="C3645" s="2">
        <f t="shared" si="56"/>
        <v>-1.5302221807675935E-3</v>
      </c>
    </row>
    <row r="3646" spans="1:3" x14ac:dyDescent="0.2">
      <c r="A3646" s="1">
        <v>40826</v>
      </c>
      <c r="B3646">
        <v>6.54</v>
      </c>
      <c r="C3646" s="2">
        <f t="shared" si="56"/>
        <v>2.2420730438301468E-2</v>
      </c>
    </row>
    <row r="3647" spans="1:3" x14ac:dyDescent="0.2">
      <c r="A3647" s="1">
        <v>40823</v>
      </c>
      <c r="B3647">
        <v>6.3949999999999996</v>
      </c>
      <c r="C3647" s="2">
        <f t="shared" si="56"/>
        <v>-1.9357940907755628E-2</v>
      </c>
    </row>
    <row r="3648" spans="1:3" x14ac:dyDescent="0.2">
      <c r="A3648" s="1">
        <v>40822</v>
      </c>
      <c r="B3648">
        <v>6.52</v>
      </c>
      <c r="C3648" s="2">
        <f t="shared" si="56"/>
        <v>2.4845998586530586E-2</v>
      </c>
    </row>
    <row r="3649" spans="1:3" x14ac:dyDescent="0.2">
      <c r="A3649" s="1">
        <v>40821</v>
      </c>
      <c r="B3649">
        <v>6.36</v>
      </c>
      <c r="C3649" s="2">
        <f t="shared" si="56"/>
        <v>1.5049789003999284E-2</v>
      </c>
    </row>
    <row r="3650" spans="1:3" x14ac:dyDescent="0.2">
      <c r="A3650" s="1">
        <v>40820</v>
      </c>
      <c r="B3650">
        <v>6.2649999999999997</v>
      </c>
      <c r="C3650" s="2">
        <f t="shared" si="56"/>
        <v>-2.9101542459649618E-2</v>
      </c>
    </row>
    <row r="3651" spans="1:3" x14ac:dyDescent="0.2">
      <c r="A3651" s="1">
        <v>40819</v>
      </c>
      <c r="B3651">
        <v>6.45</v>
      </c>
      <c r="C3651" s="2">
        <f t="shared" ref="C3651:C3714" si="57">+LN(B3651/B3652)</f>
        <v>-1.3092216268504146E-2</v>
      </c>
    </row>
    <row r="3652" spans="1:3" x14ac:dyDescent="0.2">
      <c r="A3652" s="1">
        <v>40816</v>
      </c>
      <c r="B3652">
        <v>6.5350000000000001</v>
      </c>
      <c r="C3652" s="2">
        <f t="shared" si="57"/>
        <v>1.0769334852364422E-2</v>
      </c>
    </row>
    <row r="3653" spans="1:3" x14ac:dyDescent="0.2">
      <c r="A3653" s="1">
        <v>40815</v>
      </c>
      <c r="B3653">
        <v>6.4649999999999999</v>
      </c>
      <c r="C3653" s="2">
        <f t="shared" si="57"/>
        <v>1.0105021858194497E-2</v>
      </c>
    </row>
    <row r="3654" spans="1:3" x14ac:dyDescent="0.2">
      <c r="A3654" s="1">
        <v>40814</v>
      </c>
      <c r="B3654">
        <v>6.4</v>
      </c>
      <c r="C3654" s="2">
        <f t="shared" si="57"/>
        <v>1.7336919653277161E-2</v>
      </c>
    </row>
    <row r="3655" spans="1:3" x14ac:dyDescent="0.2">
      <c r="A3655" s="1">
        <v>40813</v>
      </c>
      <c r="B3655">
        <v>6.29</v>
      </c>
      <c r="C3655" s="2">
        <f t="shared" si="57"/>
        <v>3.2312988990543461E-2</v>
      </c>
    </row>
    <row r="3656" spans="1:3" x14ac:dyDescent="0.2">
      <c r="A3656" s="1">
        <v>40812</v>
      </c>
      <c r="B3656">
        <v>6.09</v>
      </c>
      <c r="C3656" s="2">
        <f t="shared" si="57"/>
        <v>2.2416878914542273E-2</v>
      </c>
    </row>
    <row r="3657" spans="1:3" x14ac:dyDescent="0.2">
      <c r="A3657" s="1">
        <v>40809</v>
      </c>
      <c r="B3657">
        <v>5.9550000000000001</v>
      </c>
      <c r="C3657" s="2">
        <f t="shared" si="57"/>
        <v>-1.6778527426159757E-3</v>
      </c>
    </row>
    <row r="3658" spans="1:3" x14ac:dyDescent="0.2">
      <c r="A3658" s="1">
        <v>40808</v>
      </c>
      <c r="B3658">
        <v>5.9649999999999999</v>
      </c>
      <c r="C3658" s="2">
        <f t="shared" si="57"/>
        <v>-5.384661194643111E-2</v>
      </c>
    </row>
    <row r="3659" spans="1:3" x14ac:dyDescent="0.2">
      <c r="A3659" s="1">
        <v>40807</v>
      </c>
      <c r="B3659">
        <v>6.2949999999999999</v>
      </c>
      <c r="C3659" s="2">
        <f t="shared" si="57"/>
        <v>2.3856870162031526E-3</v>
      </c>
    </row>
    <row r="3660" spans="1:3" x14ac:dyDescent="0.2">
      <c r="A3660" s="1">
        <v>40806</v>
      </c>
      <c r="B3660">
        <v>6.28</v>
      </c>
      <c r="C3660" s="2">
        <f t="shared" si="57"/>
        <v>1.6051709010508043E-2</v>
      </c>
    </row>
    <row r="3661" spans="1:3" x14ac:dyDescent="0.2">
      <c r="A3661" s="1">
        <v>40805</v>
      </c>
      <c r="B3661">
        <v>6.18</v>
      </c>
      <c r="C3661" s="2">
        <f t="shared" si="57"/>
        <v>-2.2400936689166772E-2</v>
      </c>
    </row>
    <row r="3662" spans="1:3" x14ac:dyDescent="0.2">
      <c r="A3662" s="1">
        <v>40802</v>
      </c>
      <c r="B3662">
        <v>6.32</v>
      </c>
      <c r="C3662" s="2">
        <f t="shared" si="57"/>
        <v>-3.2687735129573577E-2</v>
      </c>
    </row>
    <row r="3663" spans="1:3" x14ac:dyDescent="0.2">
      <c r="A3663" s="1">
        <v>40801</v>
      </c>
      <c r="B3663">
        <v>6.53</v>
      </c>
      <c r="C3663" s="2">
        <f t="shared" si="57"/>
        <v>2.559271127896981E-2</v>
      </c>
    </row>
    <row r="3664" spans="1:3" x14ac:dyDescent="0.2">
      <c r="A3664" s="1">
        <v>40800</v>
      </c>
      <c r="B3664">
        <v>6.3650000000000002</v>
      </c>
      <c r="C3664" s="2">
        <f t="shared" si="57"/>
        <v>-1.2490404381780902E-2</v>
      </c>
    </row>
    <row r="3665" spans="1:3" x14ac:dyDescent="0.2">
      <c r="A3665" s="1">
        <v>40799</v>
      </c>
      <c r="B3665">
        <v>6.4450000000000003</v>
      </c>
      <c r="C3665" s="2">
        <f t="shared" si="57"/>
        <v>1.5637535224799749E-2</v>
      </c>
    </row>
    <row r="3666" spans="1:3" x14ac:dyDescent="0.2">
      <c r="A3666" s="1">
        <v>40798</v>
      </c>
      <c r="B3666">
        <v>6.3449999999999998</v>
      </c>
      <c r="C3666" s="2">
        <f t="shared" si="57"/>
        <v>-3.1034298195512313E-2</v>
      </c>
    </row>
    <row r="3667" spans="1:3" x14ac:dyDescent="0.2">
      <c r="A3667" s="1">
        <v>40795</v>
      </c>
      <c r="B3667">
        <v>6.5449999999999999</v>
      </c>
      <c r="C3667" s="2">
        <f t="shared" si="57"/>
        <v>-2.7130526126039549E-2</v>
      </c>
    </row>
    <row r="3668" spans="1:3" x14ac:dyDescent="0.2">
      <c r="A3668" s="1">
        <v>40794</v>
      </c>
      <c r="B3668">
        <v>6.7249999999999996</v>
      </c>
      <c r="C3668" s="2">
        <f t="shared" si="57"/>
        <v>7.437709528446807E-4</v>
      </c>
    </row>
    <row r="3669" spans="1:3" x14ac:dyDescent="0.2">
      <c r="A3669" s="1">
        <v>40793</v>
      </c>
      <c r="B3669">
        <v>6.72</v>
      </c>
      <c r="C3669" s="2">
        <f t="shared" si="57"/>
        <v>3.2517042570589572E-2</v>
      </c>
    </row>
    <row r="3670" spans="1:3" x14ac:dyDescent="0.2">
      <c r="A3670" s="1">
        <v>40792</v>
      </c>
      <c r="B3670">
        <v>6.5049999999999999</v>
      </c>
      <c r="C3670" s="2">
        <f t="shared" si="57"/>
        <v>1.2374481183185059E-2</v>
      </c>
    </row>
    <row r="3671" spans="1:3" x14ac:dyDescent="0.2">
      <c r="A3671" s="1">
        <v>40791</v>
      </c>
      <c r="B3671">
        <v>6.4249999999999998</v>
      </c>
      <c r="C3671" s="2">
        <f t="shared" si="57"/>
        <v>-4.265688595235835E-2</v>
      </c>
    </row>
    <row r="3672" spans="1:3" x14ac:dyDescent="0.2">
      <c r="A3672" s="1">
        <v>40788</v>
      </c>
      <c r="B3672">
        <v>6.7050000000000001</v>
      </c>
      <c r="C3672" s="2">
        <f t="shared" si="57"/>
        <v>-1.4069095448419118E-2</v>
      </c>
    </row>
    <row r="3673" spans="1:3" x14ac:dyDescent="0.2">
      <c r="A3673" s="1">
        <v>40787</v>
      </c>
      <c r="B3673">
        <v>6.8</v>
      </c>
      <c r="C3673" s="2">
        <f t="shared" si="57"/>
        <v>8.8626872578453243E-3</v>
      </c>
    </row>
    <row r="3674" spans="1:3" x14ac:dyDescent="0.2">
      <c r="A3674" s="1">
        <v>40786</v>
      </c>
      <c r="B3674">
        <v>6.74</v>
      </c>
      <c r="C3674" s="2">
        <f t="shared" si="57"/>
        <v>8.941937375661433E-3</v>
      </c>
    </row>
    <row r="3675" spans="1:3" x14ac:dyDescent="0.2">
      <c r="A3675" s="1">
        <v>40785</v>
      </c>
      <c r="B3675">
        <v>6.68</v>
      </c>
      <c r="C3675" s="2">
        <f t="shared" si="57"/>
        <v>1.0534333684959324E-2</v>
      </c>
    </row>
    <row r="3676" spans="1:3" x14ac:dyDescent="0.2">
      <c r="A3676" s="1">
        <v>40784</v>
      </c>
      <c r="B3676">
        <v>6.61</v>
      </c>
      <c r="C3676" s="2">
        <f t="shared" si="57"/>
        <v>1.141130678740967E-2</v>
      </c>
    </row>
    <row r="3677" spans="1:3" x14ac:dyDescent="0.2">
      <c r="A3677" s="1">
        <v>40781</v>
      </c>
      <c r="B3677">
        <v>6.5350000000000001</v>
      </c>
      <c r="C3677" s="2">
        <f t="shared" si="57"/>
        <v>4.6012351117166563E-3</v>
      </c>
    </row>
    <row r="3678" spans="1:3" x14ac:dyDescent="0.2">
      <c r="A3678" s="1">
        <v>40780</v>
      </c>
      <c r="B3678">
        <v>6.5049999999999999</v>
      </c>
      <c r="C3678" s="2">
        <f t="shared" si="57"/>
        <v>-1.9787555819702162E-2</v>
      </c>
    </row>
    <row r="3679" spans="1:3" x14ac:dyDescent="0.2">
      <c r="A3679" s="1">
        <v>40779</v>
      </c>
      <c r="B3679">
        <v>6.6349999999999998</v>
      </c>
      <c r="C3679" s="2">
        <f t="shared" si="57"/>
        <v>1.5951724495831161E-2</v>
      </c>
    </row>
    <row r="3680" spans="1:3" x14ac:dyDescent="0.2">
      <c r="A3680" s="1">
        <v>40778</v>
      </c>
      <c r="B3680">
        <v>6.53</v>
      </c>
      <c r="C3680" s="2">
        <f t="shared" si="57"/>
        <v>7.6864329241562914E-3</v>
      </c>
    </row>
    <row r="3681" spans="1:3" x14ac:dyDescent="0.2">
      <c r="A3681" s="1">
        <v>40777</v>
      </c>
      <c r="B3681">
        <v>6.48</v>
      </c>
      <c r="C3681" s="2">
        <f t="shared" si="57"/>
        <v>1.8692133012152546E-2</v>
      </c>
    </row>
    <row r="3682" spans="1:3" x14ac:dyDescent="0.2">
      <c r="A3682" s="1">
        <v>40774</v>
      </c>
      <c r="B3682">
        <v>6.36</v>
      </c>
      <c r="C3682" s="2">
        <f t="shared" si="57"/>
        <v>-1.9463440416376428E-2</v>
      </c>
    </row>
    <row r="3683" spans="1:3" x14ac:dyDescent="0.2">
      <c r="A3683" s="1">
        <v>40773</v>
      </c>
      <c r="B3683">
        <v>6.4850000000000003</v>
      </c>
      <c r="C3683" s="2">
        <f t="shared" si="57"/>
        <v>-4.7430794413653755E-2</v>
      </c>
    </row>
    <row r="3684" spans="1:3" x14ac:dyDescent="0.2">
      <c r="A3684" s="1">
        <v>40772</v>
      </c>
      <c r="B3684">
        <v>6.8</v>
      </c>
      <c r="C3684" s="2">
        <f t="shared" si="57"/>
        <v>3.288786684483521E-2</v>
      </c>
    </row>
    <row r="3685" spans="1:3" x14ac:dyDescent="0.2">
      <c r="A3685" s="1">
        <v>40771</v>
      </c>
      <c r="B3685">
        <v>6.58</v>
      </c>
      <c r="C3685" s="2">
        <f t="shared" si="57"/>
        <v>-2.0309084637975081E-2</v>
      </c>
    </row>
    <row r="3686" spans="1:3" x14ac:dyDescent="0.2">
      <c r="A3686" s="1">
        <v>40767</v>
      </c>
      <c r="B3686">
        <v>6.7149999999999999</v>
      </c>
      <c r="C3686" s="2">
        <f t="shared" si="57"/>
        <v>2.5642430613337652E-2</v>
      </c>
    </row>
    <row r="3687" spans="1:3" x14ac:dyDescent="0.2">
      <c r="A3687" s="1">
        <v>40766</v>
      </c>
      <c r="B3687">
        <v>6.5449999999999999</v>
      </c>
      <c r="C3687" s="2">
        <f t="shared" si="57"/>
        <v>1.3846375063257416E-2</v>
      </c>
    </row>
    <row r="3688" spans="1:3" x14ac:dyDescent="0.2">
      <c r="A3688" s="1">
        <v>40765</v>
      </c>
      <c r="B3688">
        <v>6.4550000000000001</v>
      </c>
      <c r="C3688" s="2">
        <f t="shared" si="57"/>
        <v>-1.5373092917057293E-2</v>
      </c>
    </row>
    <row r="3689" spans="1:3" x14ac:dyDescent="0.2">
      <c r="A3689" s="1">
        <v>40764</v>
      </c>
      <c r="B3689">
        <v>6.5549999999999997</v>
      </c>
      <c r="C3689" s="2">
        <f t="shared" si="57"/>
        <v>-3.8066281215627736E-3</v>
      </c>
    </row>
    <row r="3690" spans="1:3" x14ac:dyDescent="0.2">
      <c r="A3690" s="1">
        <v>40763</v>
      </c>
      <c r="B3690">
        <v>6.58</v>
      </c>
      <c r="C3690" s="2">
        <f t="shared" si="57"/>
        <v>-4.1672696400568074E-2</v>
      </c>
    </row>
    <row r="3691" spans="1:3" x14ac:dyDescent="0.2">
      <c r="A3691" s="1">
        <v>40760</v>
      </c>
      <c r="B3691">
        <v>6.86</v>
      </c>
      <c r="C3691" s="2">
        <f t="shared" si="57"/>
        <v>-1.5907783034638627E-2</v>
      </c>
    </row>
    <row r="3692" spans="1:3" x14ac:dyDescent="0.2">
      <c r="A3692" s="1">
        <v>40759</v>
      </c>
      <c r="B3692">
        <v>6.97</v>
      </c>
      <c r="C3692" s="2">
        <f t="shared" si="57"/>
        <v>-1.9183536776631486E-2</v>
      </c>
    </row>
    <row r="3693" spans="1:3" x14ac:dyDescent="0.2">
      <c r="A3693" s="1">
        <v>40758</v>
      </c>
      <c r="B3693">
        <v>7.1050000000000004</v>
      </c>
      <c r="C3693" s="2">
        <f t="shared" si="57"/>
        <v>-2.9811566424156236E-2</v>
      </c>
    </row>
    <row r="3694" spans="1:3" x14ac:dyDescent="0.2">
      <c r="A3694" s="1">
        <v>40757</v>
      </c>
      <c r="B3694">
        <v>7.32</v>
      </c>
      <c r="C3694" s="2">
        <f t="shared" si="57"/>
        <v>-1.9615103017933413E-2</v>
      </c>
    </row>
    <row r="3695" spans="1:3" x14ac:dyDescent="0.2">
      <c r="A3695" s="1">
        <v>40756</v>
      </c>
      <c r="B3695">
        <v>7.4649999999999999</v>
      </c>
      <c r="C3695" s="2">
        <f t="shared" si="57"/>
        <v>-1.7922816301131659E-2</v>
      </c>
    </row>
    <row r="3696" spans="1:3" x14ac:dyDescent="0.2">
      <c r="A3696" s="1">
        <v>40753</v>
      </c>
      <c r="B3696">
        <v>7.6</v>
      </c>
      <c r="C3696" s="2">
        <f t="shared" si="57"/>
        <v>-3.2840752011899961E-3</v>
      </c>
    </row>
    <row r="3697" spans="1:3" x14ac:dyDescent="0.2">
      <c r="A3697" s="1">
        <v>40752</v>
      </c>
      <c r="B3697">
        <v>7.625</v>
      </c>
      <c r="C3697" s="2">
        <f t="shared" si="57"/>
        <v>5.5270130267641097E-2</v>
      </c>
    </row>
    <row r="3698" spans="1:3" x14ac:dyDescent="0.2">
      <c r="A3698" s="1">
        <v>40751</v>
      </c>
      <c r="B3698">
        <v>7.2149999999999999</v>
      </c>
      <c r="C3698" s="2">
        <f t="shared" si="57"/>
        <v>-6.9061047964120471E-3</v>
      </c>
    </row>
    <row r="3699" spans="1:3" x14ac:dyDescent="0.2">
      <c r="A3699" s="1">
        <v>40750</v>
      </c>
      <c r="B3699">
        <v>7.2649999999999997</v>
      </c>
      <c r="C3699" s="2">
        <f t="shared" si="57"/>
        <v>-1.2991635718538688E-2</v>
      </c>
    </row>
    <row r="3700" spans="1:3" x14ac:dyDescent="0.2">
      <c r="A3700" s="1">
        <v>40749</v>
      </c>
      <c r="B3700">
        <v>7.36</v>
      </c>
      <c r="C3700" s="2">
        <f t="shared" si="57"/>
        <v>1.2991635718538836E-2</v>
      </c>
    </row>
    <row r="3701" spans="1:3" x14ac:dyDescent="0.2">
      <c r="A3701" s="1">
        <v>40746</v>
      </c>
      <c r="B3701">
        <v>7.2649999999999997</v>
      </c>
      <c r="C3701" s="2">
        <f t="shared" si="57"/>
        <v>-3.435248998320557E-3</v>
      </c>
    </row>
    <row r="3702" spans="1:3" x14ac:dyDescent="0.2">
      <c r="A3702" s="1">
        <v>40745</v>
      </c>
      <c r="B3702">
        <v>7.29</v>
      </c>
      <c r="C3702" s="2">
        <f t="shared" si="57"/>
        <v>7.5731859371195769E-3</v>
      </c>
    </row>
    <row r="3703" spans="1:3" x14ac:dyDescent="0.2">
      <c r="A3703" s="1">
        <v>40744</v>
      </c>
      <c r="B3703">
        <v>7.2350000000000003</v>
      </c>
      <c r="C3703" s="2">
        <f t="shared" si="57"/>
        <v>-6.9084631417785371E-4</v>
      </c>
    </row>
    <row r="3704" spans="1:3" x14ac:dyDescent="0.2">
      <c r="A3704" s="1">
        <v>40743</v>
      </c>
      <c r="B3704">
        <v>7.24</v>
      </c>
      <c r="C3704" s="2">
        <f t="shared" si="57"/>
        <v>8.3218233374922779E-3</v>
      </c>
    </row>
    <row r="3705" spans="1:3" x14ac:dyDescent="0.2">
      <c r="A3705" s="1">
        <v>40742</v>
      </c>
      <c r="B3705">
        <v>7.18</v>
      </c>
      <c r="C3705" s="2">
        <f t="shared" si="57"/>
        <v>-1.2456908485295154E-2</v>
      </c>
    </row>
    <row r="3706" spans="1:3" x14ac:dyDescent="0.2">
      <c r="A3706" s="1">
        <v>40739</v>
      </c>
      <c r="B3706">
        <v>7.27</v>
      </c>
      <c r="C3706" s="2">
        <f t="shared" si="57"/>
        <v>-3.4328904293210302E-3</v>
      </c>
    </row>
    <row r="3707" spans="1:3" x14ac:dyDescent="0.2">
      <c r="A3707" s="1">
        <v>40738</v>
      </c>
      <c r="B3707">
        <v>7.2949999999999999</v>
      </c>
      <c r="C3707" s="2">
        <f t="shared" si="57"/>
        <v>0</v>
      </c>
    </row>
    <row r="3708" spans="1:3" x14ac:dyDescent="0.2">
      <c r="A3708" s="1">
        <v>40737</v>
      </c>
      <c r="B3708">
        <v>7.2949999999999999</v>
      </c>
      <c r="C3708" s="2">
        <f t="shared" si="57"/>
        <v>1.0334229070014064E-2</v>
      </c>
    </row>
    <row r="3709" spans="1:3" x14ac:dyDescent="0.2">
      <c r="A3709" s="1">
        <v>40736</v>
      </c>
      <c r="B3709">
        <v>7.22</v>
      </c>
      <c r="C3709" s="2">
        <f t="shared" si="57"/>
        <v>-1.7845360320010398E-2</v>
      </c>
    </row>
    <row r="3710" spans="1:3" x14ac:dyDescent="0.2">
      <c r="A3710" s="1">
        <v>40735</v>
      </c>
      <c r="B3710">
        <v>7.35</v>
      </c>
      <c r="C3710" s="2">
        <f t="shared" si="57"/>
        <v>-3.0153038170687558E-2</v>
      </c>
    </row>
    <row r="3711" spans="1:3" x14ac:dyDescent="0.2">
      <c r="A3711" s="1">
        <v>40732</v>
      </c>
      <c r="B3711">
        <v>7.5750000000000002</v>
      </c>
      <c r="C3711" s="2">
        <f t="shared" si="57"/>
        <v>-1.05056777142143E-2</v>
      </c>
    </row>
    <row r="3712" spans="1:3" x14ac:dyDescent="0.2">
      <c r="A3712" s="1">
        <v>40731</v>
      </c>
      <c r="B3712">
        <v>7.6550000000000002</v>
      </c>
      <c r="C3712" s="2">
        <f t="shared" si="57"/>
        <v>1.3071897286216464E-3</v>
      </c>
    </row>
    <row r="3713" spans="1:3" x14ac:dyDescent="0.2">
      <c r="A3713" s="1">
        <v>40730</v>
      </c>
      <c r="B3713">
        <v>7.6449999999999996</v>
      </c>
      <c r="C3713" s="2">
        <f t="shared" si="57"/>
        <v>-7.1684894786126279E-3</v>
      </c>
    </row>
    <row r="3714" spans="1:3" x14ac:dyDescent="0.2">
      <c r="A3714" s="1">
        <v>40729</v>
      </c>
      <c r="B3714">
        <v>7.7</v>
      </c>
      <c r="C3714" s="2">
        <f t="shared" si="57"/>
        <v>7.1684894786127173E-3</v>
      </c>
    </row>
    <row r="3715" spans="1:3" x14ac:dyDescent="0.2">
      <c r="A3715" s="1">
        <v>40728</v>
      </c>
      <c r="B3715">
        <v>7.6449999999999996</v>
      </c>
      <c r="C3715" s="2">
        <f t="shared" ref="C3715:C3778" si="58">+LN(B3715/B3716)</f>
        <v>5.2459136697693256E-3</v>
      </c>
    </row>
    <row r="3716" spans="1:3" x14ac:dyDescent="0.2">
      <c r="A3716" s="1">
        <v>40725</v>
      </c>
      <c r="B3716">
        <v>7.6050000000000004</v>
      </c>
      <c r="C3716" s="2">
        <f t="shared" si="58"/>
        <v>2.6333129107607525E-3</v>
      </c>
    </row>
    <row r="3717" spans="1:3" x14ac:dyDescent="0.2">
      <c r="A3717" s="1">
        <v>40724</v>
      </c>
      <c r="B3717">
        <v>7.585</v>
      </c>
      <c r="C3717" s="2">
        <f t="shared" si="58"/>
        <v>9.9371470244522201E-3</v>
      </c>
    </row>
    <row r="3718" spans="1:3" x14ac:dyDescent="0.2">
      <c r="A3718" s="1">
        <v>40723</v>
      </c>
      <c r="B3718">
        <v>7.51</v>
      </c>
      <c r="C3718" s="2">
        <f t="shared" si="58"/>
        <v>4.6713464992932932E-3</v>
      </c>
    </row>
    <row r="3719" spans="1:3" x14ac:dyDescent="0.2">
      <c r="A3719" s="1">
        <v>40722</v>
      </c>
      <c r="B3719">
        <v>7.4749999999999996</v>
      </c>
      <c r="C3719" s="2">
        <f t="shared" si="58"/>
        <v>2.4374937302001052E-2</v>
      </c>
    </row>
    <row r="3720" spans="1:3" x14ac:dyDescent="0.2">
      <c r="A3720" s="1">
        <v>40721</v>
      </c>
      <c r="B3720">
        <v>7.2949999999999999</v>
      </c>
      <c r="C3720" s="2">
        <f t="shared" si="58"/>
        <v>2.3579455820034644E-2</v>
      </c>
    </row>
    <row r="3721" spans="1:3" x14ac:dyDescent="0.2">
      <c r="A3721" s="1">
        <v>40718</v>
      </c>
      <c r="B3721">
        <v>7.125</v>
      </c>
      <c r="C3721" s="2">
        <f t="shared" si="58"/>
        <v>-5.5983351254209751E-3</v>
      </c>
    </row>
    <row r="3722" spans="1:3" x14ac:dyDescent="0.2">
      <c r="A3722" s="1">
        <v>40717</v>
      </c>
      <c r="B3722">
        <v>7.165</v>
      </c>
      <c r="C3722" s="2">
        <f t="shared" si="58"/>
        <v>-1.5922800928459484E-2</v>
      </c>
    </row>
    <row r="3723" spans="1:3" x14ac:dyDescent="0.2">
      <c r="A3723" s="1">
        <v>40716</v>
      </c>
      <c r="B3723">
        <v>7.28</v>
      </c>
      <c r="C3723" s="2">
        <f t="shared" si="58"/>
        <v>-4.1124115530924363E-3</v>
      </c>
    </row>
    <row r="3724" spans="1:3" x14ac:dyDescent="0.2">
      <c r="A3724" s="1">
        <v>40715</v>
      </c>
      <c r="B3724">
        <v>7.31</v>
      </c>
      <c r="C3724" s="2">
        <f t="shared" si="58"/>
        <v>1.4468044310201739E-2</v>
      </c>
    </row>
    <row r="3725" spans="1:3" x14ac:dyDescent="0.2">
      <c r="A3725" s="1">
        <v>40714</v>
      </c>
      <c r="B3725">
        <v>7.2050000000000001</v>
      </c>
      <c r="C3725" s="2">
        <f t="shared" si="58"/>
        <v>-1.1728316569081335E-2</v>
      </c>
    </row>
    <row r="3726" spans="1:3" x14ac:dyDescent="0.2">
      <c r="A3726" s="1">
        <v>40711</v>
      </c>
      <c r="B3726">
        <v>7.29</v>
      </c>
      <c r="C3726" s="2">
        <f t="shared" si="58"/>
        <v>2.0597329630105622E-3</v>
      </c>
    </row>
    <row r="3727" spans="1:3" x14ac:dyDescent="0.2">
      <c r="A3727" s="1">
        <v>40710</v>
      </c>
      <c r="B3727">
        <v>7.2750000000000004</v>
      </c>
      <c r="C3727" s="2">
        <f t="shared" si="58"/>
        <v>8.9748617606984996E-3</v>
      </c>
    </row>
    <row r="3728" spans="1:3" x14ac:dyDescent="0.2">
      <c r="A3728" s="1">
        <v>40709</v>
      </c>
      <c r="B3728">
        <v>7.21</v>
      </c>
      <c r="C3728" s="2">
        <f t="shared" si="58"/>
        <v>-3.0056907432810028E-2</v>
      </c>
    </row>
    <row r="3729" spans="1:3" x14ac:dyDescent="0.2">
      <c r="A3729" s="1">
        <v>40708</v>
      </c>
      <c r="B3729">
        <v>7.43</v>
      </c>
      <c r="C3729" s="2">
        <f t="shared" si="58"/>
        <v>1.4232703826536741E-2</v>
      </c>
    </row>
    <row r="3730" spans="1:3" x14ac:dyDescent="0.2">
      <c r="A3730" s="1">
        <v>40707</v>
      </c>
      <c r="B3730">
        <v>7.3250000000000002</v>
      </c>
      <c r="C3730" s="2">
        <f t="shared" si="58"/>
        <v>-9.5109412596320348E-3</v>
      </c>
    </row>
    <row r="3731" spans="1:3" x14ac:dyDescent="0.2">
      <c r="A3731" s="1">
        <v>40704</v>
      </c>
      <c r="B3731">
        <v>7.3949999999999996</v>
      </c>
      <c r="C3731" s="2">
        <f t="shared" si="58"/>
        <v>-2.0080996057049133E-2</v>
      </c>
    </row>
    <row r="3732" spans="1:3" x14ac:dyDescent="0.2">
      <c r="A3732" s="1">
        <v>40703</v>
      </c>
      <c r="B3732">
        <v>7.5449999999999999</v>
      </c>
      <c r="C3732" s="2">
        <f t="shared" si="58"/>
        <v>-5.28752058068331E-3</v>
      </c>
    </row>
    <row r="3733" spans="1:3" x14ac:dyDescent="0.2">
      <c r="A3733" s="1">
        <v>40702</v>
      </c>
      <c r="B3733">
        <v>7.585</v>
      </c>
      <c r="C3733" s="2">
        <f t="shared" si="58"/>
        <v>6.6137807220368406E-3</v>
      </c>
    </row>
    <row r="3734" spans="1:3" x14ac:dyDescent="0.2">
      <c r="A3734" s="1">
        <v>40701</v>
      </c>
      <c r="B3734">
        <v>7.5350000000000001</v>
      </c>
      <c r="C3734" s="2">
        <f t="shared" si="58"/>
        <v>-1.3184106592136926E-2</v>
      </c>
    </row>
    <row r="3735" spans="1:3" x14ac:dyDescent="0.2">
      <c r="A3735" s="1">
        <v>40700</v>
      </c>
      <c r="B3735">
        <v>7.6349999999999998</v>
      </c>
      <c r="C3735" s="2">
        <f t="shared" si="58"/>
        <v>-1.1718884113213375E-2</v>
      </c>
    </row>
    <row r="3736" spans="1:3" x14ac:dyDescent="0.2">
      <c r="A3736" s="1">
        <v>40697</v>
      </c>
      <c r="B3736">
        <v>7.7249999999999996</v>
      </c>
      <c r="C3736" s="2">
        <f t="shared" si="58"/>
        <v>5.8422756242283609E-3</v>
      </c>
    </row>
    <row r="3737" spans="1:3" x14ac:dyDescent="0.2">
      <c r="A3737" s="1">
        <v>40696</v>
      </c>
      <c r="B3737">
        <v>7.68</v>
      </c>
      <c r="C3737" s="2">
        <f t="shared" si="58"/>
        <v>-1.6145006807814537E-2</v>
      </c>
    </row>
    <row r="3738" spans="1:3" x14ac:dyDescent="0.2">
      <c r="A3738" s="1">
        <v>40695</v>
      </c>
      <c r="B3738">
        <v>7.8049999999999997</v>
      </c>
      <c r="C3738" s="2">
        <f t="shared" si="58"/>
        <v>1.8100041643617937E-2</v>
      </c>
    </row>
    <row r="3739" spans="1:3" x14ac:dyDescent="0.2">
      <c r="A3739" s="1">
        <v>40694</v>
      </c>
      <c r="B3739">
        <v>7.665</v>
      </c>
      <c r="C3739" s="2">
        <f t="shared" si="58"/>
        <v>9.1743762760412295E-3</v>
      </c>
    </row>
    <row r="3740" spans="1:3" x14ac:dyDescent="0.2">
      <c r="A3740" s="1">
        <v>40693</v>
      </c>
      <c r="B3740">
        <v>7.5949999999999998</v>
      </c>
      <c r="C3740" s="2">
        <f t="shared" si="58"/>
        <v>-7.8688930619110007E-3</v>
      </c>
    </row>
    <row r="3741" spans="1:3" x14ac:dyDescent="0.2">
      <c r="A3741" s="1">
        <v>40690</v>
      </c>
      <c r="B3741">
        <v>7.6550000000000002</v>
      </c>
      <c r="C3741" s="2">
        <f t="shared" si="58"/>
        <v>9.1864163091515735E-3</v>
      </c>
    </row>
    <row r="3742" spans="1:3" x14ac:dyDescent="0.2">
      <c r="A3742" s="1">
        <v>40689</v>
      </c>
      <c r="B3742">
        <v>7.585</v>
      </c>
      <c r="C3742" s="2">
        <f t="shared" si="58"/>
        <v>7.2775709886933552E-3</v>
      </c>
    </row>
    <row r="3743" spans="1:3" x14ac:dyDescent="0.2">
      <c r="A3743" s="1">
        <v>40688</v>
      </c>
      <c r="B3743">
        <v>7.53</v>
      </c>
      <c r="C3743" s="2">
        <f t="shared" si="58"/>
        <v>0</v>
      </c>
    </row>
    <row r="3744" spans="1:3" x14ac:dyDescent="0.2">
      <c r="A3744" s="1">
        <v>40687</v>
      </c>
      <c r="B3744">
        <v>7.53</v>
      </c>
      <c r="C3744" s="2">
        <f t="shared" si="58"/>
        <v>8.6696108206486284E-3</v>
      </c>
    </row>
    <row r="3745" spans="1:3" x14ac:dyDescent="0.2">
      <c r="A3745" s="1">
        <v>40686</v>
      </c>
      <c r="B3745">
        <v>7.4649999999999999</v>
      </c>
      <c r="C3745" s="2">
        <f t="shared" si="58"/>
        <v>-6.6755922137840583E-3</v>
      </c>
    </row>
    <row r="3746" spans="1:3" x14ac:dyDescent="0.2">
      <c r="A3746" s="1">
        <v>40683</v>
      </c>
      <c r="B3746">
        <v>7.5149999999999997</v>
      </c>
      <c r="C3746" s="2">
        <f t="shared" si="58"/>
        <v>-1.9940186068645063E-3</v>
      </c>
    </row>
    <row r="3747" spans="1:3" x14ac:dyDescent="0.2">
      <c r="A3747" s="1">
        <v>40682</v>
      </c>
      <c r="B3747">
        <v>7.53</v>
      </c>
      <c r="C3747" s="2">
        <f t="shared" si="58"/>
        <v>-3.3145539129005828E-3</v>
      </c>
    </row>
    <row r="3748" spans="1:3" x14ac:dyDescent="0.2">
      <c r="A3748" s="1">
        <v>40681</v>
      </c>
      <c r="B3748">
        <v>7.5549999999999997</v>
      </c>
      <c r="C3748" s="2">
        <f t="shared" si="58"/>
        <v>2.4113693498819429E-2</v>
      </c>
    </row>
    <row r="3749" spans="1:3" x14ac:dyDescent="0.2">
      <c r="A3749" s="1">
        <v>40680</v>
      </c>
      <c r="B3749">
        <v>7.375</v>
      </c>
      <c r="C3749" s="2">
        <f t="shared" si="58"/>
        <v>-2.2126279793981161E-2</v>
      </c>
    </row>
    <row r="3750" spans="1:3" x14ac:dyDescent="0.2">
      <c r="A3750" s="1">
        <v>40679</v>
      </c>
      <c r="B3750">
        <v>7.54</v>
      </c>
      <c r="C3750" s="2">
        <f t="shared" si="58"/>
        <v>3.0295147547776999E-2</v>
      </c>
    </row>
    <row r="3751" spans="1:3" x14ac:dyDescent="0.2">
      <c r="A3751" s="1">
        <v>40676</v>
      </c>
      <c r="B3751">
        <v>7.3150000000000004</v>
      </c>
      <c r="C3751" s="2">
        <f t="shared" si="58"/>
        <v>2.0526863177422615E-3</v>
      </c>
    </row>
    <row r="3752" spans="1:3" x14ac:dyDescent="0.2">
      <c r="A3752" s="1">
        <v>40675</v>
      </c>
      <c r="B3752">
        <v>7.3</v>
      </c>
      <c r="C3752" s="2">
        <f t="shared" si="58"/>
        <v>5.4945193176407798E-3</v>
      </c>
    </row>
    <row r="3753" spans="1:3" x14ac:dyDescent="0.2">
      <c r="A3753" s="1">
        <v>40674</v>
      </c>
      <c r="B3753">
        <v>7.26</v>
      </c>
      <c r="C3753" s="2">
        <f t="shared" si="58"/>
        <v>1.3783599701213596E-3</v>
      </c>
    </row>
    <row r="3754" spans="1:3" x14ac:dyDescent="0.2">
      <c r="A3754" s="1">
        <v>40673</v>
      </c>
      <c r="B3754">
        <v>7.25</v>
      </c>
      <c r="C3754" s="2">
        <f t="shared" si="58"/>
        <v>6.2262394150978777E-3</v>
      </c>
    </row>
    <row r="3755" spans="1:3" x14ac:dyDescent="0.2">
      <c r="A3755" s="1">
        <v>40672</v>
      </c>
      <c r="B3755">
        <v>7.2050000000000001</v>
      </c>
      <c r="C3755" s="2">
        <f t="shared" si="58"/>
        <v>-7.6045993852193036E-3</v>
      </c>
    </row>
    <row r="3756" spans="1:3" x14ac:dyDescent="0.2">
      <c r="A3756" s="1">
        <v>40669</v>
      </c>
      <c r="B3756">
        <v>7.26</v>
      </c>
      <c r="C3756" s="2">
        <f t="shared" si="58"/>
        <v>1.1080445776571959E-2</v>
      </c>
    </row>
    <row r="3757" spans="1:3" x14ac:dyDescent="0.2">
      <c r="A3757" s="1">
        <v>40668</v>
      </c>
      <c r="B3757">
        <v>7.18</v>
      </c>
      <c r="C3757" s="2">
        <f t="shared" si="58"/>
        <v>1.3937284486038831E-3</v>
      </c>
    </row>
    <row r="3758" spans="1:3" x14ac:dyDescent="0.2">
      <c r="A3758" s="1">
        <v>40667</v>
      </c>
      <c r="B3758">
        <v>7.17</v>
      </c>
      <c r="C3758" s="2">
        <f t="shared" si="58"/>
        <v>-3.4806857278022233E-3</v>
      </c>
    </row>
    <row r="3759" spans="1:3" x14ac:dyDescent="0.2">
      <c r="A3759" s="1">
        <v>40666</v>
      </c>
      <c r="B3759">
        <v>7.1950000000000003</v>
      </c>
      <c r="C3759" s="2">
        <f t="shared" si="58"/>
        <v>-2.7758518865030179E-3</v>
      </c>
    </row>
    <row r="3760" spans="1:3" x14ac:dyDescent="0.2">
      <c r="A3760" s="1">
        <v>40665</v>
      </c>
      <c r="B3760">
        <v>7.2149999999999999</v>
      </c>
      <c r="C3760" s="2">
        <f t="shared" si="58"/>
        <v>9.7493808440034732E-3</v>
      </c>
    </row>
    <row r="3761" spans="1:3" x14ac:dyDescent="0.2">
      <c r="A3761" s="1">
        <v>40662</v>
      </c>
      <c r="B3761">
        <v>7.1449999999999996</v>
      </c>
      <c r="C3761" s="2">
        <f t="shared" si="58"/>
        <v>-6.9954532408565619E-4</v>
      </c>
    </row>
    <row r="3762" spans="1:3" x14ac:dyDescent="0.2">
      <c r="A3762" s="1">
        <v>40661</v>
      </c>
      <c r="B3762">
        <v>7.15</v>
      </c>
      <c r="C3762" s="2">
        <f t="shared" si="58"/>
        <v>-3.4904049397684908E-3</v>
      </c>
    </row>
    <row r="3763" spans="1:3" x14ac:dyDescent="0.2">
      <c r="A3763" s="1">
        <v>40660</v>
      </c>
      <c r="B3763">
        <v>7.1749999999999998</v>
      </c>
      <c r="C3763" s="2">
        <f t="shared" si="58"/>
        <v>4.8899852941917702E-3</v>
      </c>
    </row>
    <row r="3764" spans="1:3" x14ac:dyDescent="0.2">
      <c r="A3764" s="1">
        <v>40659</v>
      </c>
      <c r="B3764">
        <v>7.14</v>
      </c>
      <c r="C3764" s="2">
        <f t="shared" si="58"/>
        <v>-1.3995803544233545E-3</v>
      </c>
    </row>
    <row r="3765" spans="1:3" x14ac:dyDescent="0.2">
      <c r="A3765" s="1">
        <v>40654</v>
      </c>
      <c r="B3765">
        <v>7.15</v>
      </c>
      <c r="C3765" s="2">
        <f t="shared" si="58"/>
        <v>1.3375771401138959E-2</v>
      </c>
    </row>
    <row r="3766" spans="1:3" x14ac:dyDescent="0.2">
      <c r="A3766" s="1">
        <v>40653</v>
      </c>
      <c r="B3766">
        <v>7.0549999999999997</v>
      </c>
      <c r="C3766" s="2">
        <f t="shared" si="58"/>
        <v>1.1404257597347933E-2</v>
      </c>
    </row>
    <row r="3767" spans="1:3" x14ac:dyDescent="0.2">
      <c r="A3767" s="1">
        <v>40652</v>
      </c>
      <c r="B3767">
        <v>6.9749999999999996</v>
      </c>
      <c r="C3767" s="2">
        <f t="shared" si="58"/>
        <v>1.7354014693151572E-2</v>
      </c>
    </row>
    <row r="3768" spans="1:3" x14ac:dyDescent="0.2">
      <c r="A3768" s="1">
        <v>40651</v>
      </c>
      <c r="B3768">
        <v>6.8550000000000004</v>
      </c>
      <c r="C3768" s="2">
        <f t="shared" si="58"/>
        <v>-3.4411997597728207E-2</v>
      </c>
    </row>
    <row r="3769" spans="1:3" x14ac:dyDescent="0.2">
      <c r="A3769" s="1">
        <v>40648</v>
      </c>
      <c r="B3769">
        <v>7.0949999999999998</v>
      </c>
      <c r="C3769" s="2">
        <f t="shared" si="58"/>
        <v>5.6537253072287122E-3</v>
      </c>
    </row>
    <row r="3770" spans="1:3" x14ac:dyDescent="0.2">
      <c r="A3770" s="1">
        <v>40647</v>
      </c>
      <c r="B3770">
        <v>7.0549999999999997</v>
      </c>
      <c r="C3770" s="2">
        <f t="shared" si="58"/>
        <v>-2.8308582245240603E-3</v>
      </c>
    </row>
    <row r="3771" spans="1:3" x14ac:dyDescent="0.2">
      <c r="A3771" s="1">
        <v>40646</v>
      </c>
      <c r="B3771">
        <v>7.0750000000000002</v>
      </c>
      <c r="C3771" s="2">
        <f t="shared" si="58"/>
        <v>-2.1178970147348059E-3</v>
      </c>
    </row>
    <row r="3772" spans="1:3" x14ac:dyDescent="0.2">
      <c r="A3772" s="1">
        <v>40645</v>
      </c>
      <c r="B3772">
        <v>7.09</v>
      </c>
      <c r="C3772" s="2">
        <f t="shared" si="58"/>
        <v>-2.0935865853588954E-2</v>
      </c>
    </row>
    <row r="3773" spans="1:3" x14ac:dyDescent="0.2">
      <c r="A3773" s="1">
        <v>40644</v>
      </c>
      <c r="B3773">
        <v>7.24</v>
      </c>
      <c r="C3773" s="2">
        <f t="shared" si="58"/>
        <v>2.0739723991291719E-3</v>
      </c>
    </row>
    <row r="3774" spans="1:3" x14ac:dyDescent="0.2">
      <c r="A3774" s="1">
        <v>40641</v>
      </c>
      <c r="B3774">
        <v>7.2249999999999996</v>
      </c>
      <c r="C3774" s="2">
        <f t="shared" si="58"/>
        <v>7.6415793869668595E-3</v>
      </c>
    </row>
    <row r="3775" spans="1:3" x14ac:dyDescent="0.2">
      <c r="A3775" s="1">
        <v>40640</v>
      </c>
      <c r="B3775">
        <v>7.17</v>
      </c>
      <c r="C3775" s="2">
        <f t="shared" si="58"/>
        <v>-2.7855171214264235E-3</v>
      </c>
    </row>
    <row r="3776" spans="1:3" x14ac:dyDescent="0.2">
      <c r="A3776" s="1">
        <v>40639</v>
      </c>
      <c r="B3776">
        <v>7.19</v>
      </c>
      <c r="C3776" s="2">
        <f t="shared" si="58"/>
        <v>1.3917886728227068E-3</v>
      </c>
    </row>
    <row r="3777" spans="1:3" x14ac:dyDescent="0.2">
      <c r="A3777" s="1">
        <v>40638</v>
      </c>
      <c r="B3777">
        <v>7.18</v>
      </c>
      <c r="C3777" s="2">
        <f t="shared" si="58"/>
        <v>2.0913217799975268E-3</v>
      </c>
    </row>
    <row r="3778" spans="1:3" x14ac:dyDescent="0.2">
      <c r="A3778" s="1">
        <v>40637</v>
      </c>
      <c r="B3778">
        <v>7.165</v>
      </c>
      <c r="C3778" s="2">
        <f t="shared" si="58"/>
        <v>4.8968268539305903E-3</v>
      </c>
    </row>
    <row r="3779" spans="1:3" x14ac:dyDescent="0.2">
      <c r="A3779" s="1">
        <v>40634</v>
      </c>
      <c r="B3779">
        <v>7.13</v>
      </c>
      <c r="C3779" s="2">
        <f t="shared" ref="C3779:C3842" si="59">+LN(B3779/B3780)</f>
        <v>4.9209238141987161E-3</v>
      </c>
    </row>
    <row r="3780" spans="1:3" x14ac:dyDescent="0.2">
      <c r="A3780" s="1">
        <v>40633</v>
      </c>
      <c r="B3780">
        <v>7.0949999999999998</v>
      </c>
      <c r="C3780" s="2">
        <f t="shared" si="59"/>
        <v>0</v>
      </c>
    </row>
    <row r="3781" spans="1:3" x14ac:dyDescent="0.2">
      <c r="A3781" s="1">
        <v>40632</v>
      </c>
      <c r="B3781">
        <v>7.0949999999999998</v>
      </c>
      <c r="C3781" s="2">
        <f t="shared" si="59"/>
        <v>0</v>
      </c>
    </row>
    <row r="3782" spans="1:3" x14ac:dyDescent="0.2">
      <c r="A3782" s="1">
        <v>40631</v>
      </c>
      <c r="B3782">
        <v>7.0949999999999998</v>
      </c>
      <c r="C3782" s="2">
        <f t="shared" si="59"/>
        <v>2.1164029063774721E-3</v>
      </c>
    </row>
    <row r="3783" spans="1:3" x14ac:dyDescent="0.2">
      <c r="A3783" s="1">
        <v>40630</v>
      </c>
      <c r="B3783">
        <v>7.08</v>
      </c>
      <c r="C3783" s="2">
        <f t="shared" si="59"/>
        <v>1.6376300473859393E-2</v>
      </c>
    </row>
    <row r="3784" spans="1:3" x14ac:dyDescent="0.2">
      <c r="A3784" s="1">
        <v>40627</v>
      </c>
      <c r="B3784">
        <v>6.9649999999999999</v>
      </c>
      <c r="C3784" s="2">
        <f t="shared" si="59"/>
        <v>-2.151309542512133E-3</v>
      </c>
    </row>
    <row r="3785" spans="1:3" x14ac:dyDescent="0.2">
      <c r="A3785" s="1">
        <v>40626</v>
      </c>
      <c r="B3785">
        <v>6.98</v>
      </c>
      <c r="C3785" s="2">
        <f t="shared" si="59"/>
        <v>6.4678630074863578E-3</v>
      </c>
    </row>
    <row r="3786" spans="1:3" x14ac:dyDescent="0.2">
      <c r="A3786" s="1">
        <v>40625</v>
      </c>
      <c r="B3786">
        <v>6.9349999999999996</v>
      </c>
      <c r="C3786" s="2">
        <f t="shared" si="59"/>
        <v>2.8880886500732544E-3</v>
      </c>
    </row>
    <row r="3787" spans="1:3" x14ac:dyDescent="0.2">
      <c r="A3787" s="1">
        <v>40624</v>
      </c>
      <c r="B3787">
        <v>6.915</v>
      </c>
      <c r="C3787" s="2">
        <f t="shared" si="59"/>
        <v>9.4443128425877199E-3</v>
      </c>
    </row>
    <row r="3788" spans="1:3" x14ac:dyDescent="0.2">
      <c r="A3788" s="1">
        <v>40623</v>
      </c>
      <c r="B3788">
        <v>6.85</v>
      </c>
      <c r="C3788" s="2">
        <f t="shared" si="59"/>
        <v>1.0271550321829699E-2</v>
      </c>
    </row>
    <row r="3789" spans="1:3" x14ac:dyDescent="0.2">
      <c r="A3789" s="1">
        <v>40620</v>
      </c>
      <c r="B3789">
        <v>6.78</v>
      </c>
      <c r="C3789" s="2">
        <f t="shared" si="59"/>
        <v>1.1869575555383729E-2</v>
      </c>
    </row>
    <row r="3790" spans="1:3" x14ac:dyDescent="0.2">
      <c r="A3790" s="1">
        <v>40619</v>
      </c>
      <c r="B3790">
        <v>6.7</v>
      </c>
      <c r="C3790" s="2">
        <f t="shared" si="59"/>
        <v>4.4876664693879768E-3</v>
      </c>
    </row>
    <row r="3791" spans="1:3" x14ac:dyDescent="0.2">
      <c r="A3791" s="1">
        <v>40618</v>
      </c>
      <c r="B3791">
        <v>6.67</v>
      </c>
      <c r="C3791" s="2">
        <f t="shared" si="59"/>
        <v>-6.7239700476685897E-3</v>
      </c>
    </row>
    <row r="3792" spans="1:3" x14ac:dyDescent="0.2">
      <c r="A3792" s="1">
        <v>40617</v>
      </c>
      <c r="B3792">
        <v>6.7149999999999999</v>
      </c>
      <c r="C3792" s="2">
        <f t="shared" si="59"/>
        <v>-1.5515641880169934E-2</v>
      </c>
    </row>
    <row r="3793" spans="1:3" x14ac:dyDescent="0.2">
      <c r="A3793" s="1">
        <v>40616</v>
      </c>
      <c r="B3793">
        <v>6.82</v>
      </c>
      <c r="C3793" s="2">
        <f t="shared" si="59"/>
        <v>-1.0937039389894276E-2</v>
      </c>
    </row>
    <row r="3794" spans="1:3" x14ac:dyDescent="0.2">
      <c r="A3794" s="1">
        <v>40613</v>
      </c>
      <c r="B3794">
        <v>6.8949999999999996</v>
      </c>
      <c r="C3794" s="2">
        <f t="shared" si="59"/>
        <v>5.0890695074712281E-3</v>
      </c>
    </row>
    <row r="3795" spans="1:3" x14ac:dyDescent="0.2">
      <c r="A3795" s="1">
        <v>40612</v>
      </c>
      <c r="B3795">
        <v>6.86</v>
      </c>
      <c r="C3795" s="2">
        <f t="shared" si="59"/>
        <v>2.1889829973817908E-3</v>
      </c>
    </row>
    <row r="3796" spans="1:3" x14ac:dyDescent="0.2">
      <c r="A3796" s="1">
        <v>40611</v>
      </c>
      <c r="B3796">
        <v>6.8449999999999998</v>
      </c>
      <c r="C3796" s="2">
        <f t="shared" si="59"/>
        <v>1.1017371816228584E-2</v>
      </c>
    </row>
    <row r="3797" spans="1:3" x14ac:dyDescent="0.2">
      <c r="A3797" s="1">
        <v>40610</v>
      </c>
      <c r="B3797">
        <v>6.77</v>
      </c>
      <c r="C3797" s="2">
        <f t="shared" si="59"/>
        <v>3.6995972644644046E-3</v>
      </c>
    </row>
    <row r="3798" spans="1:3" x14ac:dyDescent="0.2">
      <c r="A3798" s="1">
        <v>40609</v>
      </c>
      <c r="B3798">
        <v>6.7450000000000001</v>
      </c>
      <c r="C3798" s="2">
        <f t="shared" si="59"/>
        <v>3.7133351246610704E-3</v>
      </c>
    </row>
    <row r="3799" spans="1:3" x14ac:dyDescent="0.2">
      <c r="A3799" s="1">
        <v>40606</v>
      </c>
      <c r="B3799">
        <v>6.72</v>
      </c>
      <c r="C3799" s="2">
        <f t="shared" si="59"/>
        <v>5.2219439811516249E-3</v>
      </c>
    </row>
    <row r="3800" spans="1:3" x14ac:dyDescent="0.2">
      <c r="A3800" s="1">
        <v>40605</v>
      </c>
      <c r="B3800">
        <v>6.6849999999999996</v>
      </c>
      <c r="C3800" s="2">
        <f t="shared" si="59"/>
        <v>6.0015183886977597E-3</v>
      </c>
    </row>
    <row r="3801" spans="1:3" x14ac:dyDescent="0.2">
      <c r="A3801" s="1">
        <v>40604</v>
      </c>
      <c r="B3801">
        <v>6.6449999999999996</v>
      </c>
      <c r="C3801" s="2">
        <f t="shared" si="59"/>
        <v>-6.7491819749285614E-3</v>
      </c>
    </row>
    <row r="3802" spans="1:3" x14ac:dyDescent="0.2">
      <c r="A3802" s="1">
        <v>40603</v>
      </c>
      <c r="B3802">
        <v>6.69</v>
      </c>
      <c r="C3802" s="2">
        <f t="shared" si="59"/>
        <v>-1.2625492625627456E-2</v>
      </c>
    </row>
    <row r="3803" spans="1:3" x14ac:dyDescent="0.2">
      <c r="A3803" s="1">
        <v>40602</v>
      </c>
      <c r="B3803">
        <v>6.7750000000000004</v>
      </c>
      <c r="C3803" s="2">
        <f t="shared" si="59"/>
        <v>7.3827984158113464E-4</v>
      </c>
    </row>
    <row r="3804" spans="1:3" x14ac:dyDescent="0.2">
      <c r="A3804" s="1">
        <v>40599</v>
      </c>
      <c r="B3804">
        <v>6.77</v>
      </c>
      <c r="C3804" s="2">
        <f t="shared" si="59"/>
        <v>8.1572569489826944E-3</v>
      </c>
    </row>
    <row r="3805" spans="1:3" x14ac:dyDescent="0.2">
      <c r="A3805" s="1">
        <v>40598</v>
      </c>
      <c r="B3805">
        <v>6.7149999999999999</v>
      </c>
      <c r="C3805" s="2">
        <f t="shared" si="59"/>
        <v>-1.1107111595403936E-2</v>
      </c>
    </row>
    <row r="3806" spans="1:3" x14ac:dyDescent="0.2">
      <c r="A3806" s="1">
        <v>40597</v>
      </c>
      <c r="B3806">
        <v>6.79</v>
      </c>
      <c r="C3806" s="2">
        <f t="shared" si="59"/>
        <v>1.4089962427468806E-2</v>
      </c>
    </row>
    <row r="3807" spans="1:3" x14ac:dyDescent="0.2">
      <c r="A3807" s="1">
        <v>40596</v>
      </c>
      <c r="B3807">
        <v>6.6950000000000003</v>
      </c>
      <c r="C3807" s="2">
        <f t="shared" si="59"/>
        <v>-1.1140107781047681E-2</v>
      </c>
    </row>
    <row r="3808" spans="1:3" x14ac:dyDescent="0.2">
      <c r="A3808" s="1">
        <v>40595</v>
      </c>
      <c r="B3808">
        <v>6.77</v>
      </c>
      <c r="C3808" s="2">
        <f t="shared" si="59"/>
        <v>-1.3206354813610342E-2</v>
      </c>
    </row>
    <row r="3809" spans="1:3" x14ac:dyDescent="0.2">
      <c r="A3809" s="1">
        <v>40592</v>
      </c>
      <c r="B3809">
        <v>6.86</v>
      </c>
      <c r="C3809" s="2">
        <f t="shared" si="59"/>
        <v>8.7848295557328114E-3</v>
      </c>
    </row>
    <row r="3810" spans="1:3" x14ac:dyDescent="0.2">
      <c r="A3810" s="1">
        <v>40591</v>
      </c>
      <c r="B3810">
        <v>6.8</v>
      </c>
      <c r="C3810" s="2">
        <f t="shared" si="59"/>
        <v>0</v>
      </c>
    </row>
    <row r="3811" spans="1:3" x14ac:dyDescent="0.2">
      <c r="A3811" s="1">
        <v>40590</v>
      </c>
      <c r="B3811">
        <v>6.8</v>
      </c>
      <c r="C3811" s="2">
        <f t="shared" si="59"/>
        <v>-2.2034529664350204E-3</v>
      </c>
    </row>
    <row r="3812" spans="1:3" x14ac:dyDescent="0.2">
      <c r="A3812" s="1">
        <v>40589</v>
      </c>
      <c r="B3812">
        <v>6.8150000000000004</v>
      </c>
      <c r="C3812" s="2">
        <f t="shared" si="59"/>
        <v>2.2034529664349137E-3</v>
      </c>
    </row>
    <row r="3813" spans="1:3" x14ac:dyDescent="0.2">
      <c r="A3813" s="1">
        <v>40588</v>
      </c>
      <c r="B3813">
        <v>6.8</v>
      </c>
      <c r="C3813" s="2">
        <f t="shared" si="59"/>
        <v>1.0347468525424543E-2</v>
      </c>
    </row>
    <row r="3814" spans="1:3" x14ac:dyDescent="0.2">
      <c r="A3814" s="1">
        <v>40585</v>
      </c>
      <c r="B3814">
        <v>6.73</v>
      </c>
      <c r="C3814" s="2">
        <f t="shared" si="59"/>
        <v>1.1958288988873576E-2</v>
      </c>
    </row>
    <row r="3815" spans="1:3" x14ac:dyDescent="0.2">
      <c r="A3815" s="1">
        <v>40584</v>
      </c>
      <c r="B3815">
        <v>6.65</v>
      </c>
      <c r="C3815" s="2">
        <f t="shared" si="59"/>
        <v>-2.2305757514298162E-2</v>
      </c>
    </row>
    <row r="3816" spans="1:3" x14ac:dyDescent="0.2">
      <c r="A3816" s="1">
        <v>40583</v>
      </c>
      <c r="B3816">
        <v>6.8</v>
      </c>
      <c r="C3816" s="2">
        <f t="shared" si="59"/>
        <v>7.38010729762246E-3</v>
      </c>
    </row>
    <row r="3817" spans="1:3" x14ac:dyDescent="0.2">
      <c r="A3817" s="1">
        <v>40582</v>
      </c>
      <c r="B3817">
        <v>6.75</v>
      </c>
      <c r="C3817" s="2">
        <f t="shared" si="59"/>
        <v>-8.8496152769824993E-3</v>
      </c>
    </row>
    <row r="3818" spans="1:3" x14ac:dyDescent="0.2">
      <c r="A3818" s="1">
        <v>40581</v>
      </c>
      <c r="B3818">
        <v>6.81</v>
      </c>
      <c r="C3818" s="2">
        <f t="shared" si="59"/>
        <v>1.256019467351817E-2</v>
      </c>
    </row>
    <row r="3819" spans="1:3" x14ac:dyDescent="0.2">
      <c r="A3819" s="1">
        <v>40578</v>
      </c>
      <c r="B3819">
        <v>6.7249999999999996</v>
      </c>
      <c r="C3819" s="2">
        <f t="shared" si="59"/>
        <v>1.4880955127019404E-3</v>
      </c>
    </row>
    <row r="3820" spans="1:3" x14ac:dyDescent="0.2">
      <c r="A3820" s="1">
        <v>40577</v>
      </c>
      <c r="B3820">
        <v>6.7149999999999999</v>
      </c>
      <c r="C3820" s="2">
        <f t="shared" si="59"/>
        <v>2.9828508320649131E-3</v>
      </c>
    </row>
    <row r="3821" spans="1:3" x14ac:dyDescent="0.2">
      <c r="A3821" s="1">
        <v>40576</v>
      </c>
      <c r="B3821">
        <v>6.6950000000000003</v>
      </c>
      <c r="C3821" s="2">
        <f t="shared" si="59"/>
        <v>5.2414945908381919E-3</v>
      </c>
    </row>
    <row r="3822" spans="1:3" x14ac:dyDescent="0.2">
      <c r="A3822" s="1">
        <v>40575</v>
      </c>
      <c r="B3822">
        <v>6.66</v>
      </c>
      <c r="C3822" s="2">
        <f t="shared" si="59"/>
        <v>5.2691126800118171E-3</v>
      </c>
    </row>
    <row r="3823" spans="1:3" x14ac:dyDescent="0.2">
      <c r="A3823" s="1">
        <v>40574</v>
      </c>
      <c r="B3823">
        <v>6.625</v>
      </c>
      <c r="C3823" s="2">
        <f t="shared" si="59"/>
        <v>-7.5188324140273398E-3</v>
      </c>
    </row>
    <row r="3824" spans="1:3" x14ac:dyDescent="0.2">
      <c r="A3824" s="1">
        <v>40571</v>
      </c>
      <c r="B3824">
        <v>6.6749999999999998</v>
      </c>
      <c r="C3824" s="2">
        <f t="shared" si="59"/>
        <v>7.493443587807578E-4</v>
      </c>
    </row>
    <row r="3825" spans="1:3" x14ac:dyDescent="0.2">
      <c r="A3825" s="1">
        <v>40570</v>
      </c>
      <c r="B3825">
        <v>6.67</v>
      </c>
      <c r="C3825" s="2">
        <f t="shared" si="59"/>
        <v>7.5244899786155008E-3</v>
      </c>
    </row>
    <row r="3826" spans="1:3" x14ac:dyDescent="0.2">
      <c r="A3826" s="1">
        <v>40569</v>
      </c>
      <c r="B3826">
        <v>6.62</v>
      </c>
      <c r="C3826" s="2">
        <f t="shared" si="59"/>
        <v>-6.7745836817550966E-3</v>
      </c>
    </row>
    <row r="3827" spans="1:3" x14ac:dyDescent="0.2">
      <c r="A3827" s="1">
        <v>40568</v>
      </c>
      <c r="B3827">
        <v>6.665</v>
      </c>
      <c r="C3827" s="2">
        <f t="shared" si="59"/>
        <v>9.0430156563833883E-3</v>
      </c>
    </row>
    <row r="3828" spans="1:3" x14ac:dyDescent="0.2">
      <c r="A3828" s="1">
        <v>40567</v>
      </c>
      <c r="B3828">
        <v>6.6050000000000004</v>
      </c>
      <c r="C3828" s="2">
        <f t="shared" si="59"/>
        <v>-7.5415138727862371E-3</v>
      </c>
    </row>
    <row r="3829" spans="1:3" x14ac:dyDescent="0.2">
      <c r="A3829" s="1">
        <v>40564</v>
      </c>
      <c r="B3829">
        <v>6.6550000000000002</v>
      </c>
      <c r="C3829" s="2">
        <f t="shared" si="59"/>
        <v>1.503759681866502E-3</v>
      </c>
    </row>
    <row r="3830" spans="1:3" x14ac:dyDescent="0.2">
      <c r="A3830" s="1">
        <v>40563</v>
      </c>
      <c r="B3830">
        <v>6.6449999999999996</v>
      </c>
      <c r="C3830" s="2">
        <f t="shared" si="59"/>
        <v>-1.122346236984954E-2</v>
      </c>
    </row>
    <row r="3831" spans="1:3" x14ac:dyDescent="0.2">
      <c r="A3831" s="1">
        <v>40562</v>
      </c>
      <c r="B3831">
        <v>6.72</v>
      </c>
      <c r="C3831" s="2">
        <f t="shared" si="59"/>
        <v>-9.6261387517743505E-3</v>
      </c>
    </row>
    <row r="3832" spans="1:3" x14ac:dyDescent="0.2">
      <c r="A3832" s="1">
        <v>40561</v>
      </c>
      <c r="B3832">
        <v>6.7850000000000001</v>
      </c>
      <c r="C3832" s="2">
        <f t="shared" si="59"/>
        <v>-7.3664828377229257E-4</v>
      </c>
    </row>
    <row r="3833" spans="1:3" x14ac:dyDescent="0.2">
      <c r="A3833" s="1">
        <v>40560</v>
      </c>
      <c r="B3833">
        <v>6.79</v>
      </c>
      <c r="C3833" s="2">
        <f t="shared" si="59"/>
        <v>-4.4085302847659685E-3</v>
      </c>
    </row>
    <row r="3834" spans="1:3" x14ac:dyDescent="0.2">
      <c r="A3834" s="1">
        <v>40557</v>
      </c>
      <c r="B3834">
        <v>6.82</v>
      </c>
      <c r="C3834" s="2">
        <f t="shared" si="59"/>
        <v>-6.5765673645636017E-3</v>
      </c>
    </row>
    <row r="3835" spans="1:3" x14ac:dyDescent="0.2">
      <c r="A3835" s="1">
        <v>40556</v>
      </c>
      <c r="B3835">
        <v>6.8650000000000002</v>
      </c>
      <c r="C3835" s="2">
        <f t="shared" si="59"/>
        <v>-1.7328953488990727E-2</v>
      </c>
    </row>
    <row r="3836" spans="1:3" x14ac:dyDescent="0.2">
      <c r="A3836" s="1">
        <v>40555</v>
      </c>
      <c r="B3836">
        <v>6.9850000000000003</v>
      </c>
      <c r="C3836" s="2">
        <f t="shared" si="59"/>
        <v>-9.2626241152521018E-3</v>
      </c>
    </row>
    <row r="3837" spans="1:3" x14ac:dyDescent="0.2">
      <c r="A3837" s="1">
        <v>40554</v>
      </c>
      <c r="B3837">
        <v>7.05</v>
      </c>
      <c r="C3837" s="2">
        <f t="shared" si="59"/>
        <v>0</v>
      </c>
    </row>
    <row r="3838" spans="1:3" x14ac:dyDescent="0.2">
      <c r="A3838" s="1">
        <v>40553</v>
      </c>
      <c r="B3838">
        <v>7.05</v>
      </c>
      <c r="C3838" s="2">
        <f t="shared" si="59"/>
        <v>0</v>
      </c>
    </row>
    <row r="3839" spans="1:3" x14ac:dyDescent="0.2">
      <c r="A3839" s="1">
        <v>40550</v>
      </c>
      <c r="B3839">
        <v>7.05</v>
      </c>
      <c r="C3839" s="2">
        <f t="shared" si="59"/>
        <v>-2.8328630843042013E-3</v>
      </c>
    </row>
    <row r="3840" spans="1:3" x14ac:dyDescent="0.2">
      <c r="A3840" s="1">
        <v>40549</v>
      </c>
      <c r="B3840">
        <v>7.07</v>
      </c>
      <c r="C3840" s="2">
        <f t="shared" si="59"/>
        <v>9.950330853168092E-3</v>
      </c>
    </row>
    <row r="3841" spans="1:3" x14ac:dyDescent="0.2">
      <c r="A3841" s="1">
        <v>40548</v>
      </c>
      <c r="B3841">
        <v>7</v>
      </c>
      <c r="C3841" s="2">
        <f t="shared" si="59"/>
        <v>-7.8264362494639608E-3</v>
      </c>
    </row>
    <row r="3842" spans="1:3" x14ac:dyDescent="0.2">
      <c r="A3842" s="1">
        <v>40547</v>
      </c>
      <c r="B3842">
        <v>7.0549999999999997</v>
      </c>
      <c r="C3842" s="2">
        <f t="shared" si="59"/>
        <v>-4.9487552392587968E-3</v>
      </c>
    </row>
    <row r="3843" spans="1:3" x14ac:dyDescent="0.2">
      <c r="A3843" s="1">
        <v>40546</v>
      </c>
      <c r="B3843">
        <v>7.09</v>
      </c>
      <c r="C3843" s="2">
        <f t="shared" ref="C3843:C3906" si="60">+LN(B3843/B3844)</f>
        <v>4.9487552392588272E-3</v>
      </c>
    </row>
    <row r="3844" spans="1:3" x14ac:dyDescent="0.2">
      <c r="A3844" s="1">
        <v>40542</v>
      </c>
      <c r="B3844">
        <v>7.0549999999999997</v>
      </c>
      <c r="C3844" s="2">
        <f t="shared" si="60"/>
        <v>-6.3581987424924024E-3</v>
      </c>
    </row>
    <row r="3845" spans="1:3" x14ac:dyDescent="0.2">
      <c r="A3845" s="1">
        <v>40541</v>
      </c>
      <c r="B3845">
        <v>7.1</v>
      </c>
      <c r="C3845" s="2">
        <f t="shared" si="60"/>
        <v>-4.917466881529998E-3</v>
      </c>
    </row>
    <row r="3846" spans="1:3" x14ac:dyDescent="0.2">
      <c r="A3846" s="1">
        <v>40540</v>
      </c>
      <c r="B3846">
        <v>7.1349999999999998</v>
      </c>
      <c r="C3846" s="2">
        <f t="shared" si="60"/>
        <v>6.3269103847634883E-3</v>
      </c>
    </row>
    <row r="3847" spans="1:3" x14ac:dyDescent="0.2">
      <c r="A3847" s="1">
        <v>40539</v>
      </c>
      <c r="B3847">
        <v>7.09</v>
      </c>
      <c r="C3847" s="2">
        <f t="shared" si="60"/>
        <v>-2.8169032711134918E-3</v>
      </c>
    </row>
    <row r="3848" spans="1:3" x14ac:dyDescent="0.2">
      <c r="A3848" s="1">
        <v>40535</v>
      </c>
      <c r="B3848">
        <v>7.11</v>
      </c>
      <c r="C3848" s="2">
        <f t="shared" si="60"/>
        <v>1.416454276865085E-2</v>
      </c>
    </row>
    <row r="3849" spans="1:3" x14ac:dyDescent="0.2">
      <c r="A3849" s="1">
        <v>40534</v>
      </c>
      <c r="B3849">
        <v>7.01</v>
      </c>
      <c r="C3849" s="2">
        <f t="shared" si="60"/>
        <v>1.3644735929777095E-2</v>
      </c>
    </row>
    <row r="3850" spans="1:3" x14ac:dyDescent="0.2">
      <c r="A3850" s="1">
        <v>40533</v>
      </c>
      <c r="B3850">
        <v>6.915</v>
      </c>
      <c r="C3850" s="2">
        <f t="shared" si="60"/>
        <v>1.7505917513614588E-2</v>
      </c>
    </row>
    <row r="3851" spans="1:3" x14ac:dyDescent="0.2">
      <c r="A3851" s="1">
        <v>40532</v>
      </c>
      <c r="B3851">
        <v>6.7949999999999999</v>
      </c>
      <c r="C3851" s="2">
        <f t="shared" si="60"/>
        <v>1.7817843316793893E-2</v>
      </c>
    </row>
    <row r="3852" spans="1:3" x14ac:dyDescent="0.2">
      <c r="A3852" s="1">
        <v>40529</v>
      </c>
      <c r="B3852">
        <v>6.6749999999999998</v>
      </c>
      <c r="C3852" s="2">
        <f t="shared" si="60"/>
        <v>1.0542266312024446E-2</v>
      </c>
    </row>
    <row r="3853" spans="1:3" x14ac:dyDescent="0.2">
      <c r="A3853" s="1">
        <v>40528</v>
      </c>
      <c r="B3853">
        <v>6.6050000000000004</v>
      </c>
      <c r="C3853" s="2">
        <f t="shared" si="60"/>
        <v>-3.7778662234823736E-3</v>
      </c>
    </row>
    <row r="3854" spans="1:3" x14ac:dyDescent="0.2">
      <c r="A3854" s="1">
        <v>40527</v>
      </c>
      <c r="B3854">
        <v>6.63</v>
      </c>
      <c r="C3854" s="2">
        <f t="shared" si="60"/>
        <v>2.2650066308520615E-3</v>
      </c>
    </row>
    <row r="3855" spans="1:3" x14ac:dyDescent="0.2">
      <c r="A3855" s="1">
        <v>40526</v>
      </c>
      <c r="B3855">
        <v>6.6150000000000002</v>
      </c>
      <c r="C3855" s="2">
        <f t="shared" si="60"/>
        <v>-4.5248945982895774E-3</v>
      </c>
    </row>
    <row r="3856" spans="1:3" x14ac:dyDescent="0.2">
      <c r="A3856" s="1">
        <v>40525</v>
      </c>
      <c r="B3856">
        <v>6.6449999999999996</v>
      </c>
      <c r="C3856" s="2">
        <f t="shared" si="60"/>
        <v>3.7693222162916958E-3</v>
      </c>
    </row>
    <row r="3857" spans="1:3" x14ac:dyDescent="0.2">
      <c r="A3857" s="1">
        <v>40522</v>
      </c>
      <c r="B3857">
        <v>6.62</v>
      </c>
      <c r="C3857" s="2">
        <f t="shared" si="60"/>
        <v>6.0606246116909545E-3</v>
      </c>
    </row>
    <row r="3858" spans="1:3" x14ac:dyDescent="0.2">
      <c r="A3858" s="1">
        <v>40521</v>
      </c>
      <c r="B3858">
        <v>6.58</v>
      </c>
      <c r="C3858" s="2">
        <f t="shared" si="60"/>
        <v>-1.0582109330536972E-2</v>
      </c>
    </row>
    <row r="3859" spans="1:3" x14ac:dyDescent="0.2">
      <c r="A3859" s="1">
        <v>40520</v>
      </c>
      <c r="B3859">
        <v>6.65</v>
      </c>
      <c r="C3859" s="2">
        <f t="shared" si="60"/>
        <v>2.6668247082161489E-2</v>
      </c>
    </row>
    <row r="3860" spans="1:3" x14ac:dyDescent="0.2">
      <c r="A3860" s="1">
        <v>40519</v>
      </c>
      <c r="B3860">
        <v>6.4749999999999996</v>
      </c>
      <c r="C3860" s="2">
        <f t="shared" si="60"/>
        <v>-3.4904909148040439E-2</v>
      </c>
    </row>
    <row r="3861" spans="1:3" x14ac:dyDescent="0.2">
      <c r="A3861" s="1">
        <v>40518</v>
      </c>
      <c r="B3861">
        <v>6.7050000000000001</v>
      </c>
      <c r="C3861" s="2">
        <f t="shared" si="60"/>
        <v>-3.5888142843058968E-2</v>
      </c>
    </row>
    <row r="3862" spans="1:3" x14ac:dyDescent="0.2">
      <c r="A3862" s="1">
        <v>40515</v>
      </c>
      <c r="B3862">
        <v>6.95</v>
      </c>
      <c r="C3862" s="2">
        <f t="shared" si="60"/>
        <v>7.1968337039364299E-4</v>
      </c>
    </row>
    <row r="3863" spans="1:3" x14ac:dyDescent="0.2">
      <c r="A3863" s="1">
        <v>40514</v>
      </c>
      <c r="B3863">
        <v>6.9450000000000003</v>
      </c>
      <c r="C3863" s="2">
        <f t="shared" si="60"/>
        <v>1.4503517465895031E-2</v>
      </c>
    </row>
    <row r="3864" spans="1:3" x14ac:dyDescent="0.2">
      <c r="A3864" s="1">
        <v>40513</v>
      </c>
      <c r="B3864">
        <v>6.8449999999999998</v>
      </c>
      <c r="C3864" s="2">
        <f t="shared" si="60"/>
        <v>3.1159790956241277E-2</v>
      </c>
    </row>
    <row r="3865" spans="1:3" x14ac:dyDescent="0.2">
      <c r="A3865" s="1">
        <v>40512</v>
      </c>
      <c r="B3865">
        <v>6.6349999999999998</v>
      </c>
      <c r="C3865" s="2">
        <f t="shared" si="60"/>
        <v>-1.6442821875548432E-2</v>
      </c>
    </row>
    <row r="3866" spans="1:3" x14ac:dyDescent="0.2">
      <c r="A3866" s="1">
        <v>40511</v>
      </c>
      <c r="B3866">
        <v>6.7450000000000001</v>
      </c>
      <c r="C3866" s="2">
        <f t="shared" si="60"/>
        <v>-2.19950215855459E-2</v>
      </c>
    </row>
    <row r="3867" spans="1:3" x14ac:dyDescent="0.2">
      <c r="A3867" s="1">
        <v>40508</v>
      </c>
      <c r="B3867">
        <v>6.8949999999999996</v>
      </c>
      <c r="C3867" s="2">
        <f t="shared" si="60"/>
        <v>-1.2252405529016115E-2</v>
      </c>
    </row>
    <row r="3868" spans="1:3" x14ac:dyDescent="0.2">
      <c r="A3868" s="1">
        <v>40507</v>
      </c>
      <c r="B3868">
        <v>6.98</v>
      </c>
      <c r="C3868" s="2">
        <f t="shared" si="60"/>
        <v>1.7341475036487173E-2</v>
      </c>
    </row>
    <row r="3869" spans="1:3" x14ac:dyDescent="0.2">
      <c r="A3869" s="1">
        <v>40506</v>
      </c>
      <c r="B3869">
        <v>6.86</v>
      </c>
      <c r="C3869" s="2">
        <f t="shared" si="60"/>
        <v>-1.4472032608534319E-2</v>
      </c>
    </row>
    <row r="3870" spans="1:3" x14ac:dyDescent="0.2">
      <c r="A3870" s="1">
        <v>40505</v>
      </c>
      <c r="B3870">
        <v>6.96</v>
      </c>
      <c r="C3870" s="2">
        <f t="shared" si="60"/>
        <v>-1.2138671004315239E-2</v>
      </c>
    </row>
    <row r="3871" spans="1:3" x14ac:dyDescent="0.2">
      <c r="A3871" s="1">
        <v>40504</v>
      </c>
      <c r="B3871">
        <v>7.0449999999999999</v>
      </c>
      <c r="C3871" s="2">
        <f t="shared" si="60"/>
        <v>0</v>
      </c>
    </row>
    <row r="3872" spans="1:3" x14ac:dyDescent="0.2">
      <c r="A3872" s="1">
        <v>40501</v>
      </c>
      <c r="B3872">
        <v>7.0449999999999999</v>
      </c>
      <c r="C3872" s="2">
        <f t="shared" si="60"/>
        <v>2.8429301308340238E-3</v>
      </c>
    </row>
    <row r="3873" spans="1:3" x14ac:dyDescent="0.2">
      <c r="A3873" s="1">
        <v>40500</v>
      </c>
      <c r="B3873">
        <v>7.0250000000000004</v>
      </c>
      <c r="C3873" s="2">
        <f t="shared" si="60"/>
        <v>6.4262984455284002E-3</v>
      </c>
    </row>
    <row r="3874" spans="1:3" x14ac:dyDescent="0.2">
      <c r="A3874" s="1">
        <v>40499</v>
      </c>
      <c r="B3874">
        <v>6.98</v>
      </c>
      <c r="C3874" s="2">
        <f t="shared" si="60"/>
        <v>1.2252405529016085E-2</v>
      </c>
    </row>
    <row r="3875" spans="1:3" x14ac:dyDescent="0.2">
      <c r="A3875" s="1">
        <v>40498</v>
      </c>
      <c r="B3875">
        <v>6.8949999999999996</v>
      </c>
      <c r="C3875" s="2">
        <f t="shared" si="60"/>
        <v>-1.5113637810048184E-2</v>
      </c>
    </row>
    <row r="3876" spans="1:3" x14ac:dyDescent="0.2">
      <c r="A3876" s="1">
        <v>40497</v>
      </c>
      <c r="B3876">
        <v>7</v>
      </c>
      <c r="C3876" s="2">
        <f t="shared" si="60"/>
        <v>-1.3480161556692681E-2</v>
      </c>
    </row>
    <row r="3877" spans="1:3" x14ac:dyDescent="0.2">
      <c r="A3877" s="1">
        <v>40494</v>
      </c>
      <c r="B3877">
        <v>7.0949999999999998</v>
      </c>
      <c r="C3877" s="2">
        <f t="shared" si="60"/>
        <v>-1.4690715410003706E-2</v>
      </c>
    </row>
    <row r="3878" spans="1:3" x14ac:dyDescent="0.2">
      <c r="A3878" s="1">
        <v>40493</v>
      </c>
      <c r="B3878">
        <v>7.2</v>
      </c>
      <c r="C3878" s="2">
        <f t="shared" si="60"/>
        <v>0</v>
      </c>
    </row>
    <row r="3879" spans="1:3" x14ac:dyDescent="0.2">
      <c r="A3879" s="1">
        <v>40492</v>
      </c>
      <c r="B3879">
        <v>7.2</v>
      </c>
      <c r="C3879" s="2">
        <f t="shared" si="60"/>
        <v>1.2578782206860185E-2</v>
      </c>
    </row>
    <row r="3880" spans="1:3" x14ac:dyDescent="0.2">
      <c r="A3880" s="1">
        <v>40491</v>
      </c>
      <c r="B3880">
        <v>7.11</v>
      </c>
      <c r="C3880" s="2">
        <f t="shared" si="60"/>
        <v>-2.8089906110550038E-3</v>
      </c>
    </row>
    <row r="3881" spans="1:3" x14ac:dyDescent="0.2">
      <c r="A3881" s="1">
        <v>40490</v>
      </c>
      <c r="B3881">
        <v>7.13</v>
      </c>
      <c r="C3881" s="2">
        <f t="shared" si="60"/>
        <v>-7.6842851047836556E-3</v>
      </c>
    </row>
    <row r="3882" spans="1:3" x14ac:dyDescent="0.2">
      <c r="A3882" s="1">
        <v>40487</v>
      </c>
      <c r="B3882">
        <v>7.1849999999999996</v>
      </c>
      <c r="C3882" s="2">
        <f t="shared" si="60"/>
        <v>6.9613647085542407E-4</v>
      </c>
    </row>
    <row r="3883" spans="1:3" x14ac:dyDescent="0.2">
      <c r="A3883" s="1">
        <v>40486</v>
      </c>
      <c r="B3883">
        <v>7.18</v>
      </c>
      <c r="C3883" s="2">
        <f t="shared" si="60"/>
        <v>-1.6574965094212676E-2</v>
      </c>
    </row>
    <row r="3884" spans="1:3" x14ac:dyDescent="0.2">
      <c r="A3884" s="1">
        <v>40485</v>
      </c>
      <c r="B3884">
        <v>7.3</v>
      </c>
      <c r="C3884" s="2">
        <f t="shared" si="60"/>
        <v>3.4305350967892222E-3</v>
      </c>
    </row>
    <row r="3885" spans="1:3" x14ac:dyDescent="0.2">
      <c r="A3885" s="1">
        <v>40484</v>
      </c>
      <c r="B3885">
        <v>7.2750000000000004</v>
      </c>
      <c r="C3885" s="2">
        <f t="shared" si="60"/>
        <v>1.5235751777421079E-2</v>
      </c>
    </row>
    <row r="3886" spans="1:3" x14ac:dyDescent="0.2">
      <c r="A3886" s="1">
        <v>40483</v>
      </c>
      <c r="B3886">
        <v>7.165</v>
      </c>
      <c r="C3886" s="2">
        <f t="shared" si="60"/>
        <v>1.2640617750833808E-2</v>
      </c>
    </row>
    <row r="3887" spans="1:3" x14ac:dyDescent="0.2">
      <c r="A3887" s="1">
        <v>40480</v>
      </c>
      <c r="B3887">
        <v>7.0750000000000002</v>
      </c>
      <c r="C3887" s="2">
        <f t="shared" si="60"/>
        <v>1.280245082037618E-2</v>
      </c>
    </row>
    <row r="3888" spans="1:3" x14ac:dyDescent="0.2">
      <c r="A3888" s="1">
        <v>40479</v>
      </c>
      <c r="B3888">
        <v>6.9850000000000003</v>
      </c>
      <c r="C3888" s="2">
        <f t="shared" si="60"/>
        <v>1.4419860528306945E-2</v>
      </c>
    </row>
    <row r="3889" spans="1:3" x14ac:dyDescent="0.2">
      <c r="A3889" s="1">
        <v>40478</v>
      </c>
      <c r="B3889">
        <v>6.8849999999999998</v>
      </c>
      <c r="C3889" s="2">
        <f t="shared" si="60"/>
        <v>1.6105765414853573E-2</v>
      </c>
    </row>
    <row r="3890" spans="1:3" x14ac:dyDescent="0.2">
      <c r="A3890" s="1">
        <v>40477</v>
      </c>
      <c r="B3890">
        <v>6.7750000000000004</v>
      </c>
      <c r="C3890" s="2">
        <f t="shared" si="60"/>
        <v>-5.8866983827313441E-3</v>
      </c>
    </row>
    <row r="3891" spans="1:3" x14ac:dyDescent="0.2">
      <c r="A3891" s="1">
        <v>40476</v>
      </c>
      <c r="B3891">
        <v>6.8150000000000004</v>
      </c>
      <c r="C3891" s="2">
        <f t="shared" si="60"/>
        <v>-1.0219067032122145E-2</v>
      </c>
    </row>
    <row r="3892" spans="1:3" x14ac:dyDescent="0.2">
      <c r="A3892" s="1">
        <v>40473</v>
      </c>
      <c r="B3892">
        <v>6.8849999999999998</v>
      </c>
      <c r="C3892" s="2">
        <f t="shared" si="60"/>
        <v>5.09647990648434E-3</v>
      </c>
    </row>
    <row r="3893" spans="1:3" x14ac:dyDescent="0.2">
      <c r="A3893" s="1">
        <v>40472</v>
      </c>
      <c r="B3893">
        <v>6.85</v>
      </c>
      <c r="C3893" s="2">
        <f t="shared" si="60"/>
        <v>4.3891804187631868E-3</v>
      </c>
    </row>
    <row r="3894" spans="1:3" x14ac:dyDescent="0.2">
      <c r="A3894" s="1">
        <v>40471</v>
      </c>
      <c r="B3894">
        <v>6.82</v>
      </c>
      <c r="C3894" s="2">
        <f t="shared" si="60"/>
        <v>6.6201050896060451E-3</v>
      </c>
    </row>
    <row r="3895" spans="1:3" x14ac:dyDescent="0.2">
      <c r="A3895" s="1">
        <v>40470</v>
      </c>
      <c r="B3895">
        <v>6.7750000000000004</v>
      </c>
      <c r="C3895" s="2">
        <f t="shared" si="60"/>
        <v>5.1794418415488609E-3</v>
      </c>
    </row>
    <row r="3896" spans="1:3" x14ac:dyDescent="0.2">
      <c r="A3896" s="1">
        <v>40469</v>
      </c>
      <c r="B3896">
        <v>6.74</v>
      </c>
      <c r="C3896" s="2">
        <f t="shared" si="60"/>
        <v>1.4847812675792241E-3</v>
      </c>
    </row>
    <row r="3897" spans="1:3" x14ac:dyDescent="0.2">
      <c r="A3897" s="1">
        <v>40466</v>
      </c>
      <c r="B3897">
        <v>6.73</v>
      </c>
      <c r="C3897" s="2">
        <f t="shared" si="60"/>
        <v>-2.2043508288615784E-2</v>
      </c>
    </row>
    <row r="3898" spans="1:3" x14ac:dyDescent="0.2">
      <c r="A3898" s="1">
        <v>40465</v>
      </c>
      <c r="B3898">
        <v>6.88</v>
      </c>
      <c r="C3898" s="2">
        <f t="shared" si="60"/>
        <v>8.7591800898815537E-3</v>
      </c>
    </row>
    <row r="3899" spans="1:3" x14ac:dyDescent="0.2">
      <c r="A3899" s="1">
        <v>40464</v>
      </c>
      <c r="B3899">
        <v>6.82</v>
      </c>
      <c r="C3899" s="2">
        <f t="shared" si="60"/>
        <v>5.145178568538215E-3</v>
      </c>
    </row>
    <row r="3900" spans="1:3" x14ac:dyDescent="0.2">
      <c r="A3900" s="1">
        <v>40463</v>
      </c>
      <c r="B3900">
        <v>6.7850000000000001</v>
      </c>
      <c r="C3900" s="2">
        <f t="shared" si="60"/>
        <v>2.2132063626488828E-3</v>
      </c>
    </row>
    <row r="3901" spans="1:3" x14ac:dyDescent="0.2">
      <c r="A3901" s="1">
        <v>40462</v>
      </c>
      <c r="B3901">
        <v>6.77</v>
      </c>
      <c r="C3901" s="2">
        <f t="shared" si="60"/>
        <v>1.6381602371885764E-2</v>
      </c>
    </row>
    <row r="3902" spans="1:3" x14ac:dyDescent="0.2">
      <c r="A3902" s="1">
        <v>40459</v>
      </c>
      <c r="B3902">
        <v>6.66</v>
      </c>
      <c r="C3902" s="2">
        <f t="shared" si="60"/>
        <v>-1.3423020332140661E-2</v>
      </c>
    </row>
    <row r="3903" spans="1:3" x14ac:dyDescent="0.2">
      <c r="A3903" s="1">
        <v>40458</v>
      </c>
      <c r="B3903">
        <v>6.75</v>
      </c>
      <c r="C3903" s="2">
        <f t="shared" si="60"/>
        <v>1.4925650216675574E-2</v>
      </c>
    </row>
    <row r="3904" spans="1:3" x14ac:dyDescent="0.2">
      <c r="A3904" s="1">
        <v>40457</v>
      </c>
      <c r="B3904">
        <v>6.65</v>
      </c>
      <c r="C3904" s="2">
        <f t="shared" si="60"/>
        <v>1.0582109330537008E-2</v>
      </c>
    </row>
    <row r="3905" spans="1:3" x14ac:dyDescent="0.2">
      <c r="A3905" s="1">
        <v>40456</v>
      </c>
      <c r="B3905">
        <v>6.58</v>
      </c>
      <c r="C3905" s="2">
        <f t="shared" si="60"/>
        <v>7.6278020488860674E-3</v>
      </c>
    </row>
    <row r="3906" spans="1:3" x14ac:dyDescent="0.2">
      <c r="A3906" s="1">
        <v>40455</v>
      </c>
      <c r="B3906">
        <v>6.53</v>
      </c>
      <c r="C3906" s="2">
        <f t="shared" si="60"/>
        <v>-1.5302221807675935E-3</v>
      </c>
    </row>
    <row r="3907" spans="1:3" x14ac:dyDescent="0.2">
      <c r="A3907" s="1">
        <v>40452</v>
      </c>
      <c r="B3907">
        <v>6.54</v>
      </c>
      <c r="C3907" s="2">
        <f t="shared" ref="C3907:C3970" si="61">+LN(B3907/B3908)</f>
        <v>-4.5766670274118666E-3</v>
      </c>
    </row>
    <row r="3908" spans="1:3" x14ac:dyDescent="0.2">
      <c r="A3908" s="1">
        <v>40451</v>
      </c>
      <c r="B3908">
        <v>6.57</v>
      </c>
      <c r="C3908" s="2">
        <f t="shared" si="61"/>
        <v>-3.7979536727587473E-3</v>
      </c>
    </row>
    <row r="3909" spans="1:3" x14ac:dyDescent="0.2">
      <c r="A3909" s="1">
        <v>40450</v>
      </c>
      <c r="B3909">
        <v>6.5949999999999998</v>
      </c>
      <c r="C3909" s="2">
        <f t="shared" si="61"/>
        <v>2.2770408320519288E-3</v>
      </c>
    </row>
    <row r="3910" spans="1:3" x14ac:dyDescent="0.2">
      <c r="A3910" s="1">
        <v>40449</v>
      </c>
      <c r="B3910">
        <v>6.58</v>
      </c>
      <c r="C3910" s="2">
        <f t="shared" si="61"/>
        <v>-1.5186031771900162E-3</v>
      </c>
    </row>
    <row r="3911" spans="1:3" x14ac:dyDescent="0.2">
      <c r="A3911" s="1">
        <v>40448</v>
      </c>
      <c r="B3911">
        <v>6.59</v>
      </c>
      <c r="C3911" s="2">
        <f t="shared" si="61"/>
        <v>1.2213892293937998E-2</v>
      </c>
    </row>
    <row r="3912" spans="1:3" x14ac:dyDescent="0.2">
      <c r="A3912" s="1">
        <v>40445</v>
      </c>
      <c r="B3912">
        <v>6.51</v>
      </c>
      <c r="C3912" s="2">
        <f t="shared" si="61"/>
        <v>1.0810916104215456E-2</v>
      </c>
    </row>
    <row r="3913" spans="1:3" x14ac:dyDescent="0.2">
      <c r="A3913" s="1">
        <v>40444</v>
      </c>
      <c r="B3913">
        <v>6.44</v>
      </c>
      <c r="C3913" s="2">
        <f t="shared" si="61"/>
        <v>2.3319093349787427E-3</v>
      </c>
    </row>
    <row r="3914" spans="1:3" x14ac:dyDescent="0.2">
      <c r="A3914" s="1">
        <v>40443</v>
      </c>
      <c r="B3914">
        <v>6.4249999999999998</v>
      </c>
      <c r="C3914" s="2">
        <f t="shared" si="61"/>
        <v>4.6801957504774986E-3</v>
      </c>
    </row>
    <row r="3915" spans="1:3" x14ac:dyDescent="0.2">
      <c r="A3915" s="1">
        <v>40442</v>
      </c>
      <c r="B3915">
        <v>6.3949999999999996</v>
      </c>
      <c r="C3915" s="2">
        <f t="shared" si="61"/>
        <v>-3.9016826710638777E-3</v>
      </c>
    </row>
    <row r="3916" spans="1:3" x14ac:dyDescent="0.2">
      <c r="A3916" s="1">
        <v>40441</v>
      </c>
      <c r="B3916">
        <v>6.42</v>
      </c>
      <c r="C3916" s="2">
        <f t="shared" si="61"/>
        <v>1.175101653551895E-2</v>
      </c>
    </row>
    <row r="3917" spans="1:3" x14ac:dyDescent="0.2">
      <c r="A3917" s="1">
        <v>40438</v>
      </c>
      <c r="B3917">
        <v>6.3449999999999998</v>
      </c>
      <c r="C3917" s="2">
        <f t="shared" si="61"/>
        <v>-9.4118341823467063E-3</v>
      </c>
    </row>
    <row r="3918" spans="1:3" x14ac:dyDescent="0.2">
      <c r="A3918" s="1">
        <v>40437</v>
      </c>
      <c r="B3918">
        <v>6.4050000000000002</v>
      </c>
      <c r="C3918" s="2">
        <f t="shared" si="61"/>
        <v>7.8094498307135099E-4</v>
      </c>
    </row>
    <row r="3919" spans="1:3" x14ac:dyDescent="0.2">
      <c r="A3919" s="1">
        <v>40436</v>
      </c>
      <c r="B3919">
        <v>6.4</v>
      </c>
      <c r="C3919" s="2">
        <f t="shared" si="61"/>
        <v>3.1298930089277868E-3</v>
      </c>
    </row>
    <row r="3920" spans="1:3" x14ac:dyDescent="0.2">
      <c r="A3920" s="1">
        <v>40435</v>
      </c>
      <c r="B3920">
        <v>6.38</v>
      </c>
      <c r="C3920" s="2">
        <f t="shared" si="61"/>
        <v>1.0240341554244041E-2</v>
      </c>
    </row>
    <row r="3921" spans="1:3" x14ac:dyDescent="0.2">
      <c r="A3921" s="1">
        <v>40434</v>
      </c>
      <c r="B3921">
        <v>6.3150000000000004</v>
      </c>
      <c r="C3921" s="2">
        <f t="shared" si="61"/>
        <v>3.9666850901053383E-3</v>
      </c>
    </row>
    <row r="3922" spans="1:3" x14ac:dyDescent="0.2">
      <c r="A3922" s="1">
        <v>40431</v>
      </c>
      <c r="B3922">
        <v>6.29</v>
      </c>
      <c r="C3922" s="2">
        <f t="shared" si="61"/>
        <v>-2.3818987045337156E-3</v>
      </c>
    </row>
    <row r="3923" spans="1:3" x14ac:dyDescent="0.2">
      <c r="A3923" s="1">
        <v>40430</v>
      </c>
      <c r="B3923">
        <v>6.3049999999999997</v>
      </c>
      <c r="C3923" s="2">
        <f t="shared" si="61"/>
        <v>4.7694843990352051E-3</v>
      </c>
    </row>
    <row r="3924" spans="1:3" x14ac:dyDescent="0.2">
      <c r="A3924" s="1">
        <v>40429</v>
      </c>
      <c r="B3924">
        <v>6.2750000000000004</v>
      </c>
      <c r="C3924" s="2">
        <f t="shared" si="61"/>
        <v>-7.1457231409185092E-3</v>
      </c>
    </row>
    <row r="3925" spans="1:3" x14ac:dyDescent="0.2">
      <c r="A3925" s="1">
        <v>40428</v>
      </c>
      <c r="B3925">
        <v>6.32</v>
      </c>
      <c r="C3925" s="2">
        <f t="shared" si="61"/>
        <v>7.1457231409185525E-3</v>
      </c>
    </row>
    <row r="3926" spans="1:3" x14ac:dyDescent="0.2">
      <c r="A3926" s="1">
        <v>40427</v>
      </c>
      <c r="B3926">
        <v>6.2750000000000004</v>
      </c>
      <c r="C3926" s="2">
        <f t="shared" si="61"/>
        <v>-1.5923570243630836E-3</v>
      </c>
    </row>
    <row r="3927" spans="1:3" x14ac:dyDescent="0.2">
      <c r="A3927" s="1">
        <v>40424</v>
      </c>
      <c r="B3927">
        <v>6.2850000000000001</v>
      </c>
      <c r="C3927" s="2">
        <f t="shared" si="61"/>
        <v>7.9586156210335337E-4</v>
      </c>
    </row>
    <row r="3928" spans="1:3" x14ac:dyDescent="0.2">
      <c r="A3928" s="1">
        <v>40423</v>
      </c>
      <c r="B3928">
        <v>6.28</v>
      </c>
      <c r="C3928" s="2">
        <f t="shared" si="61"/>
        <v>-2.20481372217625E-2</v>
      </c>
    </row>
    <row r="3929" spans="1:3" x14ac:dyDescent="0.2">
      <c r="A3929" s="1">
        <v>40422</v>
      </c>
      <c r="B3929">
        <v>6.42</v>
      </c>
      <c r="C3929" s="2">
        <f t="shared" si="61"/>
        <v>3.4062699045299197E-2</v>
      </c>
    </row>
    <row r="3930" spans="1:3" x14ac:dyDescent="0.2">
      <c r="A3930" s="1">
        <v>40421</v>
      </c>
      <c r="B3930">
        <v>6.2050000000000001</v>
      </c>
      <c r="C3930" s="2">
        <f t="shared" si="61"/>
        <v>-8.8247664554365456E-3</v>
      </c>
    </row>
    <row r="3931" spans="1:3" x14ac:dyDescent="0.2">
      <c r="A3931" s="1">
        <v>40420</v>
      </c>
      <c r="B3931">
        <v>6.26</v>
      </c>
      <c r="C3931" s="2">
        <f t="shared" si="61"/>
        <v>2.2618088587772364E-2</v>
      </c>
    </row>
    <row r="3932" spans="1:3" x14ac:dyDescent="0.2">
      <c r="A3932" s="1">
        <v>40417</v>
      </c>
      <c r="B3932">
        <v>6.12</v>
      </c>
      <c r="C3932" s="2">
        <f t="shared" si="61"/>
        <v>9.8522964430116395E-3</v>
      </c>
    </row>
    <row r="3933" spans="1:3" x14ac:dyDescent="0.2">
      <c r="A3933" s="1">
        <v>40416</v>
      </c>
      <c r="B3933">
        <v>6.06</v>
      </c>
      <c r="C3933" s="2">
        <f t="shared" si="61"/>
        <v>-1.7178336535084628E-2</v>
      </c>
    </row>
    <row r="3934" spans="1:3" x14ac:dyDescent="0.2">
      <c r="A3934" s="1">
        <v>40415</v>
      </c>
      <c r="B3934">
        <v>6.165</v>
      </c>
      <c r="C3934" s="2">
        <f t="shared" si="61"/>
        <v>7.3260400920728812E-3</v>
      </c>
    </row>
    <row r="3935" spans="1:3" x14ac:dyDescent="0.2">
      <c r="A3935" s="1">
        <v>40414</v>
      </c>
      <c r="B3935">
        <v>6.12</v>
      </c>
      <c r="C3935" s="2">
        <f t="shared" si="61"/>
        <v>4.9140148024291626E-3</v>
      </c>
    </row>
    <row r="3936" spans="1:3" x14ac:dyDescent="0.2">
      <c r="A3936" s="1">
        <v>40413</v>
      </c>
      <c r="B3936">
        <v>6.09</v>
      </c>
      <c r="C3936" s="2">
        <f t="shared" si="61"/>
        <v>1.2391732295163457E-2</v>
      </c>
    </row>
    <row r="3937" spans="1:3" x14ac:dyDescent="0.2">
      <c r="A3937" s="1">
        <v>40410</v>
      </c>
      <c r="B3937">
        <v>6.0149999999999997</v>
      </c>
      <c r="C3937" s="2">
        <f t="shared" si="61"/>
        <v>-8.2781929693713941E-3</v>
      </c>
    </row>
    <row r="3938" spans="1:3" x14ac:dyDescent="0.2">
      <c r="A3938" s="1">
        <v>40409</v>
      </c>
      <c r="B3938">
        <v>6.0650000000000004</v>
      </c>
      <c r="C3938" s="2">
        <f t="shared" si="61"/>
        <v>1.9143322838474995E-2</v>
      </c>
    </row>
    <row r="3939" spans="1:3" x14ac:dyDescent="0.2">
      <c r="A3939" s="1">
        <v>40408</v>
      </c>
      <c r="B3939">
        <v>5.95</v>
      </c>
      <c r="C3939" s="2">
        <f t="shared" si="61"/>
        <v>-3.3557078469723042E-3</v>
      </c>
    </row>
    <row r="3940" spans="1:3" x14ac:dyDescent="0.2">
      <c r="A3940" s="1">
        <v>40407</v>
      </c>
      <c r="B3940">
        <v>5.97</v>
      </c>
      <c r="C3940" s="2">
        <f t="shared" si="61"/>
        <v>1.6040867374287931E-2</v>
      </c>
    </row>
    <row r="3941" spans="1:3" x14ac:dyDescent="0.2">
      <c r="A3941" s="1">
        <v>40406</v>
      </c>
      <c r="B3941">
        <v>5.875</v>
      </c>
      <c r="C3941" s="2">
        <f t="shared" si="61"/>
        <v>-8.5070188031292253E-4</v>
      </c>
    </row>
    <row r="3942" spans="1:3" x14ac:dyDescent="0.2">
      <c r="A3942" s="1">
        <v>40403</v>
      </c>
      <c r="B3942">
        <v>5.88</v>
      </c>
      <c r="C3942" s="2">
        <f t="shared" si="61"/>
        <v>5.1151006667704089E-3</v>
      </c>
    </row>
    <row r="3943" spans="1:3" x14ac:dyDescent="0.2">
      <c r="A3943" s="1">
        <v>40402</v>
      </c>
      <c r="B3943">
        <v>5.85</v>
      </c>
      <c r="C3943" s="2">
        <f t="shared" si="61"/>
        <v>2.0726130517116734E-2</v>
      </c>
    </row>
    <row r="3944" spans="1:3" x14ac:dyDescent="0.2">
      <c r="A3944" s="1">
        <v>40401</v>
      </c>
      <c r="B3944">
        <v>5.73</v>
      </c>
      <c r="C3944" s="2">
        <f t="shared" si="61"/>
        <v>-6.9565497933598269E-3</v>
      </c>
    </row>
    <row r="3945" spans="1:3" x14ac:dyDescent="0.2">
      <c r="A3945" s="1">
        <v>40400</v>
      </c>
      <c r="B3945">
        <v>5.77</v>
      </c>
      <c r="C3945" s="2">
        <f t="shared" si="61"/>
        <v>-3.4602110648957311E-3</v>
      </c>
    </row>
    <row r="3946" spans="1:3" x14ac:dyDescent="0.2">
      <c r="A3946" s="1">
        <v>40399</v>
      </c>
      <c r="B3946">
        <v>5.79</v>
      </c>
      <c r="C3946" s="2">
        <f t="shared" si="61"/>
        <v>8.6730812534288639E-3</v>
      </c>
    </row>
    <row r="3947" spans="1:3" x14ac:dyDescent="0.2">
      <c r="A3947" s="1">
        <v>40396</v>
      </c>
      <c r="B3947">
        <v>5.74</v>
      </c>
      <c r="C3947" s="2">
        <f t="shared" si="61"/>
        <v>-1.0398707220898511E-2</v>
      </c>
    </row>
    <row r="3948" spans="1:3" x14ac:dyDescent="0.2">
      <c r="A3948" s="1">
        <v>40395</v>
      </c>
      <c r="B3948">
        <v>5.8</v>
      </c>
      <c r="C3948" s="2">
        <f t="shared" si="61"/>
        <v>-1.7094433359300183E-2</v>
      </c>
    </row>
    <row r="3949" spans="1:3" x14ac:dyDescent="0.2">
      <c r="A3949" s="1">
        <v>40394</v>
      </c>
      <c r="B3949">
        <v>5.9</v>
      </c>
      <c r="C3949" s="2">
        <f t="shared" si="61"/>
        <v>1.6963532481785555E-3</v>
      </c>
    </row>
    <row r="3950" spans="1:3" x14ac:dyDescent="0.2">
      <c r="A3950" s="1">
        <v>40393</v>
      </c>
      <c r="B3950">
        <v>5.89</v>
      </c>
      <c r="C3950" s="2">
        <f t="shared" si="61"/>
        <v>9.3817319249760861E-3</v>
      </c>
    </row>
    <row r="3951" spans="1:3" x14ac:dyDescent="0.2">
      <c r="A3951" s="1">
        <v>40392</v>
      </c>
      <c r="B3951">
        <v>5.835</v>
      </c>
      <c r="C3951" s="2">
        <f t="shared" si="61"/>
        <v>1.2936791030719362E-2</v>
      </c>
    </row>
    <row r="3952" spans="1:3" x14ac:dyDescent="0.2">
      <c r="A3952" s="1">
        <v>40389</v>
      </c>
      <c r="B3952">
        <v>5.76</v>
      </c>
      <c r="C3952" s="2">
        <f t="shared" si="61"/>
        <v>6.0949252674965615E-3</v>
      </c>
    </row>
    <row r="3953" spans="1:3" x14ac:dyDescent="0.2">
      <c r="A3953" s="1">
        <v>40388</v>
      </c>
      <c r="B3953">
        <v>5.7249999999999996</v>
      </c>
      <c r="C3953" s="2">
        <f t="shared" si="61"/>
        <v>-2.6166608911718501E-3</v>
      </c>
    </row>
    <row r="3954" spans="1:3" x14ac:dyDescent="0.2">
      <c r="A3954" s="1">
        <v>40387</v>
      </c>
      <c r="B3954">
        <v>5.74</v>
      </c>
      <c r="C3954" s="2">
        <f t="shared" si="61"/>
        <v>8.7145975014107869E-4</v>
      </c>
    </row>
    <row r="3955" spans="1:3" x14ac:dyDescent="0.2">
      <c r="A3955" s="1">
        <v>40386</v>
      </c>
      <c r="B3955">
        <v>5.7350000000000003</v>
      </c>
      <c r="C3955" s="2">
        <f t="shared" si="61"/>
        <v>-1.7286515157185201E-2</v>
      </c>
    </row>
    <row r="3956" spans="1:3" x14ac:dyDescent="0.2">
      <c r="A3956" s="1">
        <v>40385</v>
      </c>
      <c r="B3956">
        <v>5.835</v>
      </c>
      <c r="C3956" s="2">
        <f t="shared" si="61"/>
        <v>2.5740039951728426E-3</v>
      </c>
    </row>
    <row r="3957" spans="1:3" x14ac:dyDescent="0.2">
      <c r="A3957" s="1">
        <v>40382</v>
      </c>
      <c r="B3957">
        <v>5.82</v>
      </c>
      <c r="C3957" s="2">
        <f t="shared" si="61"/>
        <v>-1.7167386190544741E-3</v>
      </c>
    </row>
    <row r="3958" spans="1:3" x14ac:dyDescent="0.2">
      <c r="A3958" s="1">
        <v>40381</v>
      </c>
      <c r="B3958">
        <v>5.83</v>
      </c>
      <c r="C3958" s="2">
        <f t="shared" si="61"/>
        <v>6.8847087774972331E-3</v>
      </c>
    </row>
    <row r="3959" spans="1:3" x14ac:dyDescent="0.2">
      <c r="A3959" s="1">
        <v>40380</v>
      </c>
      <c r="B3959">
        <v>5.79</v>
      </c>
      <c r="C3959" s="2">
        <f t="shared" si="61"/>
        <v>3.4602110648956526E-3</v>
      </c>
    </row>
    <row r="3960" spans="1:3" x14ac:dyDescent="0.2">
      <c r="A3960" s="1">
        <v>40379</v>
      </c>
      <c r="B3960">
        <v>5.77</v>
      </c>
      <c r="C3960" s="2">
        <f t="shared" si="61"/>
        <v>-2.6508606501186679E-2</v>
      </c>
    </row>
    <row r="3961" spans="1:3" x14ac:dyDescent="0.2">
      <c r="A3961" s="1">
        <v>40378</v>
      </c>
      <c r="B3961">
        <v>5.9249999999999998</v>
      </c>
      <c r="C3961" s="2">
        <f t="shared" si="61"/>
        <v>2.5348556031878941E-3</v>
      </c>
    </row>
    <row r="3962" spans="1:3" x14ac:dyDescent="0.2">
      <c r="A3962" s="1">
        <v>40375</v>
      </c>
      <c r="B3962">
        <v>5.91</v>
      </c>
      <c r="C3962" s="2">
        <f t="shared" si="61"/>
        <v>5.939771387784158E-3</v>
      </c>
    </row>
    <row r="3963" spans="1:3" x14ac:dyDescent="0.2">
      <c r="A3963" s="1">
        <v>40374</v>
      </c>
      <c r="B3963">
        <v>5.875</v>
      </c>
      <c r="C3963" s="2">
        <f t="shared" si="61"/>
        <v>-4.2462908814512078E-3</v>
      </c>
    </row>
    <row r="3964" spans="1:3" x14ac:dyDescent="0.2">
      <c r="A3964" s="1">
        <v>40373</v>
      </c>
      <c r="B3964">
        <v>5.9</v>
      </c>
      <c r="C3964" s="2">
        <f t="shared" si="61"/>
        <v>-1.0956704638205564E-2</v>
      </c>
    </row>
    <row r="3965" spans="1:3" x14ac:dyDescent="0.2">
      <c r="A3965" s="1">
        <v>40372</v>
      </c>
      <c r="B3965">
        <v>5.9649999999999999</v>
      </c>
      <c r="C3965" s="2">
        <f t="shared" si="61"/>
        <v>1.0956704638205552E-2</v>
      </c>
    </row>
    <row r="3966" spans="1:3" x14ac:dyDescent="0.2">
      <c r="A3966" s="1">
        <v>40371</v>
      </c>
      <c r="B3966">
        <v>5.9</v>
      </c>
      <c r="C3966" s="2">
        <f t="shared" si="61"/>
        <v>4.2462908814512243E-3</v>
      </c>
    </row>
    <row r="3967" spans="1:3" x14ac:dyDescent="0.2">
      <c r="A3967" s="1">
        <v>40368</v>
      </c>
      <c r="B3967">
        <v>5.875</v>
      </c>
      <c r="C3967" s="2">
        <f t="shared" si="61"/>
        <v>5.9752631900870205E-3</v>
      </c>
    </row>
    <row r="3968" spans="1:3" x14ac:dyDescent="0.2">
      <c r="A3968" s="1">
        <v>40367</v>
      </c>
      <c r="B3968">
        <v>5.84</v>
      </c>
      <c r="C3968" s="2">
        <f t="shared" si="61"/>
        <v>3.4305350967892222E-3</v>
      </c>
    </row>
    <row r="3969" spans="1:3" x14ac:dyDescent="0.2">
      <c r="A3969" s="1">
        <v>40366</v>
      </c>
      <c r="B3969">
        <v>5.82</v>
      </c>
      <c r="C3969" s="2">
        <f t="shared" si="61"/>
        <v>-8.587377084177582E-4</v>
      </c>
    </row>
    <row r="3970" spans="1:3" x14ac:dyDescent="0.2">
      <c r="A3970" s="1">
        <v>40365</v>
      </c>
      <c r="B3970">
        <v>5.8250000000000002</v>
      </c>
      <c r="C3970" s="2">
        <f t="shared" si="61"/>
        <v>2.1692824611259754E-2</v>
      </c>
    </row>
    <row r="3971" spans="1:3" x14ac:dyDescent="0.2">
      <c r="A3971" s="1">
        <v>40364</v>
      </c>
      <c r="B3971">
        <v>5.7</v>
      </c>
      <c r="C3971" s="2">
        <f t="shared" ref="C3971:C4034" si="62">+LN(B3971/B3972)</f>
        <v>2.6350476380052534E-3</v>
      </c>
    </row>
    <row r="3972" spans="1:3" x14ac:dyDescent="0.2">
      <c r="A3972" s="1">
        <v>40361</v>
      </c>
      <c r="B3972">
        <v>5.6849999999999996</v>
      </c>
      <c r="C3972" s="2">
        <f t="shared" si="62"/>
        <v>-8.7912093574035147E-4</v>
      </c>
    </row>
    <row r="3973" spans="1:3" x14ac:dyDescent="0.2">
      <c r="A3973" s="1">
        <v>40360</v>
      </c>
      <c r="B3973">
        <v>5.69</v>
      </c>
      <c r="C3973" s="2">
        <f t="shared" si="62"/>
        <v>-1.3094905582782682E-2</v>
      </c>
    </row>
    <row r="3974" spans="1:3" x14ac:dyDescent="0.2">
      <c r="A3974" s="1">
        <v>40359</v>
      </c>
      <c r="B3974">
        <v>5.7649999999999997</v>
      </c>
      <c r="C3974" s="2">
        <f t="shared" si="62"/>
        <v>2.0149608562672738E-2</v>
      </c>
    </row>
    <row r="3975" spans="1:3" x14ac:dyDescent="0.2">
      <c r="A3975" s="1">
        <v>40358</v>
      </c>
      <c r="B3975">
        <v>5.65</v>
      </c>
      <c r="C3975" s="2">
        <f t="shared" si="62"/>
        <v>-1.9281929549450169E-2</v>
      </c>
    </row>
    <row r="3976" spans="1:3" x14ac:dyDescent="0.2">
      <c r="A3976" s="1">
        <v>40357</v>
      </c>
      <c r="B3976">
        <v>5.76</v>
      </c>
      <c r="C3976" s="2">
        <f t="shared" si="62"/>
        <v>2.6075634070807695E-3</v>
      </c>
    </row>
    <row r="3977" spans="1:3" x14ac:dyDescent="0.2">
      <c r="A3977" s="1">
        <v>40354</v>
      </c>
      <c r="B3977">
        <v>5.7450000000000001</v>
      </c>
      <c r="C3977" s="2">
        <f t="shared" si="62"/>
        <v>-7.802380284184899E-3</v>
      </c>
    </row>
    <row r="3978" spans="1:3" x14ac:dyDescent="0.2">
      <c r="A3978" s="1">
        <v>40353</v>
      </c>
      <c r="B3978">
        <v>5.79</v>
      </c>
      <c r="C3978" s="2">
        <f t="shared" si="62"/>
        <v>-2.1359205845446271E-2</v>
      </c>
    </row>
    <row r="3979" spans="1:3" x14ac:dyDescent="0.2">
      <c r="A3979" s="1">
        <v>40352</v>
      </c>
      <c r="B3979">
        <v>5.915</v>
      </c>
      <c r="C3979" s="2">
        <f t="shared" si="62"/>
        <v>-8.4175581195292809E-3</v>
      </c>
    </row>
    <row r="3980" spans="1:3" x14ac:dyDescent="0.2">
      <c r="A3980" s="1">
        <v>40351</v>
      </c>
      <c r="B3980">
        <v>5.9649999999999999</v>
      </c>
      <c r="C3980" s="2">
        <f t="shared" si="62"/>
        <v>1.9467394306114241E-2</v>
      </c>
    </row>
    <row r="3981" spans="1:3" x14ac:dyDescent="0.2">
      <c r="A3981" s="1">
        <v>40350</v>
      </c>
      <c r="B3981">
        <v>5.85</v>
      </c>
      <c r="C3981" s="2">
        <f t="shared" si="62"/>
        <v>-1.4425366817866239E-2</v>
      </c>
    </row>
    <row r="3982" spans="1:3" x14ac:dyDescent="0.2">
      <c r="A3982" s="1">
        <v>40347</v>
      </c>
      <c r="B3982">
        <v>5.9349999999999996</v>
      </c>
      <c r="C3982" s="2">
        <f t="shared" si="62"/>
        <v>-8.4210531292233507E-4</v>
      </c>
    </row>
    <row r="3983" spans="1:3" x14ac:dyDescent="0.2">
      <c r="A3983" s="1">
        <v>40346</v>
      </c>
      <c r="B3983">
        <v>5.94</v>
      </c>
      <c r="C3983" s="2">
        <f t="shared" si="62"/>
        <v>-1.6694878572169992E-2</v>
      </c>
    </row>
    <row r="3984" spans="1:3" x14ac:dyDescent="0.2">
      <c r="A3984" s="1">
        <v>40345</v>
      </c>
      <c r="B3984">
        <v>6.04</v>
      </c>
      <c r="C3984" s="2">
        <f t="shared" si="62"/>
        <v>-8.274721200324241E-4</v>
      </c>
    </row>
    <row r="3985" spans="1:3" x14ac:dyDescent="0.2">
      <c r="A3985" s="1">
        <v>40344</v>
      </c>
      <c r="B3985">
        <v>6.0449999999999999</v>
      </c>
      <c r="C3985" s="2">
        <f t="shared" si="62"/>
        <v>-9.0572871125095683E-3</v>
      </c>
    </row>
    <row r="3986" spans="1:3" x14ac:dyDescent="0.2">
      <c r="A3986" s="1">
        <v>40343</v>
      </c>
      <c r="B3986">
        <v>6.1</v>
      </c>
      <c r="C3986" s="2">
        <f t="shared" si="62"/>
        <v>2.237971562938602E-2</v>
      </c>
    </row>
    <row r="3987" spans="1:3" x14ac:dyDescent="0.2">
      <c r="A3987" s="1">
        <v>40340</v>
      </c>
      <c r="B3987">
        <v>5.9649999999999999</v>
      </c>
      <c r="C3987" s="2">
        <f t="shared" si="62"/>
        <v>-1.1666798999615393E-2</v>
      </c>
    </row>
    <row r="3988" spans="1:3" x14ac:dyDescent="0.2">
      <c r="A3988" s="1">
        <v>40339</v>
      </c>
      <c r="B3988">
        <v>6.0350000000000001</v>
      </c>
      <c r="C3988" s="2">
        <f t="shared" si="62"/>
        <v>5.8163853214398473E-3</v>
      </c>
    </row>
    <row r="3989" spans="1:3" x14ac:dyDescent="0.2">
      <c r="A3989" s="1">
        <v>40338</v>
      </c>
      <c r="B3989">
        <v>6</v>
      </c>
      <c r="C3989" s="2">
        <f t="shared" si="62"/>
        <v>1.5113637810048106E-2</v>
      </c>
    </row>
    <row r="3990" spans="1:3" x14ac:dyDescent="0.2">
      <c r="A3990" s="1">
        <v>40337</v>
      </c>
      <c r="B3990">
        <v>5.91</v>
      </c>
      <c r="C3990" s="2">
        <f t="shared" si="62"/>
        <v>1.878791386563327E-2</v>
      </c>
    </row>
    <row r="3991" spans="1:3" x14ac:dyDescent="0.2">
      <c r="A3991" s="1">
        <v>40336</v>
      </c>
      <c r="B3991">
        <v>5.8</v>
      </c>
      <c r="C3991" s="2">
        <f t="shared" si="62"/>
        <v>-1.7094433359300183E-2</v>
      </c>
    </row>
    <row r="3992" spans="1:3" x14ac:dyDescent="0.2">
      <c r="A3992" s="1">
        <v>40333</v>
      </c>
      <c r="B3992">
        <v>5.9</v>
      </c>
      <c r="C3992" s="2">
        <f t="shared" si="62"/>
        <v>-9.2788518955895793E-3</v>
      </c>
    </row>
    <row r="3993" spans="1:3" x14ac:dyDescent="0.2">
      <c r="A3993" s="1">
        <v>40332</v>
      </c>
      <c r="B3993">
        <v>5.9550000000000001</v>
      </c>
      <c r="C3993" s="2">
        <f t="shared" si="62"/>
        <v>1.8644607883231808E-2</v>
      </c>
    </row>
    <row r="3994" spans="1:3" x14ac:dyDescent="0.2">
      <c r="A3994" s="1">
        <v>40331</v>
      </c>
      <c r="B3994">
        <v>5.8449999999999998</v>
      </c>
      <c r="C3994" s="2">
        <f t="shared" si="62"/>
        <v>1.6386740114772525E-2</v>
      </c>
    </row>
    <row r="3995" spans="1:3" x14ac:dyDescent="0.2">
      <c r="A3995" s="1">
        <v>40330</v>
      </c>
      <c r="B3995">
        <v>5.75</v>
      </c>
      <c r="C3995" s="2">
        <f t="shared" si="62"/>
        <v>3.4843240826108427E-3</v>
      </c>
    </row>
    <row r="3996" spans="1:3" x14ac:dyDescent="0.2">
      <c r="A3996" s="1">
        <v>40329</v>
      </c>
      <c r="B3996">
        <v>5.73</v>
      </c>
      <c r="C3996" s="2">
        <f t="shared" si="62"/>
        <v>-1.0416760858255604E-2</v>
      </c>
    </row>
    <row r="3997" spans="1:3" x14ac:dyDescent="0.2">
      <c r="A3997" s="1">
        <v>40326</v>
      </c>
      <c r="B3997">
        <v>5.79</v>
      </c>
      <c r="C3997" s="2">
        <f t="shared" si="62"/>
        <v>6.0632494110579383E-3</v>
      </c>
    </row>
    <row r="3998" spans="1:3" x14ac:dyDescent="0.2">
      <c r="A3998" s="1">
        <v>40325</v>
      </c>
      <c r="B3998">
        <v>5.7549999999999999</v>
      </c>
      <c r="C3998" s="2">
        <f t="shared" si="62"/>
        <v>2.5518322639241049E-2</v>
      </c>
    </row>
    <row r="3999" spans="1:3" x14ac:dyDescent="0.2">
      <c r="A3999" s="1">
        <v>40324</v>
      </c>
      <c r="B3999">
        <v>5.61</v>
      </c>
      <c r="C3999" s="2">
        <f t="shared" si="62"/>
        <v>7.155665595412232E-3</v>
      </c>
    </row>
    <row r="4000" spans="1:3" x14ac:dyDescent="0.2">
      <c r="A4000" s="1">
        <v>40323</v>
      </c>
      <c r="B4000">
        <v>5.57</v>
      </c>
      <c r="C4000" s="2">
        <f t="shared" si="62"/>
        <v>-1.0714388212406258E-2</v>
      </c>
    </row>
    <row r="4001" spans="1:3" x14ac:dyDescent="0.2">
      <c r="A4001" s="1">
        <v>40322</v>
      </c>
      <c r="B4001">
        <v>5.63</v>
      </c>
      <c r="C4001" s="2">
        <f t="shared" si="62"/>
        <v>-2.0220469149120016E-2</v>
      </c>
    </row>
    <row r="4002" spans="1:3" x14ac:dyDescent="0.2">
      <c r="A4002" s="1">
        <v>40319</v>
      </c>
      <c r="B4002">
        <v>5.7450000000000001</v>
      </c>
      <c r="C4002" s="2">
        <f t="shared" si="62"/>
        <v>-3.4752424203033146E-3</v>
      </c>
    </row>
    <row r="4003" spans="1:3" x14ac:dyDescent="0.2">
      <c r="A4003" s="1">
        <v>40318</v>
      </c>
      <c r="B4003">
        <v>5.7649999999999997</v>
      </c>
      <c r="C4003" s="2">
        <f t="shared" si="62"/>
        <v>-5.1903230706927357E-3</v>
      </c>
    </row>
    <row r="4004" spans="1:3" x14ac:dyDescent="0.2">
      <c r="A4004" s="1">
        <v>40317</v>
      </c>
      <c r="B4004">
        <v>5.7949999999999999</v>
      </c>
      <c r="C4004" s="2">
        <f t="shared" si="62"/>
        <v>-1.7241383581398043E-3</v>
      </c>
    </row>
    <row r="4005" spans="1:3" x14ac:dyDescent="0.2">
      <c r="A4005" s="1">
        <v>40316</v>
      </c>
      <c r="B4005">
        <v>5.8049999999999997</v>
      </c>
      <c r="C4005" s="2">
        <f t="shared" si="62"/>
        <v>6.0475346298465762E-3</v>
      </c>
    </row>
    <row r="4006" spans="1:3" x14ac:dyDescent="0.2">
      <c r="A4006" s="1">
        <v>40315</v>
      </c>
      <c r="B4006">
        <v>5.77</v>
      </c>
      <c r="C4006" s="2">
        <f t="shared" si="62"/>
        <v>6.9565497933599309E-3</v>
      </c>
    </row>
    <row r="4007" spans="1:3" x14ac:dyDescent="0.2">
      <c r="A4007" s="1">
        <v>40312</v>
      </c>
      <c r="B4007">
        <v>5.73</v>
      </c>
      <c r="C4007" s="2">
        <f t="shared" si="62"/>
        <v>-3.0930300691358614E-2</v>
      </c>
    </row>
    <row r="4008" spans="1:3" x14ac:dyDescent="0.2">
      <c r="A4008" s="1">
        <v>40311</v>
      </c>
      <c r="B4008">
        <v>5.91</v>
      </c>
      <c r="C4008" s="2">
        <f t="shared" si="62"/>
        <v>-1.6906174779074388E-3</v>
      </c>
    </row>
    <row r="4009" spans="1:3" x14ac:dyDescent="0.2">
      <c r="A4009" s="1">
        <v>40310</v>
      </c>
      <c r="B4009">
        <v>5.92</v>
      </c>
      <c r="C4009" s="2">
        <f t="shared" si="62"/>
        <v>2.9136594086655247E-2</v>
      </c>
    </row>
    <row r="4010" spans="1:3" x14ac:dyDescent="0.2">
      <c r="A4010" s="1">
        <v>40309</v>
      </c>
      <c r="B4010">
        <v>5.75</v>
      </c>
      <c r="C4010" s="2">
        <f t="shared" si="62"/>
        <v>1.4010737069598369E-2</v>
      </c>
    </row>
    <row r="4011" spans="1:3" x14ac:dyDescent="0.2">
      <c r="A4011" s="1">
        <v>40308</v>
      </c>
      <c r="B4011">
        <v>5.67</v>
      </c>
      <c r="C4011" s="2">
        <f t="shared" si="62"/>
        <v>2.681125745065677E-2</v>
      </c>
    </row>
    <row r="4012" spans="1:3" x14ac:dyDescent="0.2">
      <c r="A4012" s="1">
        <v>40305</v>
      </c>
      <c r="B4012">
        <v>5.52</v>
      </c>
      <c r="C4012" s="2">
        <f t="shared" si="62"/>
        <v>-3.208831455150063E-2</v>
      </c>
    </row>
    <row r="4013" spans="1:3" x14ac:dyDescent="0.2">
      <c r="A4013" s="1">
        <v>40304</v>
      </c>
      <c r="B4013">
        <v>5.7</v>
      </c>
      <c r="C4013" s="2">
        <f t="shared" si="62"/>
        <v>2.1277398447284879E-2</v>
      </c>
    </row>
    <row r="4014" spans="1:3" x14ac:dyDescent="0.2">
      <c r="A4014" s="1">
        <v>40303</v>
      </c>
      <c r="B4014">
        <v>5.58</v>
      </c>
      <c r="C4014" s="2">
        <f t="shared" si="62"/>
        <v>-6.2528117971869333E-3</v>
      </c>
    </row>
    <row r="4015" spans="1:3" x14ac:dyDescent="0.2">
      <c r="A4015" s="1">
        <v>40302</v>
      </c>
      <c r="B4015">
        <v>5.6150000000000002</v>
      </c>
      <c r="C4015" s="2">
        <f t="shared" si="62"/>
        <v>-6.2139569679431489E-3</v>
      </c>
    </row>
    <row r="4016" spans="1:3" x14ac:dyDescent="0.2">
      <c r="A4016" s="1">
        <v>40301</v>
      </c>
      <c r="B4016">
        <v>5.65</v>
      </c>
      <c r="C4016" s="2">
        <f t="shared" si="62"/>
        <v>-4.4150182091167202E-3</v>
      </c>
    </row>
    <row r="4017" spans="1:3" x14ac:dyDescent="0.2">
      <c r="A4017" s="1">
        <v>40298</v>
      </c>
      <c r="B4017">
        <v>5.6749999999999998</v>
      </c>
      <c r="C4017" s="2">
        <f t="shared" si="62"/>
        <v>5.3003657658411826E-3</v>
      </c>
    </row>
    <row r="4018" spans="1:3" x14ac:dyDescent="0.2">
      <c r="A4018" s="1">
        <v>40297</v>
      </c>
      <c r="B4018">
        <v>5.6449999999999996</v>
      </c>
      <c r="C4018" s="2">
        <f t="shared" si="62"/>
        <v>3.3321407844811551E-2</v>
      </c>
    </row>
    <row r="4019" spans="1:3" x14ac:dyDescent="0.2">
      <c r="A4019" s="1">
        <v>40296</v>
      </c>
      <c r="B4019">
        <v>5.46</v>
      </c>
      <c r="C4019" s="2">
        <f t="shared" si="62"/>
        <v>-1.5447831045516671E-2</v>
      </c>
    </row>
    <row r="4020" spans="1:3" x14ac:dyDescent="0.2">
      <c r="A4020" s="1">
        <v>40295</v>
      </c>
      <c r="B4020">
        <v>5.5449999999999999</v>
      </c>
      <c r="C4020" s="2">
        <f t="shared" si="62"/>
        <v>-1.1654098732274711E-2</v>
      </c>
    </row>
    <row r="4021" spans="1:3" x14ac:dyDescent="0.2">
      <c r="A4021" s="1">
        <v>40294</v>
      </c>
      <c r="B4021">
        <v>5.61</v>
      </c>
      <c r="C4021" s="2">
        <f t="shared" si="62"/>
        <v>-6.2196207869905693E-2</v>
      </c>
    </row>
    <row r="4022" spans="1:3" x14ac:dyDescent="0.2">
      <c r="A4022" s="1">
        <v>40291</v>
      </c>
      <c r="B4022">
        <v>5.97</v>
      </c>
      <c r="C4022" s="2">
        <f t="shared" si="62"/>
        <v>1.6764463272523522E-3</v>
      </c>
    </row>
    <row r="4023" spans="1:3" x14ac:dyDescent="0.2">
      <c r="A4023" s="1">
        <v>40290</v>
      </c>
      <c r="B4023">
        <v>5.96</v>
      </c>
      <c r="C4023" s="2">
        <f t="shared" si="62"/>
        <v>1.0118130165584466E-2</v>
      </c>
    </row>
    <row r="4024" spans="1:3" x14ac:dyDescent="0.2">
      <c r="A4024" s="1">
        <v>40289</v>
      </c>
      <c r="B4024">
        <v>5.9</v>
      </c>
      <c r="C4024" s="2">
        <f t="shared" si="62"/>
        <v>-6.7567824628797625E-3</v>
      </c>
    </row>
    <row r="4025" spans="1:3" x14ac:dyDescent="0.2">
      <c r="A4025" s="1">
        <v>40288</v>
      </c>
      <c r="B4025">
        <v>5.94</v>
      </c>
      <c r="C4025" s="2">
        <f t="shared" si="62"/>
        <v>2.0408871631207033E-2</v>
      </c>
    </row>
    <row r="4026" spans="1:3" x14ac:dyDescent="0.2">
      <c r="A4026" s="1">
        <v>40287</v>
      </c>
      <c r="B4026">
        <v>5.82</v>
      </c>
      <c r="C4026" s="2">
        <f t="shared" si="62"/>
        <v>-1.365208916832732E-2</v>
      </c>
    </row>
    <row r="4027" spans="1:3" x14ac:dyDescent="0.2">
      <c r="A4027" s="1">
        <v>40284</v>
      </c>
      <c r="B4027">
        <v>5.9</v>
      </c>
      <c r="C4027" s="2">
        <f t="shared" si="62"/>
        <v>1.7094433359300255E-2</v>
      </c>
    </row>
    <row r="4028" spans="1:3" x14ac:dyDescent="0.2">
      <c r="A4028" s="1">
        <v>40283</v>
      </c>
      <c r="B4028">
        <v>5.8</v>
      </c>
      <c r="C4028" s="2">
        <f t="shared" si="62"/>
        <v>-3.4423441909729015E-3</v>
      </c>
    </row>
    <row r="4029" spans="1:3" x14ac:dyDescent="0.2">
      <c r="A4029" s="1">
        <v>40282</v>
      </c>
      <c r="B4029">
        <v>5.82</v>
      </c>
      <c r="C4029" s="2">
        <f t="shared" si="62"/>
        <v>3.2303114251606875E-2</v>
      </c>
    </row>
    <row r="4030" spans="1:3" x14ac:dyDescent="0.2">
      <c r="A4030" s="1">
        <v>40281</v>
      </c>
      <c r="B4030">
        <v>5.6349999999999998</v>
      </c>
      <c r="C4030" s="2">
        <f t="shared" si="62"/>
        <v>1.7761994012556728E-3</v>
      </c>
    </row>
    <row r="4031" spans="1:3" x14ac:dyDescent="0.2">
      <c r="A4031" s="1">
        <v>40280</v>
      </c>
      <c r="B4031">
        <v>5.625</v>
      </c>
      <c r="C4031" s="2">
        <f t="shared" si="62"/>
        <v>2.6702285558788921E-3</v>
      </c>
    </row>
    <row r="4032" spans="1:3" x14ac:dyDescent="0.2">
      <c r="A4032" s="1">
        <v>40277</v>
      </c>
      <c r="B4032">
        <v>5.61</v>
      </c>
      <c r="C4032" s="2">
        <f t="shared" si="62"/>
        <v>-5.3333459753625049E-3</v>
      </c>
    </row>
    <row r="4033" spans="1:3" x14ac:dyDescent="0.2">
      <c r="A4033" s="1">
        <v>40276</v>
      </c>
      <c r="B4033">
        <v>5.64</v>
      </c>
      <c r="C4033" s="2">
        <f t="shared" si="62"/>
        <v>1.7746233583684796E-3</v>
      </c>
    </row>
    <row r="4034" spans="1:3" x14ac:dyDescent="0.2">
      <c r="A4034" s="1">
        <v>40275</v>
      </c>
      <c r="B4034">
        <v>5.63</v>
      </c>
      <c r="C4034" s="2">
        <f t="shared" si="62"/>
        <v>8.8849406111523492E-4</v>
      </c>
    </row>
    <row r="4035" spans="1:3" x14ac:dyDescent="0.2">
      <c r="A4035" s="1">
        <v>40274</v>
      </c>
      <c r="B4035">
        <v>5.625</v>
      </c>
      <c r="C4035" s="2">
        <f t="shared" ref="C4035:C4098" si="63">+LN(B4035/B4036)</f>
        <v>-8.8849406111516705E-4</v>
      </c>
    </row>
    <row r="4036" spans="1:3" x14ac:dyDescent="0.2">
      <c r="A4036" s="1">
        <v>40269</v>
      </c>
      <c r="B4036">
        <v>5.63</v>
      </c>
      <c r="C4036" s="2">
        <f t="shared" si="63"/>
        <v>-8.8770534014054781E-4</v>
      </c>
    </row>
    <row r="4037" spans="1:3" x14ac:dyDescent="0.2">
      <c r="A4037" s="1">
        <v>40268</v>
      </c>
      <c r="B4037">
        <v>5.6349999999999998</v>
      </c>
      <c r="C4037" s="2">
        <f t="shared" si="63"/>
        <v>-3.542962076344218E-3</v>
      </c>
    </row>
    <row r="4038" spans="1:3" x14ac:dyDescent="0.2">
      <c r="A4038" s="1">
        <v>40267</v>
      </c>
      <c r="B4038">
        <v>5.6550000000000002</v>
      </c>
      <c r="C4038" s="2">
        <f t="shared" si="63"/>
        <v>-5.2910176344154363E-3</v>
      </c>
    </row>
    <row r="4039" spans="1:3" x14ac:dyDescent="0.2">
      <c r="A4039" s="1">
        <v>40266</v>
      </c>
      <c r="B4039">
        <v>5.6849999999999996</v>
      </c>
      <c r="C4039" s="2">
        <f t="shared" si="63"/>
        <v>3.5242327225296828E-3</v>
      </c>
    </row>
    <row r="4040" spans="1:3" x14ac:dyDescent="0.2">
      <c r="A4040" s="1">
        <v>40263</v>
      </c>
      <c r="B4040">
        <v>5.665</v>
      </c>
      <c r="C4040" s="2">
        <f t="shared" si="63"/>
        <v>-1.4892960329289438E-2</v>
      </c>
    </row>
    <row r="4041" spans="1:3" x14ac:dyDescent="0.2">
      <c r="A4041" s="1">
        <v>40262</v>
      </c>
      <c r="B4041">
        <v>5.75</v>
      </c>
      <c r="C4041" s="2">
        <f t="shared" si="63"/>
        <v>3.4843240826108427E-3</v>
      </c>
    </row>
    <row r="4042" spans="1:3" x14ac:dyDescent="0.2">
      <c r="A4042" s="1">
        <v>40261</v>
      </c>
      <c r="B4042">
        <v>5.73</v>
      </c>
      <c r="C4042" s="2">
        <f t="shared" si="63"/>
        <v>-5.2219439811516007E-3</v>
      </c>
    </row>
    <row r="4043" spans="1:3" x14ac:dyDescent="0.2">
      <c r="A4043" s="1">
        <v>40260</v>
      </c>
      <c r="B4043">
        <v>5.76</v>
      </c>
      <c r="C4043" s="2">
        <f t="shared" si="63"/>
        <v>5.2219439811516249E-3</v>
      </c>
    </row>
    <row r="4044" spans="1:3" x14ac:dyDescent="0.2">
      <c r="A4044" s="1">
        <v>40259</v>
      </c>
      <c r="B4044">
        <v>5.73</v>
      </c>
      <c r="C4044" s="2">
        <f t="shared" si="63"/>
        <v>8.7298128634491923E-4</v>
      </c>
    </row>
    <row r="4045" spans="1:3" x14ac:dyDescent="0.2">
      <c r="A4045" s="1">
        <v>40256</v>
      </c>
      <c r="B4045">
        <v>5.7249999999999996</v>
      </c>
      <c r="C4045" s="2">
        <f t="shared" si="63"/>
        <v>6.1323013020636932E-3</v>
      </c>
    </row>
    <row r="4046" spans="1:3" x14ac:dyDescent="0.2">
      <c r="A4046" s="1">
        <v>40255</v>
      </c>
      <c r="B4046">
        <v>5.69</v>
      </c>
      <c r="C4046" s="2">
        <f t="shared" si="63"/>
        <v>-1.3094905582782682E-2</v>
      </c>
    </row>
    <row r="4047" spans="1:3" x14ac:dyDescent="0.2">
      <c r="A4047" s="1">
        <v>40254</v>
      </c>
      <c r="B4047">
        <v>5.7649999999999997</v>
      </c>
      <c r="C4047" s="2">
        <f t="shared" si="63"/>
        <v>-8.6692679898583763E-4</v>
      </c>
    </row>
    <row r="4048" spans="1:3" x14ac:dyDescent="0.2">
      <c r="A4048" s="1">
        <v>40253</v>
      </c>
      <c r="B4048">
        <v>5.77</v>
      </c>
      <c r="C4048" s="2">
        <f t="shared" si="63"/>
        <v>1.4840953317508929E-2</v>
      </c>
    </row>
    <row r="4049" spans="1:3" x14ac:dyDescent="0.2">
      <c r="A4049" s="1">
        <v>40252</v>
      </c>
      <c r="B4049">
        <v>5.6849999999999996</v>
      </c>
      <c r="C4049" s="2">
        <f t="shared" si="63"/>
        <v>2.1334142474991141E-2</v>
      </c>
    </row>
    <row r="4050" spans="1:3" x14ac:dyDescent="0.2">
      <c r="A4050" s="1">
        <v>40249</v>
      </c>
      <c r="B4050">
        <v>5.5650000000000004</v>
      </c>
      <c r="C4050" s="2">
        <f t="shared" si="63"/>
        <v>8.9887646501725057E-4</v>
      </c>
    </row>
    <row r="4051" spans="1:3" x14ac:dyDescent="0.2">
      <c r="A4051" s="1">
        <v>40248</v>
      </c>
      <c r="B4051">
        <v>5.56</v>
      </c>
      <c r="C4051" s="2">
        <f t="shared" si="63"/>
        <v>-8.9887646501727203E-4</v>
      </c>
    </row>
    <row r="4052" spans="1:3" x14ac:dyDescent="0.2">
      <c r="A4052" s="1">
        <v>40247</v>
      </c>
      <c r="B4052">
        <v>5.5650000000000004</v>
      </c>
      <c r="C4052" s="2">
        <f t="shared" si="63"/>
        <v>-2.6917916657114146E-3</v>
      </c>
    </row>
    <row r="4053" spans="1:3" x14ac:dyDescent="0.2">
      <c r="A4053" s="1">
        <v>40246</v>
      </c>
      <c r="B4053">
        <v>5.58</v>
      </c>
      <c r="C4053" s="2">
        <f t="shared" si="63"/>
        <v>-1.7905107737882331E-3</v>
      </c>
    </row>
    <row r="4054" spans="1:3" x14ac:dyDescent="0.2">
      <c r="A4054" s="1">
        <v>40245</v>
      </c>
      <c r="B4054">
        <v>5.59</v>
      </c>
      <c r="C4054" s="2">
        <f t="shared" si="63"/>
        <v>5.38117890451675E-3</v>
      </c>
    </row>
    <row r="4055" spans="1:3" x14ac:dyDescent="0.2">
      <c r="A4055" s="1">
        <v>40242</v>
      </c>
      <c r="B4055">
        <v>5.56</v>
      </c>
      <c r="C4055" s="2">
        <f t="shared" si="63"/>
        <v>2.701487460160518E-3</v>
      </c>
    </row>
    <row r="4056" spans="1:3" x14ac:dyDescent="0.2">
      <c r="A4056" s="1">
        <v>40241</v>
      </c>
      <c r="B4056">
        <v>5.5449999999999999</v>
      </c>
      <c r="C4056" s="2">
        <f t="shared" si="63"/>
        <v>1.8198864417406601E-2</v>
      </c>
    </row>
    <row r="4057" spans="1:3" x14ac:dyDescent="0.2">
      <c r="A4057" s="1">
        <v>40240</v>
      </c>
      <c r="B4057">
        <v>5.4450000000000003</v>
      </c>
      <c r="C4057" s="2">
        <f t="shared" si="63"/>
        <v>-9.1785229022888577E-4</v>
      </c>
    </row>
    <row r="4058" spans="1:3" x14ac:dyDescent="0.2">
      <c r="A4058" s="1">
        <v>40239</v>
      </c>
      <c r="B4058">
        <v>5.45</v>
      </c>
      <c r="C4058" s="2">
        <f t="shared" si="63"/>
        <v>-1.4572206859090723E-2</v>
      </c>
    </row>
    <row r="4059" spans="1:3" x14ac:dyDescent="0.2">
      <c r="A4059" s="1">
        <v>40238</v>
      </c>
      <c r="B4059">
        <v>5.53</v>
      </c>
      <c r="C4059" s="2">
        <f t="shared" si="63"/>
        <v>3.623192369420331E-3</v>
      </c>
    </row>
    <row r="4060" spans="1:3" x14ac:dyDescent="0.2">
      <c r="A4060" s="1">
        <v>40235</v>
      </c>
      <c r="B4060">
        <v>5.51</v>
      </c>
      <c r="C4060" s="2">
        <f t="shared" si="63"/>
        <v>3.0403078687814607E-2</v>
      </c>
    </row>
    <row r="4061" spans="1:3" x14ac:dyDescent="0.2">
      <c r="A4061" s="1">
        <v>40234</v>
      </c>
      <c r="B4061">
        <v>5.3449999999999998</v>
      </c>
      <c r="C4061" s="2">
        <f t="shared" si="63"/>
        <v>-4.6663640437648504E-3</v>
      </c>
    </row>
    <row r="4062" spans="1:3" x14ac:dyDescent="0.2">
      <c r="A4062" s="1">
        <v>40233</v>
      </c>
      <c r="B4062">
        <v>5.37</v>
      </c>
      <c r="C4062" s="2">
        <f t="shared" si="63"/>
        <v>9.3546051672203177E-3</v>
      </c>
    </row>
    <row r="4063" spans="1:3" x14ac:dyDescent="0.2">
      <c r="A4063" s="1">
        <v>40232</v>
      </c>
      <c r="B4063">
        <v>5.32</v>
      </c>
      <c r="C4063" s="2">
        <f t="shared" si="63"/>
        <v>-9.3940824193571861E-4</v>
      </c>
    </row>
    <row r="4064" spans="1:3" x14ac:dyDescent="0.2">
      <c r="A4064" s="1">
        <v>40231</v>
      </c>
      <c r="B4064">
        <v>5.3250000000000002</v>
      </c>
      <c r="C4064" s="2">
        <f t="shared" si="63"/>
        <v>1.8796998015774722E-3</v>
      </c>
    </row>
    <row r="4065" spans="1:3" x14ac:dyDescent="0.2">
      <c r="A4065" s="1">
        <v>40228</v>
      </c>
      <c r="B4065">
        <v>5.3150000000000004</v>
      </c>
      <c r="C4065" s="2">
        <f t="shared" si="63"/>
        <v>8.5026492406405189E-3</v>
      </c>
    </row>
    <row r="4066" spans="1:3" x14ac:dyDescent="0.2">
      <c r="A4066" s="1">
        <v>40227</v>
      </c>
      <c r="B4066">
        <v>5.27</v>
      </c>
      <c r="C4066" s="2">
        <f t="shared" si="63"/>
        <v>-1.895735164899312E-3</v>
      </c>
    </row>
    <row r="4067" spans="1:3" x14ac:dyDescent="0.2">
      <c r="A4067" s="1">
        <v>40226</v>
      </c>
      <c r="B4067">
        <v>5.28</v>
      </c>
      <c r="C4067" s="2">
        <f t="shared" si="63"/>
        <v>6.6508558699095895E-3</v>
      </c>
    </row>
    <row r="4068" spans="1:3" x14ac:dyDescent="0.2">
      <c r="A4068" s="1">
        <v>40225</v>
      </c>
      <c r="B4068">
        <v>5.2450000000000001</v>
      </c>
      <c r="C4068" s="2">
        <f t="shared" si="63"/>
        <v>-6.6508558699096857E-3</v>
      </c>
    </row>
    <row r="4069" spans="1:3" x14ac:dyDescent="0.2">
      <c r="A4069" s="1">
        <v>40224</v>
      </c>
      <c r="B4069">
        <v>5.28</v>
      </c>
      <c r="C4069" s="2">
        <f t="shared" si="63"/>
        <v>-3.7807228399059328E-3</v>
      </c>
    </row>
    <row r="4070" spans="1:3" x14ac:dyDescent="0.2">
      <c r="A4070" s="1">
        <v>40221</v>
      </c>
      <c r="B4070">
        <v>5.3</v>
      </c>
      <c r="C4070" s="2">
        <f t="shared" si="63"/>
        <v>1.0431578709815498E-2</v>
      </c>
    </row>
    <row r="4071" spans="1:3" x14ac:dyDescent="0.2">
      <c r="A4071" s="1">
        <v>40220</v>
      </c>
      <c r="B4071">
        <v>5.2450000000000001</v>
      </c>
      <c r="C4071" s="2">
        <f t="shared" si="63"/>
        <v>0</v>
      </c>
    </row>
    <row r="4072" spans="1:3" x14ac:dyDescent="0.2">
      <c r="A4072" s="1">
        <v>40219</v>
      </c>
      <c r="B4072">
        <v>5.2450000000000001</v>
      </c>
      <c r="C4072" s="2">
        <f t="shared" si="63"/>
        <v>-4.7551207050103642E-3</v>
      </c>
    </row>
    <row r="4073" spans="1:3" x14ac:dyDescent="0.2">
      <c r="A4073" s="1">
        <v>40218</v>
      </c>
      <c r="B4073">
        <v>5.27</v>
      </c>
      <c r="C4073" s="2">
        <f t="shared" si="63"/>
        <v>-1.7866013529390965E-2</v>
      </c>
    </row>
    <row r="4074" spans="1:3" x14ac:dyDescent="0.2">
      <c r="A4074" s="1">
        <v>40217</v>
      </c>
      <c r="B4074">
        <v>5.3650000000000002</v>
      </c>
      <c r="C4074" s="2">
        <f t="shared" si="63"/>
        <v>1.4078130212453804E-2</v>
      </c>
    </row>
    <row r="4075" spans="1:3" x14ac:dyDescent="0.2">
      <c r="A4075" s="1">
        <v>40214</v>
      </c>
      <c r="B4075">
        <v>5.29</v>
      </c>
      <c r="C4075" s="2">
        <f t="shared" si="63"/>
        <v>-2.4277569581346838E-2</v>
      </c>
    </row>
    <row r="4076" spans="1:3" x14ac:dyDescent="0.2">
      <c r="A4076" s="1">
        <v>40213</v>
      </c>
      <c r="B4076">
        <v>5.42</v>
      </c>
      <c r="C4076" s="2">
        <f t="shared" si="63"/>
        <v>-2.4602607640038427E-2</v>
      </c>
    </row>
    <row r="4077" spans="1:3" x14ac:dyDescent="0.2">
      <c r="A4077" s="1">
        <v>40212</v>
      </c>
      <c r="B4077">
        <v>5.5549999999999997</v>
      </c>
      <c r="C4077" s="2">
        <f t="shared" si="63"/>
        <v>5.2668060538322466E-2</v>
      </c>
    </row>
    <row r="4078" spans="1:3" x14ac:dyDescent="0.2">
      <c r="A4078" s="1">
        <v>40211</v>
      </c>
      <c r="B4078">
        <v>5.27</v>
      </c>
      <c r="C4078" s="2">
        <f t="shared" si="63"/>
        <v>6.6635182307706944E-3</v>
      </c>
    </row>
    <row r="4079" spans="1:3" x14ac:dyDescent="0.2">
      <c r="A4079" s="1">
        <v>40210</v>
      </c>
      <c r="B4079">
        <v>5.2350000000000003</v>
      </c>
      <c r="C4079" s="2">
        <f t="shared" si="63"/>
        <v>3.8277558697644661E-3</v>
      </c>
    </row>
    <row r="4080" spans="1:3" x14ac:dyDescent="0.2">
      <c r="A4080" s="1">
        <v>40207</v>
      </c>
      <c r="B4080">
        <v>5.2149999999999999</v>
      </c>
      <c r="C4080" s="2">
        <f t="shared" si="63"/>
        <v>-2.8721896240958499E-3</v>
      </c>
    </row>
    <row r="4081" spans="1:3" x14ac:dyDescent="0.2">
      <c r="A4081" s="1">
        <v>40206</v>
      </c>
      <c r="B4081">
        <v>5.23</v>
      </c>
      <c r="C4081" s="2">
        <f t="shared" si="63"/>
        <v>-1.9102202561192376E-3</v>
      </c>
    </row>
    <row r="4082" spans="1:3" x14ac:dyDescent="0.2">
      <c r="A4082" s="1">
        <v>40205</v>
      </c>
      <c r="B4082">
        <v>5.24</v>
      </c>
      <c r="C4082" s="2">
        <f t="shared" si="63"/>
        <v>1.9102202561192452E-3</v>
      </c>
    </row>
    <row r="4083" spans="1:3" x14ac:dyDescent="0.2">
      <c r="A4083" s="1">
        <v>40204</v>
      </c>
      <c r="B4083">
        <v>5.23</v>
      </c>
      <c r="C4083" s="2">
        <f t="shared" si="63"/>
        <v>6.7146535256409033E-3</v>
      </c>
    </row>
    <row r="4084" spans="1:3" x14ac:dyDescent="0.2">
      <c r="A4084" s="1">
        <v>40203</v>
      </c>
      <c r="B4084">
        <v>5.1950000000000003</v>
      </c>
      <c r="C4084" s="2">
        <f t="shared" si="63"/>
        <v>2.5342486850543935E-2</v>
      </c>
    </row>
    <row r="4085" spans="1:3" x14ac:dyDescent="0.2">
      <c r="A4085" s="1">
        <v>40200</v>
      </c>
      <c r="B4085">
        <v>5.0650000000000004</v>
      </c>
      <c r="C4085" s="2">
        <f t="shared" si="63"/>
        <v>-1.0800301350769601E-2</v>
      </c>
    </row>
    <row r="4086" spans="1:3" x14ac:dyDescent="0.2">
      <c r="A4086" s="1">
        <v>40199</v>
      </c>
      <c r="B4086">
        <v>5.12</v>
      </c>
      <c r="C4086" s="2">
        <f t="shared" si="63"/>
        <v>-8.7506635201854196E-3</v>
      </c>
    </row>
    <row r="4087" spans="1:3" x14ac:dyDescent="0.2">
      <c r="A4087" s="1">
        <v>40198</v>
      </c>
      <c r="B4087">
        <v>5.165</v>
      </c>
      <c r="C4087" s="2">
        <f t="shared" si="63"/>
        <v>-9.6339858811338216E-3</v>
      </c>
    </row>
    <row r="4088" spans="1:3" x14ac:dyDescent="0.2">
      <c r="A4088" s="1">
        <v>40197</v>
      </c>
      <c r="B4088">
        <v>5.2149999999999999</v>
      </c>
      <c r="C4088" s="2">
        <f t="shared" si="63"/>
        <v>9.5923268746013425E-4</v>
      </c>
    </row>
    <row r="4089" spans="1:3" x14ac:dyDescent="0.2">
      <c r="A4089" s="1">
        <v>40196</v>
      </c>
      <c r="B4089">
        <v>5.21</v>
      </c>
      <c r="C4089" s="2">
        <f t="shared" si="63"/>
        <v>1.7425416713859134E-2</v>
      </c>
    </row>
    <row r="4090" spans="1:3" x14ac:dyDescent="0.2">
      <c r="A4090" s="1">
        <v>40193</v>
      </c>
      <c r="B4090">
        <v>5.12</v>
      </c>
      <c r="C4090" s="2">
        <f t="shared" si="63"/>
        <v>-1.3579258126380866E-2</v>
      </c>
    </row>
    <row r="4091" spans="1:3" x14ac:dyDescent="0.2">
      <c r="A4091" s="1">
        <v>40192</v>
      </c>
      <c r="B4091">
        <v>5.19</v>
      </c>
      <c r="C4091" s="2">
        <f t="shared" si="63"/>
        <v>-9.5878011551535133E-3</v>
      </c>
    </row>
    <row r="4092" spans="1:3" x14ac:dyDescent="0.2">
      <c r="A4092" s="1">
        <v>40191</v>
      </c>
      <c r="B4092">
        <v>5.24</v>
      </c>
      <c r="C4092" s="2">
        <f t="shared" si="63"/>
        <v>-1.7967386420765862E-2</v>
      </c>
    </row>
    <row r="4093" spans="1:3" x14ac:dyDescent="0.2">
      <c r="A4093" s="1">
        <v>40190</v>
      </c>
      <c r="B4093">
        <v>5.335</v>
      </c>
      <c r="C4093" s="2">
        <f t="shared" si="63"/>
        <v>3.7558729598052647E-3</v>
      </c>
    </row>
    <row r="4094" spans="1:3" x14ac:dyDescent="0.2">
      <c r="A4094" s="1">
        <v>40189</v>
      </c>
      <c r="B4094">
        <v>5.3150000000000004</v>
      </c>
      <c r="C4094" s="2">
        <f t="shared" si="63"/>
        <v>-1.7716081064478903E-2</v>
      </c>
    </row>
    <row r="4095" spans="1:3" x14ac:dyDescent="0.2">
      <c r="A4095" s="1">
        <v>40186</v>
      </c>
      <c r="B4095">
        <v>5.41</v>
      </c>
      <c r="C4095" s="2">
        <f t="shared" si="63"/>
        <v>1.8501392881613734E-3</v>
      </c>
    </row>
    <row r="4096" spans="1:3" x14ac:dyDescent="0.2">
      <c r="A4096" s="1">
        <v>40185</v>
      </c>
      <c r="B4096">
        <v>5.4</v>
      </c>
      <c r="C4096" s="2">
        <f t="shared" si="63"/>
        <v>-1.3793322132335648E-2</v>
      </c>
    </row>
    <row r="4097" spans="1:3" x14ac:dyDescent="0.2">
      <c r="A4097" s="1">
        <v>40184</v>
      </c>
      <c r="B4097">
        <v>5.4749999999999996</v>
      </c>
      <c r="C4097" s="2">
        <f t="shared" si="63"/>
        <v>2.6841037524811335E-2</v>
      </c>
    </row>
    <row r="4098" spans="1:3" x14ac:dyDescent="0.2">
      <c r="A4098" s="1">
        <v>40183</v>
      </c>
      <c r="B4098">
        <v>5.33</v>
      </c>
      <c r="C4098" s="2">
        <f t="shared" si="63"/>
        <v>9.4251404595831131E-3</v>
      </c>
    </row>
    <row r="4099" spans="1:3" x14ac:dyDescent="0.2">
      <c r="A4099" s="1">
        <v>40182</v>
      </c>
      <c r="B4099">
        <v>5.28</v>
      </c>
      <c r="C4099" s="2">
        <f t="shared" ref="C4099:C4162" si="64">+LN(B4099/B4100)</f>
        <v>1.5267472130788381E-2</v>
      </c>
    </row>
    <row r="4100" spans="1:3" x14ac:dyDescent="0.2">
      <c r="A4100" s="1">
        <v>40177</v>
      </c>
      <c r="B4100">
        <v>5.2</v>
      </c>
      <c r="C4100" s="2">
        <f t="shared" si="64"/>
        <v>-5.752652489449922E-3</v>
      </c>
    </row>
    <row r="4101" spans="1:3" x14ac:dyDescent="0.2">
      <c r="A4101" s="1">
        <v>40176</v>
      </c>
      <c r="B4101">
        <v>5.23</v>
      </c>
      <c r="C4101" s="2">
        <f t="shared" si="64"/>
        <v>-3.8167985267007422E-3</v>
      </c>
    </row>
    <row r="4102" spans="1:3" x14ac:dyDescent="0.2">
      <c r="A4102" s="1">
        <v>40175</v>
      </c>
      <c r="B4102">
        <v>5.25</v>
      </c>
      <c r="C4102" s="2">
        <f t="shared" si="64"/>
        <v>-4.7506027585978647E-3</v>
      </c>
    </row>
    <row r="4103" spans="1:3" x14ac:dyDescent="0.2">
      <c r="A4103" s="1">
        <v>40170</v>
      </c>
      <c r="B4103">
        <v>5.2750000000000004</v>
      </c>
      <c r="C4103" s="2">
        <f t="shared" si="64"/>
        <v>4.7506027585977988E-3</v>
      </c>
    </row>
    <row r="4104" spans="1:3" x14ac:dyDescent="0.2">
      <c r="A4104" s="1">
        <v>40169</v>
      </c>
      <c r="B4104">
        <v>5.25</v>
      </c>
      <c r="C4104" s="2">
        <f t="shared" si="64"/>
        <v>2.507363755211596E-2</v>
      </c>
    </row>
    <row r="4105" spans="1:3" x14ac:dyDescent="0.2">
      <c r="A4105" s="1">
        <v>40168</v>
      </c>
      <c r="B4105">
        <v>5.12</v>
      </c>
      <c r="C4105" s="2">
        <f t="shared" si="64"/>
        <v>-1.261540263007409E-2</v>
      </c>
    </row>
    <row r="4106" spans="1:3" x14ac:dyDescent="0.2">
      <c r="A4106" s="1">
        <v>40165</v>
      </c>
      <c r="B4106">
        <v>5.1849999999999996</v>
      </c>
      <c r="C4106" s="2">
        <f t="shared" si="64"/>
        <v>-6.7275602130567567E-3</v>
      </c>
    </row>
    <row r="4107" spans="1:3" x14ac:dyDescent="0.2">
      <c r="A4107" s="1">
        <v>40164</v>
      </c>
      <c r="B4107">
        <v>5.22</v>
      </c>
      <c r="C4107" s="2">
        <f t="shared" si="64"/>
        <v>0</v>
      </c>
    </row>
    <row r="4108" spans="1:3" x14ac:dyDescent="0.2">
      <c r="A4108" s="1">
        <v>40163</v>
      </c>
      <c r="B4108">
        <v>5.22</v>
      </c>
      <c r="C4108" s="2">
        <f t="shared" si="64"/>
        <v>2.2276950277918279E-2</v>
      </c>
    </row>
    <row r="4109" spans="1:3" x14ac:dyDescent="0.2">
      <c r="A4109" s="1">
        <v>40162</v>
      </c>
      <c r="B4109">
        <v>5.1050000000000004</v>
      </c>
      <c r="C4109" s="2">
        <f t="shared" si="64"/>
        <v>-3.1809910936641907E-2</v>
      </c>
    </row>
    <row r="4110" spans="1:3" x14ac:dyDescent="0.2">
      <c r="A4110" s="1">
        <v>40161</v>
      </c>
      <c r="B4110">
        <v>5.27</v>
      </c>
      <c r="C4110" s="2">
        <f t="shared" si="64"/>
        <v>8.5755647023963242E-3</v>
      </c>
    </row>
    <row r="4111" spans="1:3" x14ac:dyDescent="0.2">
      <c r="A4111" s="1">
        <v>40158</v>
      </c>
      <c r="B4111">
        <v>5.2249999999999996</v>
      </c>
      <c r="C4111" s="2">
        <f t="shared" si="64"/>
        <v>-4.7732787526577709E-3</v>
      </c>
    </row>
    <row r="4112" spans="1:3" x14ac:dyDescent="0.2">
      <c r="A4112" s="1">
        <v>40157</v>
      </c>
      <c r="B4112">
        <v>5.25</v>
      </c>
      <c r="C4112" s="2">
        <f t="shared" si="64"/>
        <v>-2.9096374487639309E-2</v>
      </c>
    </row>
    <row r="4113" spans="1:3" x14ac:dyDescent="0.2">
      <c r="A4113" s="1">
        <v>40156</v>
      </c>
      <c r="B4113">
        <v>5.4050000000000002</v>
      </c>
      <c r="C4113" s="2">
        <f t="shared" si="64"/>
        <v>-1.4692642636022034E-2</v>
      </c>
    </row>
    <row r="4114" spans="1:3" x14ac:dyDescent="0.2">
      <c r="A4114" s="1">
        <v>40155</v>
      </c>
      <c r="B4114">
        <v>5.4850000000000003</v>
      </c>
      <c r="C4114" s="2">
        <f t="shared" si="64"/>
        <v>-6.360766561810235E-3</v>
      </c>
    </row>
    <row r="4115" spans="1:3" x14ac:dyDescent="0.2">
      <c r="A4115" s="1">
        <v>40154</v>
      </c>
      <c r="B4115">
        <v>5.52</v>
      </c>
      <c r="C4115" s="2">
        <f t="shared" si="64"/>
        <v>2.7210901143605863E-3</v>
      </c>
    </row>
    <row r="4116" spans="1:3" x14ac:dyDescent="0.2">
      <c r="A4116" s="1">
        <v>40151</v>
      </c>
      <c r="B4116">
        <v>5.5049999999999999</v>
      </c>
      <c r="C4116" s="2">
        <f t="shared" si="64"/>
        <v>-4.5310453596002498E-3</v>
      </c>
    </row>
    <row r="4117" spans="1:3" x14ac:dyDescent="0.2">
      <c r="A4117" s="1">
        <v>40150</v>
      </c>
      <c r="B4117">
        <v>5.53</v>
      </c>
      <c r="C4117" s="2">
        <f t="shared" si="64"/>
        <v>-9.0375062635670016E-4</v>
      </c>
    </row>
    <row r="4118" spans="1:3" x14ac:dyDescent="0.2">
      <c r="A4118" s="1">
        <v>40149</v>
      </c>
      <c r="B4118">
        <v>5.5350000000000001</v>
      </c>
      <c r="C4118" s="2">
        <f t="shared" si="64"/>
        <v>-1.1675031580503308E-2</v>
      </c>
    </row>
    <row r="4119" spans="1:3" x14ac:dyDescent="0.2">
      <c r="A4119" s="1">
        <v>40148</v>
      </c>
      <c r="B4119">
        <v>5.6</v>
      </c>
      <c r="C4119" s="2">
        <f t="shared" si="64"/>
        <v>2.6233978456069285E-2</v>
      </c>
    </row>
    <row r="4120" spans="1:3" x14ac:dyDescent="0.2">
      <c r="A4120" s="1">
        <v>40147</v>
      </c>
      <c r="B4120">
        <v>5.4550000000000001</v>
      </c>
      <c r="C4120" s="2">
        <f t="shared" si="64"/>
        <v>-5.4844744421594519E-3</v>
      </c>
    </row>
    <row r="4121" spans="1:3" x14ac:dyDescent="0.2">
      <c r="A4121" s="1">
        <v>40144</v>
      </c>
      <c r="B4121">
        <v>5.4850000000000003</v>
      </c>
      <c r="C4121" s="2">
        <f t="shared" si="64"/>
        <v>1.9328719553500663E-2</v>
      </c>
    </row>
    <row r="4122" spans="1:3" x14ac:dyDescent="0.2">
      <c r="A4122" s="1">
        <v>40143</v>
      </c>
      <c r="B4122">
        <v>5.38</v>
      </c>
      <c r="C4122" s="2">
        <f t="shared" si="64"/>
        <v>-2.2059718064732219E-2</v>
      </c>
    </row>
    <row r="4123" spans="1:3" x14ac:dyDescent="0.2">
      <c r="A4123" s="1">
        <v>40142</v>
      </c>
      <c r="B4123">
        <v>5.5</v>
      </c>
      <c r="C4123" s="2">
        <f t="shared" si="64"/>
        <v>-5.4397232958182098E-3</v>
      </c>
    </row>
    <row r="4124" spans="1:3" x14ac:dyDescent="0.2">
      <c r="A4124" s="1">
        <v>40141</v>
      </c>
      <c r="B4124">
        <v>5.53</v>
      </c>
      <c r="C4124" s="2">
        <f t="shared" si="64"/>
        <v>5.4397232958183417E-3</v>
      </c>
    </row>
    <row r="4125" spans="1:3" x14ac:dyDescent="0.2">
      <c r="A4125" s="1">
        <v>40140</v>
      </c>
      <c r="B4125">
        <v>5.5</v>
      </c>
      <c r="C4125" s="2">
        <f t="shared" si="64"/>
        <v>1.2808958292581241E-2</v>
      </c>
    </row>
    <row r="4126" spans="1:3" x14ac:dyDescent="0.2">
      <c r="A4126" s="1">
        <v>40137</v>
      </c>
      <c r="B4126">
        <v>5.43</v>
      </c>
      <c r="C4126" s="2">
        <f t="shared" si="64"/>
        <v>-5.5096558109696955E-3</v>
      </c>
    </row>
    <row r="4127" spans="1:3" x14ac:dyDescent="0.2">
      <c r="A4127" s="1">
        <v>40136</v>
      </c>
      <c r="B4127">
        <v>5.46</v>
      </c>
      <c r="C4127" s="2">
        <f t="shared" si="64"/>
        <v>2.5036078161324832E-2</v>
      </c>
    </row>
    <row r="4128" spans="1:3" x14ac:dyDescent="0.2">
      <c r="A4128" s="1">
        <v>40135</v>
      </c>
      <c r="B4128">
        <v>5.3250000000000002</v>
      </c>
      <c r="C4128" s="2">
        <f t="shared" si="64"/>
        <v>-6.5512634872218149E-3</v>
      </c>
    </row>
    <row r="4129" spans="1:3" x14ac:dyDescent="0.2">
      <c r="A4129" s="1">
        <v>40134</v>
      </c>
      <c r="B4129">
        <v>5.36</v>
      </c>
      <c r="C4129" s="2">
        <f t="shared" si="64"/>
        <v>-1.1131840368844181E-2</v>
      </c>
    </row>
    <row r="4130" spans="1:3" x14ac:dyDescent="0.2">
      <c r="A4130" s="1">
        <v>40133</v>
      </c>
      <c r="B4130">
        <v>5.42</v>
      </c>
      <c r="C4130" s="2">
        <f t="shared" si="64"/>
        <v>-3.6832454162965163E-3</v>
      </c>
    </row>
    <row r="4131" spans="1:3" x14ac:dyDescent="0.2">
      <c r="A4131" s="1">
        <v>40130</v>
      </c>
      <c r="B4131">
        <v>5.44</v>
      </c>
      <c r="C4131" s="2">
        <f t="shared" si="64"/>
        <v>-1.8365478073013922E-3</v>
      </c>
    </row>
    <row r="4132" spans="1:3" x14ac:dyDescent="0.2">
      <c r="A4132" s="1">
        <v>40129</v>
      </c>
      <c r="B4132">
        <v>5.45</v>
      </c>
      <c r="C4132" s="2">
        <f t="shared" si="64"/>
        <v>7.3665158167626459E-3</v>
      </c>
    </row>
    <row r="4133" spans="1:3" x14ac:dyDescent="0.2">
      <c r="A4133" s="1">
        <v>40128</v>
      </c>
      <c r="B4133">
        <v>5.41</v>
      </c>
      <c r="C4133" s="2">
        <f t="shared" si="64"/>
        <v>1.1152531950475107E-2</v>
      </c>
    </row>
    <row r="4134" spans="1:3" x14ac:dyDescent="0.2">
      <c r="A4134" s="1">
        <v>40127</v>
      </c>
      <c r="B4134">
        <v>5.35</v>
      </c>
      <c r="C4134" s="2">
        <f t="shared" si="64"/>
        <v>-3.7313476128582471E-3</v>
      </c>
    </row>
    <row r="4135" spans="1:3" x14ac:dyDescent="0.2">
      <c r="A4135" s="1">
        <v>40126</v>
      </c>
      <c r="B4135">
        <v>5.37</v>
      </c>
      <c r="C4135" s="2">
        <f t="shared" si="64"/>
        <v>1.3121087962697276E-2</v>
      </c>
    </row>
    <row r="4136" spans="1:3" x14ac:dyDescent="0.2">
      <c r="A4136" s="1">
        <v>40123</v>
      </c>
      <c r="B4136">
        <v>5.3</v>
      </c>
      <c r="C4136" s="2">
        <f t="shared" si="64"/>
        <v>5.6764580048053424E-3</v>
      </c>
    </row>
    <row r="4137" spans="1:3" x14ac:dyDescent="0.2">
      <c r="A4137" s="1">
        <v>40122</v>
      </c>
      <c r="B4137">
        <v>5.27</v>
      </c>
      <c r="C4137" s="2">
        <f t="shared" si="64"/>
        <v>1.8993358036523157E-3</v>
      </c>
    </row>
    <row r="4138" spans="1:3" x14ac:dyDescent="0.2">
      <c r="A4138" s="1">
        <v>40121</v>
      </c>
      <c r="B4138">
        <v>5.26</v>
      </c>
      <c r="C4138" s="2">
        <f t="shared" si="64"/>
        <v>0</v>
      </c>
    </row>
    <row r="4139" spans="1:3" x14ac:dyDescent="0.2">
      <c r="A4139" s="1">
        <v>40120</v>
      </c>
      <c r="B4139">
        <v>5.26</v>
      </c>
      <c r="C4139" s="2">
        <f t="shared" si="64"/>
        <v>-1.8993358036524051E-3</v>
      </c>
    </row>
    <row r="4140" spans="1:3" x14ac:dyDescent="0.2">
      <c r="A4140" s="1">
        <v>40119</v>
      </c>
      <c r="B4140">
        <v>5.27</v>
      </c>
      <c r="C4140" s="2">
        <f t="shared" si="64"/>
        <v>-1.895735164899312E-3</v>
      </c>
    </row>
    <row r="4141" spans="1:3" x14ac:dyDescent="0.2">
      <c r="A4141" s="1">
        <v>40116</v>
      </c>
      <c r="B4141">
        <v>5.28</v>
      </c>
      <c r="C4141" s="2">
        <f t="shared" si="64"/>
        <v>1.9121041446778595E-2</v>
      </c>
    </row>
    <row r="4142" spans="1:3" x14ac:dyDescent="0.2">
      <c r="A4142" s="1">
        <v>40115</v>
      </c>
      <c r="B4142">
        <v>5.18</v>
      </c>
      <c r="C4142" s="2">
        <f t="shared" si="64"/>
        <v>1.3605652055778459E-2</v>
      </c>
    </row>
    <row r="4143" spans="1:3" x14ac:dyDescent="0.2">
      <c r="A4143" s="1">
        <v>40114</v>
      </c>
      <c r="B4143">
        <v>5.1100000000000003</v>
      </c>
      <c r="C4143" s="2">
        <f t="shared" si="64"/>
        <v>-9.7371752778583169E-3</v>
      </c>
    </row>
    <row r="4144" spans="1:3" x14ac:dyDescent="0.2">
      <c r="A4144" s="1">
        <v>40113</v>
      </c>
      <c r="B4144">
        <v>5.16</v>
      </c>
      <c r="C4144" s="2">
        <f t="shared" si="64"/>
        <v>5.5791359628415513E-2</v>
      </c>
    </row>
    <row r="4145" spans="1:3" x14ac:dyDescent="0.2">
      <c r="A4145" s="1">
        <v>40112</v>
      </c>
      <c r="B4145">
        <v>4.88</v>
      </c>
      <c r="C4145" s="2">
        <f t="shared" si="64"/>
        <v>-1.9782537091158518E-2</v>
      </c>
    </row>
    <row r="4146" spans="1:3" x14ac:dyDescent="0.2">
      <c r="A4146" s="1">
        <v>40109</v>
      </c>
      <c r="B4146">
        <v>4.9775</v>
      </c>
      <c r="C4146" s="2">
        <f t="shared" si="64"/>
        <v>4.5305891742630829E-3</v>
      </c>
    </row>
    <row r="4147" spans="1:3" x14ac:dyDescent="0.2">
      <c r="A4147" s="1">
        <v>40108</v>
      </c>
      <c r="B4147">
        <v>4.9550000000000001</v>
      </c>
      <c r="C4147" s="2">
        <f t="shared" si="64"/>
        <v>-2.0161297151845485E-3</v>
      </c>
    </row>
    <row r="4148" spans="1:3" x14ac:dyDescent="0.2">
      <c r="A4148" s="1">
        <v>40107</v>
      </c>
      <c r="B4148">
        <v>4.9649999999999999</v>
      </c>
      <c r="C4148" s="2">
        <f t="shared" si="64"/>
        <v>-5.022612266291443E-3</v>
      </c>
    </row>
    <row r="4149" spans="1:3" x14ac:dyDescent="0.2">
      <c r="A4149" s="1">
        <v>40106</v>
      </c>
      <c r="B4149">
        <v>4.99</v>
      </c>
      <c r="C4149" s="2">
        <f t="shared" si="64"/>
        <v>-2.0020026706730793E-3</v>
      </c>
    </row>
    <row r="4150" spans="1:3" x14ac:dyDescent="0.2">
      <c r="A4150" s="1">
        <v>40105</v>
      </c>
      <c r="B4150">
        <v>5</v>
      </c>
      <c r="C4150" s="2">
        <f t="shared" si="64"/>
        <v>1.7146158834970584E-2</v>
      </c>
    </row>
    <row r="4151" spans="1:3" x14ac:dyDescent="0.2">
      <c r="A4151" s="1">
        <v>40102</v>
      </c>
      <c r="B4151">
        <v>4.915</v>
      </c>
      <c r="C4151" s="2">
        <f t="shared" si="64"/>
        <v>-1.3138137437431734E-2</v>
      </c>
    </row>
    <row r="4152" spans="1:3" x14ac:dyDescent="0.2">
      <c r="A4152" s="1">
        <v>40101</v>
      </c>
      <c r="B4152">
        <v>4.9800000000000004</v>
      </c>
      <c r="C4152" s="2">
        <f t="shared" si="64"/>
        <v>2.0284671171505932E-2</v>
      </c>
    </row>
    <row r="4153" spans="1:3" x14ac:dyDescent="0.2">
      <c r="A4153" s="1">
        <v>40100</v>
      </c>
      <c r="B4153">
        <v>4.88</v>
      </c>
      <c r="C4153" s="2">
        <f t="shared" si="64"/>
        <v>1.4448135747386051E-2</v>
      </c>
    </row>
    <row r="4154" spans="1:3" x14ac:dyDescent="0.2">
      <c r="A4154" s="1">
        <v>40099</v>
      </c>
      <c r="B4154">
        <v>4.8099999999999996</v>
      </c>
      <c r="C4154" s="2">
        <f t="shared" si="64"/>
        <v>-3.6316512028626556E-3</v>
      </c>
    </row>
    <row r="4155" spans="1:3" x14ac:dyDescent="0.2">
      <c r="A4155" s="1">
        <v>40098</v>
      </c>
      <c r="B4155">
        <v>4.8274999999999997</v>
      </c>
      <c r="C4155" s="2">
        <f t="shared" si="64"/>
        <v>1.5548072580232907E-3</v>
      </c>
    </row>
    <row r="4156" spans="1:3" x14ac:dyDescent="0.2">
      <c r="A4156" s="1">
        <v>40095</v>
      </c>
      <c r="B4156">
        <v>4.82</v>
      </c>
      <c r="C4156" s="2">
        <f t="shared" si="64"/>
        <v>-1.4929492225585312E-2</v>
      </c>
    </row>
    <row r="4157" spans="1:3" x14ac:dyDescent="0.2">
      <c r="A4157" s="1">
        <v>40094</v>
      </c>
      <c r="B4157">
        <v>4.8925000000000001</v>
      </c>
      <c r="C4157" s="2">
        <f t="shared" si="64"/>
        <v>3.5833158382837763E-3</v>
      </c>
    </row>
    <row r="4158" spans="1:3" x14ac:dyDescent="0.2">
      <c r="A4158" s="1">
        <v>40093</v>
      </c>
      <c r="B4158">
        <v>4.875</v>
      </c>
      <c r="C4158" s="2">
        <f t="shared" si="64"/>
        <v>6.6889881507964889E-3</v>
      </c>
    </row>
    <row r="4159" spans="1:3" x14ac:dyDescent="0.2">
      <c r="A4159" s="1">
        <v>40092</v>
      </c>
      <c r="B4159">
        <v>4.8425000000000002</v>
      </c>
      <c r="C4159" s="2">
        <f t="shared" si="64"/>
        <v>1.2467693966743165E-2</v>
      </c>
    </row>
    <row r="4160" spans="1:3" x14ac:dyDescent="0.2">
      <c r="A4160" s="1">
        <v>40091</v>
      </c>
      <c r="B4160">
        <v>4.7824999999999998</v>
      </c>
      <c r="C4160" s="2">
        <f t="shared" si="64"/>
        <v>1.527551430394445E-2</v>
      </c>
    </row>
    <row r="4161" spans="1:3" x14ac:dyDescent="0.2">
      <c r="A4161" s="1">
        <v>40088</v>
      </c>
      <c r="B4161">
        <v>4.71</v>
      </c>
      <c r="C4161" s="2">
        <f t="shared" si="64"/>
        <v>-1.944870763224835E-2</v>
      </c>
    </row>
    <row r="4162" spans="1:3" x14ac:dyDescent="0.2">
      <c r="A4162" s="1">
        <v>40087</v>
      </c>
      <c r="B4162">
        <v>4.8025000000000002</v>
      </c>
      <c r="C4162" s="2">
        <f t="shared" si="64"/>
        <v>-6.7445132446828839E-3</v>
      </c>
    </row>
    <row r="4163" spans="1:3" x14ac:dyDescent="0.2">
      <c r="A4163" s="1">
        <v>40086</v>
      </c>
      <c r="B4163">
        <v>4.835</v>
      </c>
      <c r="C4163" s="2">
        <f t="shared" ref="C4163:C4226" si="65">+LN(B4163/B4164)</f>
        <v>1.2487154972563915E-2</v>
      </c>
    </row>
    <row r="4164" spans="1:3" x14ac:dyDescent="0.2">
      <c r="A4164" s="1">
        <v>40085</v>
      </c>
      <c r="B4164">
        <v>4.7750000000000004</v>
      </c>
      <c r="C4164" s="2">
        <f t="shared" si="65"/>
        <v>5.7758102283897994E-3</v>
      </c>
    </row>
    <row r="4165" spans="1:3" x14ac:dyDescent="0.2">
      <c r="A4165" s="1">
        <v>40084</v>
      </c>
      <c r="B4165">
        <v>4.7474999999999996</v>
      </c>
      <c r="C4165" s="2">
        <f t="shared" si="65"/>
        <v>5.2798433107761359E-3</v>
      </c>
    </row>
    <row r="4166" spans="1:3" x14ac:dyDescent="0.2">
      <c r="A4166" s="1">
        <v>40081</v>
      </c>
      <c r="B4166">
        <v>4.7225000000000001</v>
      </c>
      <c r="C4166" s="2">
        <f t="shared" si="65"/>
        <v>6.3728309150008532E-3</v>
      </c>
    </row>
    <row r="4167" spans="1:3" x14ac:dyDescent="0.2">
      <c r="A4167" s="1">
        <v>40080</v>
      </c>
      <c r="B4167">
        <v>4.6924999999999999</v>
      </c>
      <c r="C4167" s="2">
        <f t="shared" si="65"/>
        <v>-8.4881146228140865E-3</v>
      </c>
    </row>
    <row r="4168" spans="1:3" x14ac:dyDescent="0.2">
      <c r="A4168" s="1">
        <v>40079</v>
      </c>
      <c r="B4168">
        <v>4.7324999999999999</v>
      </c>
      <c r="C4168" s="2">
        <f t="shared" si="65"/>
        <v>-6.8439330048245661E-3</v>
      </c>
    </row>
    <row r="4169" spans="1:3" x14ac:dyDescent="0.2">
      <c r="A4169" s="1">
        <v>40078</v>
      </c>
      <c r="B4169">
        <v>4.7649999999999997</v>
      </c>
      <c r="C4169" s="2">
        <f t="shared" si="65"/>
        <v>-5.2452138627176513E-4</v>
      </c>
    </row>
    <row r="4170" spans="1:3" x14ac:dyDescent="0.2">
      <c r="A4170" s="1">
        <v>40077</v>
      </c>
      <c r="B4170">
        <v>4.7675000000000001</v>
      </c>
      <c r="C4170" s="2">
        <f t="shared" si="65"/>
        <v>8.9544975467311175E-3</v>
      </c>
    </row>
    <row r="4171" spans="1:3" x14ac:dyDescent="0.2">
      <c r="A4171" s="1">
        <v>40074</v>
      </c>
      <c r="B4171">
        <v>4.7249999999999996</v>
      </c>
      <c r="C4171" s="2">
        <f t="shared" si="65"/>
        <v>-2.1141656923356366E-3</v>
      </c>
    </row>
    <row r="4172" spans="1:3" x14ac:dyDescent="0.2">
      <c r="A4172" s="1">
        <v>40073</v>
      </c>
      <c r="B4172">
        <v>4.7350000000000003</v>
      </c>
      <c r="C4172" s="2">
        <f t="shared" si="65"/>
        <v>4.7631738639123912E-3</v>
      </c>
    </row>
    <row r="4173" spans="1:3" x14ac:dyDescent="0.2">
      <c r="A4173" s="1">
        <v>40072</v>
      </c>
      <c r="B4173">
        <v>4.7125000000000004</v>
      </c>
      <c r="C4173" s="2">
        <f t="shared" si="65"/>
        <v>1.5927797367863341E-3</v>
      </c>
    </row>
    <row r="4174" spans="1:3" x14ac:dyDescent="0.2">
      <c r="A4174" s="1">
        <v>40071</v>
      </c>
      <c r="B4174">
        <v>4.7050000000000001</v>
      </c>
      <c r="C4174" s="2">
        <f t="shared" si="65"/>
        <v>-5.2994294664987021E-3</v>
      </c>
    </row>
    <row r="4175" spans="1:3" x14ac:dyDescent="0.2">
      <c r="A4175" s="1">
        <v>40070</v>
      </c>
      <c r="B4175">
        <v>4.7300000000000004</v>
      </c>
      <c r="C4175" s="2">
        <f t="shared" si="65"/>
        <v>4.7682209546713959E-3</v>
      </c>
    </row>
    <row r="4176" spans="1:3" x14ac:dyDescent="0.2">
      <c r="A4176" s="1">
        <v>40067</v>
      </c>
      <c r="B4176">
        <v>4.7074999999999996</v>
      </c>
      <c r="C4176" s="2">
        <f t="shared" si="65"/>
        <v>0</v>
      </c>
    </row>
    <row r="4177" spans="1:3" x14ac:dyDescent="0.2">
      <c r="A4177" s="1">
        <v>40066</v>
      </c>
      <c r="B4177">
        <v>4.7074999999999996</v>
      </c>
      <c r="C4177" s="2">
        <f t="shared" si="65"/>
        <v>-4.2395400013051599E-3</v>
      </c>
    </row>
    <row r="4178" spans="1:3" x14ac:dyDescent="0.2">
      <c r="A4178" s="1">
        <v>40065</v>
      </c>
      <c r="B4178">
        <v>4.7275</v>
      </c>
      <c r="C4178" s="2">
        <f t="shared" si="65"/>
        <v>1.6529301951210506E-2</v>
      </c>
    </row>
    <row r="4179" spans="1:3" x14ac:dyDescent="0.2">
      <c r="A4179" s="1">
        <v>40064</v>
      </c>
      <c r="B4179">
        <v>4.6500000000000004</v>
      </c>
      <c r="C4179" s="2">
        <f t="shared" si="65"/>
        <v>2.1528533611010927E-3</v>
      </c>
    </row>
    <row r="4180" spans="1:3" x14ac:dyDescent="0.2">
      <c r="A4180" s="1">
        <v>40063</v>
      </c>
      <c r="B4180">
        <v>4.6399999999999997</v>
      </c>
      <c r="C4180" s="2">
        <f t="shared" si="65"/>
        <v>5.3893830461017951E-4</v>
      </c>
    </row>
    <row r="4181" spans="1:3" x14ac:dyDescent="0.2">
      <c r="A4181" s="1">
        <v>40060</v>
      </c>
      <c r="B4181">
        <v>4.6375000000000002</v>
      </c>
      <c r="C4181" s="2">
        <f t="shared" si="65"/>
        <v>4.321994842295551E-3</v>
      </c>
    </row>
    <row r="4182" spans="1:3" x14ac:dyDescent="0.2">
      <c r="A4182" s="1">
        <v>40059</v>
      </c>
      <c r="B4182">
        <v>4.6174999999999997</v>
      </c>
      <c r="C4182" s="2">
        <f t="shared" si="65"/>
        <v>1.5275801681117657E-2</v>
      </c>
    </row>
    <row r="4183" spans="1:3" x14ac:dyDescent="0.2">
      <c r="A4183" s="1">
        <v>40058</v>
      </c>
      <c r="B4183">
        <v>4.5475000000000003</v>
      </c>
      <c r="C4183" s="2">
        <f t="shared" si="65"/>
        <v>-9.3023926623134485E-3</v>
      </c>
    </row>
    <row r="4184" spans="1:3" x14ac:dyDescent="0.2">
      <c r="A4184" s="1">
        <v>40057</v>
      </c>
      <c r="B4184">
        <v>4.59</v>
      </c>
      <c r="C4184" s="2">
        <f t="shared" si="65"/>
        <v>-2.4745748964889257E-2</v>
      </c>
    </row>
    <row r="4185" spans="1:3" x14ac:dyDescent="0.2">
      <c r="A4185" s="1">
        <v>40056</v>
      </c>
      <c r="B4185">
        <v>4.7050000000000001</v>
      </c>
      <c r="C4185" s="2">
        <f t="shared" si="65"/>
        <v>-3.1830265601209893E-3</v>
      </c>
    </row>
    <row r="4186" spans="1:3" x14ac:dyDescent="0.2">
      <c r="A4186" s="1">
        <v>40053</v>
      </c>
      <c r="B4186">
        <v>4.72</v>
      </c>
      <c r="C4186" s="2">
        <f t="shared" si="65"/>
        <v>-1.4721611825359963E-2</v>
      </c>
    </row>
    <row r="4187" spans="1:3" x14ac:dyDescent="0.2">
      <c r="A4187" s="1">
        <v>40052</v>
      </c>
      <c r="B4187">
        <v>4.79</v>
      </c>
      <c r="C4187" s="2">
        <f t="shared" si="65"/>
        <v>1.0443865179062505E-3</v>
      </c>
    </row>
    <row r="4188" spans="1:3" x14ac:dyDescent="0.2">
      <c r="A4188" s="1">
        <v>40051</v>
      </c>
      <c r="B4188">
        <v>4.7850000000000001</v>
      </c>
      <c r="C4188" s="2">
        <f t="shared" si="65"/>
        <v>1.4207026644349276E-2</v>
      </c>
    </row>
    <row r="4189" spans="1:3" x14ac:dyDescent="0.2">
      <c r="A4189" s="1">
        <v>40050</v>
      </c>
      <c r="B4189">
        <v>4.7175000000000002</v>
      </c>
      <c r="C4189" s="2">
        <f t="shared" si="65"/>
        <v>-2.6462042432734562E-3</v>
      </c>
    </row>
    <row r="4190" spans="1:3" x14ac:dyDescent="0.2">
      <c r="A4190" s="1">
        <v>40049</v>
      </c>
      <c r="B4190">
        <v>4.7300000000000004</v>
      </c>
      <c r="C4190" s="2">
        <f t="shared" si="65"/>
        <v>1.5868821103141985E-3</v>
      </c>
    </row>
    <row r="4191" spans="1:3" x14ac:dyDescent="0.2">
      <c r="A4191" s="1">
        <v>40046</v>
      </c>
      <c r="B4191">
        <v>4.7225000000000001</v>
      </c>
      <c r="C4191" s="2">
        <f t="shared" si="65"/>
        <v>5.2952079606358084E-4</v>
      </c>
    </row>
    <row r="4192" spans="1:3" x14ac:dyDescent="0.2">
      <c r="A4192" s="1">
        <v>40045</v>
      </c>
      <c r="B4192">
        <v>4.72</v>
      </c>
      <c r="C4192" s="2">
        <f t="shared" si="65"/>
        <v>3.1830265601208913E-3</v>
      </c>
    </row>
    <row r="4193" spans="1:3" x14ac:dyDescent="0.2">
      <c r="A4193" s="1">
        <v>40044</v>
      </c>
      <c r="B4193">
        <v>4.7050000000000001</v>
      </c>
      <c r="C4193" s="2">
        <f t="shared" si="65"/>
        <v>1.0632643213300838E-3</v>
      </c>
    </row>
    <row r="4194" spans="1:3" x14ac:dyDescent="0.2">
      <c r="A4194" s="1">
        <v>40043</v>
      </c>
      <c r="B4194">
        <v>4.7</v>
      </c>
      <c r="C4194" s="2">
        <f t="shared" si="65"/>
        <v>1.8250640761197433E-2</v>
      </c>
    </row>
    <row r="4195" spans="1:3" x14ac:dyDescent="0.2">
      <c r="A4195" s="1">
        <v>40042</v>
      </c>
      <c r="B4195">
        <v>4.6150000000000002</v>
      </c>
      <c r="C4195" s="2">
        <f t="shared" si="65"/>
        <v>-2.7779564107075706E-2</v>
      </c>
    </row>
    <row r="4196" spans="1:3" x14ac:dyDescent="0.2">
      <c r="A4196" s="1">
        <v>40039</v>
      </c>
      <c r="B4196">
        <v>4.7450000000000001</v>
      </c>
      <c r="C4196" s="2">
        <f t="shared" si="65"/>
        <v>7.4035240335649155E-3</v>
      </c>
    </row>
    <row r="4197" spans="1:3" x14ac:dyDescent="0.2">
      <c r="A4197" s="1">
        <v>40038</v>
      </c>
      <c r="B4197">
        <v>4.71</v>
      </c>
      <c r="C4197" s="2">
        <f t="shared" si="65"/>
        <v>-1.0610080570943841E-3</v>
      </c>
    </row>
    <row r="4198" spans="1:3" x14ac:dyDescent="0.2">
      <c r="A4198" s="1">
        <v>40037</v>
      </c>
      <c r="B4198">
        <v>4.7149999999999999</v>
      </c>
      <c r="C4198" s="2">
        <f t="shared" si="65"/>
        <v>1.3344206551152132E-2</v>
      </c>
    </row>
    <row r="4199" spans="1:3" x14ac:dyDescent="0.2">
      <c r="A4199" s="1">
        <v>40036</v>
      </c>
      <c r="B4199">
        <v>4.6524999999999999</v>
      </c>
      <c r="C4199" s="2">
        <f t="shared" si="65"/>
        <v>-1.7577017103772925E-2</v>
      </c>
    </row>
    <row r="4200" spans="1:3" x14ac:dyDescent="0.2">
      <c r="A4200" s="1">
        <v>40035</v>
      </c>
      <c r="B4200">
        <v>4.7350000000000003</v>
      </c>
      <c r="C4200" s="2">
        <f t="shared" si="65"/>
        <v>-1.5826961889904873E-3</v>
      </c>
    </row>
    <row r="4201" spans="1:3" x14ac:dyDescent="0.2">
      <c r="A4201" s="1">
        <v>40032</v>
      </c>
      <c r="B4201">
        <v>4.7424999999999997</v>
      </c>
      <c r="C4201" s="2">
        <f t="shared" si="65"/>
        <v>8.4701406339838387E-3</v>
      </c>
    </row>
    <row r="4202" spans="1:3" x14ac:dyDescent="0.2">
      <c r="A4202" s="1">
        <v>40031</v>
      </c>
      <c r="B4202">
        <v>4.7024999999999997</v>
      </c>
      <c r="C4202" s="2">
        <f t="shared" si="65"/>
        <v>3.7283665026628604E-3</v>
      </c>
    </row>
    <row r="4203" spans="1:3" x14ac:dyDescent="0.2">
      <c r="A4203" s="1">
        <v>40030</v>
      </c>
      <c r="B4203">
        <v>4.6849999999999996</v>
      </c>
      <c r="C4203" s="2">
        <f t="shared" si="65"/>
        <v>-3.7283665026628843E-3</v>
      </c>
    </row>
    <row r="4204" spans="1:3" x14ac:dyDescent="0.2">
      <c r="A4204" s="1">
        <v>40029</v>
      </c>
      <c r="B4204">
        <v>4.7024999999999997</v>
      </c>
      <c r="C4204" s="2">
        <f t="shared" si="65"/>
        <v>3.194890896519067E-3</v>
      </c>
    </row>
    <row r="4205" spans="1:3" x14ac:dyDescent="0.2">
      <c r="A4205" s="1">
        <v>40028</v>
      </c>
      <c r="B4205">
        <v>4.6875</v>
      </c>
      <c r="C4205" s="2">
        <f t="shared" si="65"/>
        <v>-5.33191161658835E-4</v>
      </c>
    </row>
    <row r="4206" spans="1:3" x14ac:dyDescent="0.2">
      <c r="A4206" s="1">
        <v>40025</v>
      </c>
      <c r="B4206">
        <v>4.6900000000000004</v>
      </c>
      <c r="C4206" s="2">
        <f t="shared" si="65"/>
        <v>8.5653628589230004E-3</v>
      </c>
    </row>
    <row r="4207" spans="1:3" x14ac:dyDescent="0.2">
      <c r="A4207" s="1">
        <v>40024</v>
      </c>
      <c r="B4207">
        <v>4.6500000000000004</v>
      </c>
      <c r="C4207" s="2">
        <f t="shared" si="65"/>
        <v>1.7354014693151572E-2</v>
      </c>
    </row>
    <row r="4208" spans="1:3" x14ac:dyDescent="0.2">
      <c r="A4208" s="1">
        <v>40023</v>
      </c>
      <c r="B4208">
        <v>4.57</v>
      </c>
      <c r="C4208" s="2">
        <f t="shared" si="65"/>
        <v>-1.2503560559402254E-2</v>
      </c>
    </row>
    <row r="4209" spans="1:3" x14ac:dyDescent="0.2">
      <c r="A4209" s="1">
        <v>40022</v>
      </c>
      <c r="B4209">
        <v>4.6275000000000004</v>
      </c>
      <c r="C4209" s="2">
        <f t="shared" si="65"/>
        <v>-4.3126751479464417E-3</v>
      </c>
    </row>
    <row r="4210" spans="1:3" x14ac:dyDescent="0.2">
      <c r="A4210" s="1">
        <v>40021</v>
      </c>
      <c r="B4210">
        <v>4.6475</v>
      </c>
      <c r="C4210" s="2">
        <f t="shared" si="65"/>
        <v>1.4084739881739023E-2</v>
      </c>
    </row>
    <row r="4211" spans="1:3" x14ac:dyDescent="0.2">
      <c r="A4211" s="1">
        <v>40018</v>
      </c>
      <c r="B4211">
        <v>4.5824999999999996</v>
      </c>
      <c r="C4211" s="2">
        <f t="shared" si="65"/>
        <v>-1.4622518867542039E-2</v>
      </c>
    </row>
    <row r="4212" spans="1:3" x14ac:dyDescent="0.2">
      <c r="A4212" s="1">
        <v>40017</v>
      </c>
      <c r="B4212">
        <v>4.6500000000000004</v>
      </c>
      <c r="C4212" s="2">
        <f t="shared" si="65"/>
        <v>1.0810916104215676E-2</v>
      </c>
    </row>
    <row r="4213" spans="1:3" x14ac:dyDescent="0.2">
      <c r="A4213" s="1">
        <v>40016</v>
      </c>
      <c r="B4213">
        <v>4.5999999999999996</v>
      </c>
      <c r="C4213" s="2">
        <f t="shared" si="65"/>
        <v>0</v>
      </c>
    </row>
    <row r="4214" spans="1:3" x14ac:dyDescent="0.2">
      <c r="A4214" s="1">
        <v>40015</v>
      </c>
      <c r="B4214">
        <v>4.5999999999999996</v>
      </c>
      <c r="C4214" s="2">
        <f t="shared" si="65"/>
        <v>2.1762794225954484E-3</v>
      </c>
    </row>
    <row r="4215" spans="1:3" x14ac:dyDescent="0.2">
      <c r="A4215" s="1">
        <v>40014</v>
      </c>
      <c r="B4215">
        <v>4.59</v>
      </c>
      <c r="C4215" s="2">
        <f t="shared" si="65"/>
        <v>-1.4061886656576646E-2</v>
      </c>
    </row>
    <row r="4216" spans="1:3" x14ac:dyDescent="0.2">
      <c r="A4216" s="1">
        <v>40011</v>
      </c>
      <c r="B4216">
        <v>4.6550000000000002</v>
      </c>
      <c r="C4216" s="2">
        <f t="shared" si="65"/>
        <v>9.1719013623848024E-3</v>
      </c>
    </row>
    <row r="4217" spans="1:3" x14ac:dyDescent="0.2">
      <c r="A4217" s="1">
        <v>40010</v>
      </c>
      <c r="B4217">
        <v>4.6124999999999998</v>
      </c>
      <c r="C4217" s="2">
        <f t="shared" si="65"/>
        <v>2.7137058715963258E-3</v>
      </c>
    </row>
    <row r="4218" spans="1:3" x14ac:dyDescent="0.2">
      <c r="A4218" s="1">
        <v>40009</v>
      </c>
      <c r="B4218">
        <v>4.5999999999999996</v>
      </c>
      <c r="C4218" s="2">
        <f t="shared" si="65"/>
        <v>1.8651116626100514E-2</v>
      </c>
    </row>
    <row r="4219" spans="1:3" x14ac:dyDescent="0.2">
      <c r="A4219" s="1">
        <v>40008</v>
      </c>
      <c r="B4219">
        <v>4.5149999999999997</v>
      </c>
      <c r="C4219" s="2">
        <f t="shared" si="65"/>
        <v>1.6625107736132356E-3</v>
      </c>
    </row>
    <row r="4220" spans="1:3" x14ac:dyDescent="0.2">
      <c r="A4220" s="1">
        <v>40007</v>
      </c>
      <c r="B4220">
        <v>4.5075000000000003</v>
      </c>
      <c r="C4220" s="2">
        <f t="shared" si="65"/>
        <v>1.5651521293801124E-2</v>
      </c>
    </row>
    <row r="4221" spans="1:3" x14ac:dyDescent="0.2">
      <c r="A4221" s="1">
        <v>40004</v>
      </c>
      <c r="B4221">
        <v>4.4375</v>
      </c>
      <c r="C4221" s="2">
        <f t="shared" si="65"/>
        <v>-1.7314032067414543E-2</v>
      </c>
    </row>
    <row r="4222" spans="1:3" x14ac:dyDescent="0.2">
      <c r="A4222" s="1">
        <v>40003</v>
      </c>
      <c r="B4222">
        <v>4.5149999999999997</v>
      </c>
      <c r="C4222" s="2">
        <f t="shared" si="65"/>
        <v>1.6750810424815132E-2</v>
      </c>
    </row>
    <row r="4223" spans="1:3" x14ac:dyDescent="0.2">
      <c r="A4223" s="1">
        <v>40002</v>
      </c>
      <c r="B4223">
        <v>4.4400000000000004</v>
      </c>
      <c r="C4223" s="2">
        <f t="shared" si="65"/>
        <v>2.2547923870893044E-3</v>
      </c>
    </row>
    <row r="4224" spans="1:3" x14ac:dyDescent="0.2">
      <c r="A4224" s="1">
        <v>40001</v>
      </c>
      <c r="B4224">
        <v>4.43</v>
      </c>
      <c r="C4224" s="2">
        <f t="shared" si="65"/>
        <v>4.5248945982895028E-3</v>
      </c>
    </row>
    <row r="4225" spans="1:3" x14ac:dyDescent="0.2">
      <c r="A4225" s="1">
        <v>40000</v>
      </c>
      <c r="B4225">
        <v>4.41</v>
      </c>
      <c r="C4225" s="2">
        <f t="shared" si="65"/>
        <v>-1.2954278592691404E-2</v>
      </c>
    </row>
    <row r="4226" spans="1:3" x14ac:dyDescent="0.2">
      <c r="A4226" s="1">
        <v>39997</v>
      </c>
      <c r="B4226">
        <v>4.4675000000000002</v>
      </c>
      <c r="C4226" s="2">
        <f t="shared" si="65"/>
        <v>-3.9095274593134218E-3</v>
      </c>
    </row>
    <row r="4227" spans="1:3" x14ac:dyDescent="0.2">
      <c r="A4227" s="1">
        <v>39996</v>
      </c>
      <c r="B4227">
        <v>4.4850000000000003</v>
      </c>
      <c r="C4227" s="2">
        <f t="shared" ref="C4227:C4290" si="66">+LN(B4227/B4228)</f>
        <v>1.4598799421152851E-2</v>
      </c>
    </row>
    <row r="4228" spans="1:3" x14ac:dyDescent="0.2">
      <c r="A4228" s="1">
        <v>39995</v>
      </c>
      <c r="B4228">
        <v>4.42</v>
      </c>
      <c r="C4228" s="2">
        <f t="shared" si="66"/>
        <v>3.3994367014637886E-3</v>
      </c>
    </row>
    <row r="4229" spans="1:3" x14ac:dyDescent="0.2">
      <c r="A4229" s="1">
        <v>39994</v>
      </c>
      <c r="B4229">
        <v>4.4050000000000002</v>
      </c>
      <c r="C4229" s="2">
        <f t="shared" si="66"/>
        <v>2.9371532603931463E-2</v>
      </c>
    </row>
    <row r="4230" spans="1:3" x14ac:dyDescent="0.2">
      <c r="A4230" s="1">
        <v>39993</v>
      </c>
      <c r="B4230">
        <v>4.2774999999999999</v>
      </c>
      <c r="C4230" s="2">
        <f t="shared" si="66"/>
        <v>-9.307804254485132E-3</v>
      </c>
    </row>
    <row r="4231" spans="1:3" x14ac:dyDescent="0.2">
      <c r="A4231" s="1">
        <v>39990</v>
      </c>
      <c r="B4231">
        <v>4.3174999999999999</v>
      </c>
      <c r="C4231" s="2">
        <f t="shared" si="66"/>
        <v>-1.4372193349658112E-2</v>
      </c>
    </row>
    <row r="4232" spans="1:3" x14ac:dyDescent="0.2">
      <c r="A4232" s="1">
        <v>39989</v>
      </c>
      <c r="B4232">
        <v>4.38</v>
      </c>
      <c r="C4232" s="2">
        <f t="shared" si="66"/>
        <v>1.2058716320127614E-2</v>
      </c>
    </row>
    <row r="4233" spans="1:3" x14ac:dyDescent="0.2">
      <c r="A4233" s="1">
        <v>39988</v>
      </c>
      <c r="B4233">
        <v>4.3274999999999997</v>
      </c>
      <c r="C4233" s="2">
        <f t="shared" si="66"/>
        <v>-6.9084903438116733E-3</v>
      </c>
    </row>
    <row r="4234" spans="1:3" x14ac:dyDescent="0.2">
      <c r="A4234" s="1">
        <v>39987</v>
      </c>
      <c r="B4234">
        <v>4.3574999999999999</v>
      </c>
      <c r="C4234" s="2">
        <f t="shared" si="66"/>
        <v>-2.1005597766109951E-2</v>
      </c>
    </row>
    <row r="4235" spans="1:3" x14ac:dyDescent="0.2">
      <c r="A4235" s="1">
        <v>39986</v>
      </c>
      <c r="B4235">
        <v>4.45</v>
      </c>
      <c r="C4235" s="2">
        <f t="shared" si="66"/>
        <v>-1.6839745770094222E-3</v>
      </c>
    </row>
    <row r="4236" spans="1:3" x14ac:dyDescent="0.2">
      <c r="A4236" s="1">
        <v>39983</v>
      </c>
      <c r="B4236">
        <v>4.4574999999999996</v>
      </c>
      <c r="C4236" s="2">
        <f t="shared" si="66"/>
        <v>-2.8003378703190854E-3</v>
      </c>
    </row>
    <row r="4237" spans="1:3" x14ac:dyDescent="0.2">
      <c r="A4237" s="1">
        <v>39982</v>
      </c>
      <c r="B4237">
        <v>4.47</v>
      </c>
      <c r="C4237" s="2">
        <f t="shared" si="66"/>
        <v>-6.688988150796652E-3</v>
      </c>
    </row>
    <row r="4238" spans="1:3" x14ac:dyDescent="0.2">
      <c r="A4238" s="1">
        <v>39981</v>
      </c>
      <c r="B4238">
        <v>4.5</v>
      </c>
      <c r="C4238" s="2">
        <f t="shared" si="66"/>
        <v>-6.0925139991573054E-3</v>
      </c>
    </row>
    <row r="4239" spans="1:3" x14ac:dyDescent="0.2">
      <c r="A4239" s="1">
        <v>39980</v>
      </c>
      <c r="B4239">
        <v>4.5274999999999999</v>
      </c>
      <c r="C4239" s="2">
        <f t="shared" si="66"/>
        <v>1.8952629728762039E-2</v>
      </c>
    </row>
    <row r="4240" spans="1:3" x14ac:dyDescent="0.2">
      <c r="A4240" s="1">
        <v>39979</v>
      </c>
      <c r="B4240">
        <v>4.4424999999999999</v>
      </c>
      <c r="C4240" s="2">
        <f t="shared" si="66"/>
        <v>-9.5212144640901622E-3</v>
      </c>
    </row>
    <row r="4241" spans="1:3" x14ac:dyDescent="0.2">
      <c r="A4241" s="1">
        <v>39976</v>
      </c>
      <c r="B4241">
        <v>4.4850000000000003</v>
      </c>
      <c r="C4241" s="2">
        <f t="shared" si="66"/>
        <v>-1.3289232118682652E-2</v>
      </c>
    </row>
    <row r="4242" spans="1:3" x14ac:dyDescent="0.2">
      <c r="A4242" s="1">
        <v>39975</v>
      </c>
      <c r="B4242">
        <v>4.5449999999999999</v>
      </c>
      <c r="C4242" s="2">
        <f t="shared" si="66"/>
        <v>2.3936572827907985E-2</v>
      </c>
    </row>
    <row r="4243" spans="1:3" x14ac:dyDescent="0.2">
      <c r="A4243" s="1">
        <v>39974</v>
      </c>
      <c r="B4243">
        <v>4.4375</v>
      </c>
      <c r="C4243" s="2">
        <f t="shared" si="66"/>
        <v>-2.6683072769146863E-2</v>
      </c>
    </row>
    <row r="4244" spans="1:3" x14ac:dyDescent="0.2">
      <c r="A4244" s="1">
        <v>39973</v>
      </c>
      <c r="B4244">
        <v>4.5575000000000001</v>
      </c>
      <c r="C4244" s="2">
        <f t="shared" si="66"/>
        <v>-1.7940138667482779E-2</v>
      </c>
    </row>
    <row r="4245" spans="1:3" x14ac:dyDescent="0.2">
      <c r="A4245" s="1">
        <v>39972</v>
      </c>
      <c r="B4245">
        <v>4.6399999999999997</v>
      </c>
      <c r="C4245" s="2">
        <f t="shared" si="66"/>
        <v>-2.6903432961049353E-3</v>
      </c>
    </row>
    <row r="4246" spans="1:3" x14ac:dyDescent="0.2">
      <c r="A4246" s="1">
        <v>39969</v>
      </c>
      <c r="B4246">
        <v>4.6524999999999999</v>
      </c>
      <c r="C4246" s="2">
        <f t="shared" si="66"/>
        <v>-3.7543621465372014E-3</v>
      </c>
    </row>
    <row r="4247" spans="1:3" x14ac:dyDescent="0.2">
      <c r="A4247" s="1">
        <v>39968</v>
      </c>
      <c r="B4247">
        <v>4.67</v>
      </c>
      <c r="C4247" s="2">
        <f t="shared" si="66"/>
        <v>-1.3822654957235744E-2</v>
      </c>
    </row>
    <row r="4248" spans="1:3" x14ac:dyDescent="0.2">
      <c r="A4248" s="1">
        <v>39967</v>
      </c>
      <c r="B4248">
        <v>4.7350000000000003</v>
      </c>
      <c r="C4248" s="2">
        <f t="shared" si="66"/>
        <v>9.0162371595147572E-3</v>
      </c>
    </row>
    <row r="4249" spans="1:3" x14ac:dyDescent="0.2">
      <c r="A4249" s="1">
        <v>39966</v>
      </c>
      <c r="B4249">
        <v>4.6924999999999999</v>
      </c>
      <c r="C4249" s="2">
        <f t="shared" si="66"/>
        <v>-1.0598933348505403E-2</v>
      </c>
    </row>
    <row r="4250" spans="1:3" x14ac:dyDescent="0.2">
      <c r="A4250" s="1">
        <v>39965</v>
      </c>
      <c r="B4250">
        <v>4.7424999999999997</v>
      </c>
      <c r="C4250" s="2">
        <f t="shared" si="66"/>
        <v>5.8155067416112817E-3</v>
      </c>
    </row>
    <row r="4251" spans="1:3" x14ac:dyDescent="0.2">
      <c r="A4251" s="1">
        <v>39962</v>
      </c>
      <c r="B4251">
        <v>4.7149999999999999</v>
      </c>
      <c r="C4251" s="2">
        <f t="shared" si="66"/>
        <v>-1.0548621020744556E-2</v>
      </c>
    </row>
    <row r="4252" spans="1:3" x14ac:dyDescent="0.2">
      <c r="A4252" s="1">
        <v>39961</v>
      </c>
      <c r="B4252">
        <v>4.7649999999999997</v>
      </c>
      <c r="C4252" s="2">
        <f t="shared" si="66"/>
        <v>-3.201099339805142E-2</v>
      </c>
    </row>
    <row r="4253" spans="1:3" x14ac:dyDescent="0.2">
      <c r="A4253" s="1">
        <v>39960</v>
      </c>
      <c r="B4253">
        <v>4.92</v>
      </c>
      <c r="C4253" s="2">
        <f t="shared" si="66"/>
        <v>6.1162270174360536E-3</v>
      </c>
    </row>
    <row r="4254" spans="1:3" x14ac:dyDescent="0.2">
      <c r="A4254" s="1">
        <v>39959</v>
      </c>
      <c r="B4254">
        <v>4.8899999999999997</v>
      </c>
      <c r="C4254" s="2">
        <f t="shared" si="66"/>
        <v>3.5851510872017488E-3</v>
      </c>
    </row>
    <row r="4255" spans="1:3" x14ac:dyDescent="0.2">
      <c r="A4255" s="1">
        <v>39958</v>
      </c>
      <c r="B4255">
        <v>4.8724999999999996</v>
      </c>
      <c r="C4255" s="2">
        <f t="shared" si="66"/>
        <v>1.3429953918781002E-2</v>
      </c>
    </row>
    <row r="4256" spans="1:3" x14ac:dyDescent="0.2">
      <c r="A4256" s="1">
        <v>39955</v>
      </c>
      <c r="B4256">
        <v>4.8075000000000001</v>
      </c>
      <c r="C4256" s="2">
        <f t="shared" si="66"/>
        <v>-1.0861239431604703E-2</v>
      </c>
    </row>
    <row r="4257" spans="1:3" x14ac:dyDescent="0.2">
      <c r="A4257" s="1">
        <v>39954</v>
      </c>
      <c r="B4257">
        <v>4.8600000000000003</v>
      </c>
      <c r="C4257" s="2">
        <f t="shared" si="66"/>
        <v>3.6073216133884435E-3</v>
      </c>
    </row>
    <row r="4258" spans="1:3" x14ac:dyDescent="0.2">
      <c r="A4258" s="1">
        <v>39953</v>
      </c>
      <c r="B4258">
        <v>4.8425000000000002</v>
      </c>
      <c r="C4258" s="2">
        <f t="shared" si="66"/>
        <v>8.8151983851688064E-3</v>
      </c>
    </row>
    <row r="4259" spans="1:3" x14ac:dyDescent="0.2">
      <c r="A4259" s="1">
        <v>39952</v>
      </c>
      <c r="B4259">
        <v>4.8</v>
      </c>
      <c r="C4259" s="2">
        <f t="shared" si="66"/>
        <v>-1.3964540350372447E-2</v>
      </c>
    </row>
    <row r="4260" spans="1:3" x14ac:dyDescent="0.2">
      <c r="A4260" s="1">
        <v>39951</v>
      </c>
      <c r="B4260">
        <v>4.8674999999999997</v>
      </c>
      <c r="C4260" s="2">
        <f t="shared" si="66"/>
        <v>4.3565010126663174E-2</v>
      </c>
    </row>
    <row r="4261" spans="1:3" x14ac:dyDescent="0.2">
      <c r="A4261" s="1">
        <v>39948</v>
      </c>
      <c r="B4261">
        <v>4.66</v>
      </c>
      <c r="C4261" s="2">
        <f t="shared" si="66"/>
        <v>9.70358018273898E-3</v>
      </c>
    </row>
    <row r="4262" spans="1:3" x14ac:dyDescent="0.2">
      <c r="A4262" s="1">
        <v>39947</v>
      </c>
      <c r="B4262">
        <v>4.6150000000000002</v>
      </c>
      <c r="C4262" s="2">
        <f t="shared" si="66"/>
        <v>2.9688821527921717E-2</v>
      </c>
    </row>
    <row r="4263" spans="1:3" x14ac:dyDescent="0.2">
      <c r="A4263" s="1">
        <v>39946</v>
      </c>
      <c r="B4263">
        <v>4.4800000000000004</v>
      </c>
      <c r="C4263" s="2">
        <f t="shared" si="66"/>
        <v>5.595985504121246E-3</v>
      </c>
    </row>
    <row r="4264" spans="1:3" x14ac:dyDescent="0.2">
      <c r="A4264" s="1">
        <v>39945</v>
      </c>
      <c r="B4264">
        <v>4.4550000000000001</v>
      </c>
      <c r="C4264" s="2">
        <f t="shared" si="66"/>
        <v>-2.8019071286734796E-3</v>
      </c>
    </row>
    <row r="4265" spans="1:3" x14ac:dyDescent="0.2">
      <c r="A4265" s="1">
        <v>39944</v>
      </c>
      <c r="B4265">
        <v>4.4675000000000002</v>
      </c>
      <c r="C4265" s="2">
        <f t="shared" si="66"/>
        <v>-3.9095274593134218E-3</v>
      </c>
    </row>
    <row r="4266" spans="1:3" x14ac:dyDescent="0.2">
      <c r="A4266" s="1">
        <v>39941</v>
      </c>
      <c r="B4266">
        <v>4.4850000000000003</v>
      </c>
      <c r="C4266" s="2">
        <f t="shared" si="66"/>
        <v>8.9586265448914921E-3</v>
      </c>
    </row>
    <row r="4267" spans="1:3" x14ac:dyDescent="0.2">
      <c r="A4267" s="1">
        <v>39940</v>
      </c>
      <c r="B4267">
        <v>4.4450000000000003</v>
      </c>
      <c r="C4267" s="2">
        <f t="shared" si="66"/>
        <v>1.0175328041652446E-2</v>
      </c>
    </row>
    <row r="4268" spans="1:3" x14ac:dyDescent="0.2">
      <c r="A4268" s="1">
        <v>39939</v>
      </c>
      <c r="B4268">
        <v>4.4000000000000004</v>
      </c>
      <c r="C4268" s="2">
        <f t="shared" si="66"/>
        <v>1.6614532855988438E-2</v>
      </c>
    </row>
    <row r="4269" spans="1:3" x14ac:dyDescent="0.2">
      <c r="A4269" s="1">
        <v>39938</v>
      </c>
      <c r="B4269">
        <v>4.3274999999999997</v>
      </c>
      <c r="C4269" s="2">
        <f t="shared" si="66"/>
        <v>-8.0552794603182907E-3</v>
      </c>
    </row>
    <row r="4270" spans="1:3" x14ac:dyDescent="0.2">
      <c r="A4270" s="1">
        <v>39937</v>
      </c>
      <c r="B4270">
        <v>4.3624999999999998</v>
      </c>
      <c r="C4270" s="2">
        <f t="shared" si="66"/>
        <v>-3.4324976493244363E-3</v>
      </c>
    </row>
    <row r="4271" spans="1:3" x14ac:dyDescent="0.2">
      <c r="A4271" s="1">
        <v>39933</v>
      </c>
      <c r="B4271">
        <v>4.3775000000000004</v>
      </c>
      <c r="C4271" s="2">
        <f t="shared" si="66"/>
        <v>1.2065644794027351E-2</v>
      </c>
    </row>
    <row r="4272" spans="1:3" x14ac:dyDescent="0.2">
      <c r="A4272" s="1">
        <v>39932</v>
      </c>
      <c r="B4272">
        <v>4.3250000000000002</v>
      </c>
      <c r="C4272" s="2">
        <f t="shared" si="66"/>
        <v>1.2798313143309582E-2</v>
      </c>
    </row>
    <row r="4273" spans="1:3" x14ac:dyDescent="0.2">
      <c r="A4273" s="1">
        <v>39931</v>
      </c>
      <c r="B4273">
        <v>4.2699999999999996</v>
      </c>
      <c r="C4273" s="2">
        <f t="shared" si="66"/>
        <v>-2.3391823531723776E-3</v>
      </c>
    </row>
    <row r="4274" spans="1:3" x14ac:dyDescent="0.2">
      <c r="A4274" s="1">
        <v>39930</v>
      </c>
      <c r="B4274">
        <v>4.28</v>
      </c>
      <c r="C4274" s="2">
        <f t="shared" si="66"/>
        <v>-1.1614532420693002E-2</v>
      </c>
    </row>
    <row r="4275" spans="1:3" x14ac:dyDescent="0.2">
      <c r="A4275" s="1">
        <v>39927</v>
      </c>
      <c r="B4275">
        <v>4.33</v>
      </c>
      <c r="C4275" s="2">
        <f t="shared" si="66"/>
        <v>7.5340837395311382E-3</v>
      </c>
    </row>
    <row r="4276" spans="1:3" x14ac:dyDescent="0.2">
      <c r="A4276" s="1">
        <v>39926</v>
      </c>
      <c r="B4276">
        <v>4.2975000000000003</v>
      </c>
      <c r="C4276" s="2">
        <f t="shared" si="66"/>
        <v>1.5240623249713935E-2</v>
      </c>
    </row>
    <row r="4277" spans="1:3" x14ac:dyDescent="0.2">
      <c r="A4277" s="1">
        <v>39925</v>
      </c>
      <c r="B4277">
        <v>4.2324999999999999</v>
      </c>
      <c r="C4277" s="2">
        <f t="shared" si="66"/>
        <v>1.068893787396844E-2</v>
      </c>
    </row>
    <row r="4278" spans="1:3" x14ac:dyDescent="0.2">
      <c r="A4278" s="1">
        <v>39924</v>
      </c>
      <c r="B4278">
        <v>4.1875</v>
      </c>
      <c r="C4278" s="2">
        <f t="shared" si="66"/>
        <v>-4.7794643927930355E-2</v>
      </c>
    </row>
    <row r="4279" spans="1:3" x14ac:dyDescent="0.2">
      <c r="A4279" s="1">
        <v>39923</v>
      </c>
      <c r="B4279">
        <v>4.3925000000000001</v>
      </c>
      <c r="C4279" s="2">
        <f t="shared" si="66"/>
        <v>-1.8048995321621977E-2</v>
      </c>
    </row>
    <row r="4280" spans="1:3" x14ac:dyDescent="0.2">
      <c r="A4280" s="1">
        <v>39920</v>
      </c>
      <c r="B4280">
        <v>4.4725000000000001</v>
      </c>
      <c r="C4280" s="2">
        <f t="shared" si="66"/>
        <v>-6.1298603755368559E-3</v>
      </c>
    </row>
    <row r="4281" spans="1:3" x14ac:dyDescent="0.2">
      <c r="A4281" s="1">
        <v>39919</v>
      </c>
      <c r="B4281">
        <v>4.5</v>
      </c>
      <c r="C4281" s="2">
        <f t="shared" si="66"/>
        <v>7.808182447811709E-3</v>
      </c>
    </row>
    <row r="4282" spans="1:3" x14ac:dyDescent="0.2">
      <c r="A4282" s="1">
        <v>39918</v>
      </c>
      <c r="B4282">
        <v>4.4649999999999999</v>
      </c>
      <c r="C4282" s="2">
        <f t="shared" si="66"/>
        <v>3.3651181503135548E-3</v>
      </c>
    </row>
    <row r="4283" spans="1:3" x14ac:dyDescent="0.2">
      <c r="A4283" s="1">
        <v>39917</v>
      </c>
      <c r="B4283">
        <v>4.45</v>
      </c>
      <c r="C4283" s="2">
        <f t="shared" si="66"/>
        <v>7.8962621222255398E-3</v>
      </c>
    </row>
    <row r="4284" spans="1:3" x14ac:dyDescent="0.2">
      <c r="A4284" s="1">
        <v>39912</v>
      </c>
      <c r="B4284">
        <v>4.415</v>
      </c>
      <c r="C4284" s="2">
        <f t="shared" si="66"/>
        <v>1.0244824948424575E-2</v>
      </c>
    </row>
    <row r="4285" spans="1:3" x14ac:dyDescent="0.2">
      <c r="A4285" s="1">
        <v>39911</v>
      </c>
      <c r="B4285">
        <v>4.37</v>
      </c>
      <c r="C4285" s="2">
        <f t="shared" si="66"/>
        <v>1.6147986407982158E-2</v>
      </c>
    </row>
    <row r="4286" spans="1:3" x14ac:dyDescent="0.2">
      <c r="A4286" s="1">
        <v>39910</v>
      </c>
      <c r="B4286">
        <v>4.3</v>
      </c>
      <c r="C4286" s="2">
        <f t="shared" si="66"/>
        <v>8.1728417558743858E-3</v>
      </c>
    </row>
    <row r="4287" spans="1:3" x14ac:dyDescent="0.2">
      <c r="A4287" s="1">
        <v>39909</v>
      </c>
      <c r="B4287">
        <v>4.2649999999999997</v>
      </c>
      <c r="C4287" s="2">
        <f t="shared" si="66"/>
        <v>1.5953070974083688E-2</v>
      </c>
    </row>
    <row r="4288" spans="1:3" x14ac:dyDescent="0.2">
      <c r="A4288" s="1">
        <v>39906</v>
      </c>
      <c r="B4288">
        <v>4.1974999999999998</v>
      </c>
      <c r="C4288" s="2">
        <f t="shared" si="66"/>
        <v>1.4397369266377469E-2</v>
      </c>
    </row>
    <row r="4289" spans="1:3" x14ac:dyDescent="0.2">
      <c r="A4289" s="1">
        <v>39905</v>
      </c>
      <c r="B4289">
        <v>4.1375000000000002</v>
      </c>
      <c r="C4289" s="2">
        <f t="shared" si="66"/>
        <v>9.104766992919287E-3</v>
      </c>
    </row>
    <row r="4290" spans="1:3" x14ac:dyDescent="0.2">
      <c r="A4290" s="1">
        <v>39904</v>
      </c>
      <c r="B4290">
        <v>4.0999999999999996</v>
      </c>
      <c r="C4290" s="2">
        <f t="shared" si="66"/>
        <v>0</v>
      </c>
    </row>
    <row r="4291" spans="1:3" x14ac:dyDescent="0.2">
      <c r="A4291" s="1">
        <v>39903</v>
      </c>
      <c r="B4291">
        <v>4.0999999999999996</v>
      </c>
      <c r="C4291" s="2">
        <f t="shared" ref="C4291:C4341" si="67">+LN(B4291/B4292)</f>
        <v>2.9705154413915694E-2</v>
      </c>
    </row>
    <row r="4292" spans="1:3" x14ac:dyDescent="0.2">
      <c r="A4292" s="1">
        <v>39902</v>
      </c>
      <c r="B4292">
        <v>3.98</v>
      </c>
      <c r="C4292" s="2">
        <f t="shared" si="67"/>
        <v>-2.7874210966806694E-2</v>
      </c>
    </row>
    <row r="4293" spans="1:3" x14ac:dyDescent="0.2">
      <c r="A4293" s="1">
        <v>39899</v>
      </c>
      <c r="B4293">
        <v>4.0925000000000002</v>
      </c>
      <c r="C4293" s="2">
        <f t="shared" si="67"/>
        <v>7.3574826072972024E-3</v>
      </c>
    </row>
    <row r="4294" spans="1:3" x14ac:dyDescent="0.2">
      <c r="A4294" s="1">
        <v>39898</v>
      </c>
      <c r="B4294">
        <v>4.0625</v>
      </c>
      <c r="C4294" s="2">
        <f t="shared" si="67"/>
        <v>-1.8897240181367115E-2</v>
      </c>
    </row>
    <row r="4295" spans="1:3" x14ac:dyDescent="0.2">
      <c r="A4295" s="1">
        <v>39897</v>
      </c>
      <c r="B4295">
        <v>4.1399999999999997</v>
      </c>
      <c r="C4295" s="2">
        <f t="shared" si="67"/>
        <v>4.4451762570833796E-2</v>
      </c>
    </row>
    <row r="4296" spans="1:3" x14ac:dyDescent="0.2">
      <c r="A4296" s="1">
        <v>39896</v>
      </c>
      <c r="B4296">
        <v>3.96</v>
      </c>
      <c r="C4296" s="2">
        <f t="shared" si="67"/>
        <v>-1.0050335853501451E-2</v>
      </c>
    </row>
    <row r="4297" spans="1:3" x14ac:dyDescent="0.2">
      <c r="A4297" s="1">
        <v>39895</v>
      </c>
      <c r="B4297">
        <v>4</v>
      </c>
      <c r="C4297" s="2">
        <f t="shared" si="67"/>
        <v>2.5031302181184748E-3</v>
      </c>
    </row>
    <row r="4298" spans="1:3" x14ac:dyDescent="0.2">
      <c r="A4298" s="1">
        <v>39892</v>
      </c>
      <c r="B4298">
        <v>3.99</v>
      </c>
      <c r="C4298" s="2">
        <f t="shared" si="67"/>
        <v>-6.2637020525832554E-4</v>
      </c>
    </row>
    <row r="4299" spans="1:3" x14ac:dyDescent="0.2">
      <c r="A4299" s="1">
        <v>39891</v>
      </c>
      <c r="B4299">
        <v>3.9925000000000002</v>
      </c>
      <c r="C4299" s="2">
        <f t="shared" si="67"/>
        <v>6.9117460202192237E-3</v>
      </c>
    </row>
    <row r="4300" spans="1:3" x14ac:dyDescent="0.2">
      <c r="A4300" s="1">
        <v>39890</v>
      </c>
      <c r="B4300">
        <v>3.9649999999999999</v>
      </c>
      <c r="C4300" s="2">
        <f t="shared" si="67"/>
        <v>-4.4039077152552763E-3</v>
      </c>
    </row>
    <row r="4301" spans="1:3" x14ac:dyDescent="0.2">
      <c r="A4301" s="1">
        <v>39889</v>
      </c>
      <c r="B4301">
        <v>3.9824999999999999</v>
      </c>
      <c r="C4301" s="2">
        <f t="shared" si="67"/>
        <v>1.1363758650315003E-2</v>
      </c>
    </row>
    <row r="4302" spans="1:3" x14ac:dyDescent="0.2">
      <c r="A4302" s="1">
        <v>39888</v>
      </c>
      <c r="B4302">
        <v>3.9375</v>
      </c>
      <c r="C4302" s="2">
        <f t="shared" si="67"/>
        <v>3.6861593304158204E-2</v>
      </c>
    </row>
    <row r="4303" spans="1:3" x14ac:dyDescent="0.2">
      <c r="A4303" s="1">
        <v>39885</v>
      </c>
      <c r="B4303">
        <v>3.7949999999999999</v>
      </c>
      <c r="C4303" s="2">
        <f t="shared" si="67"/>
        <v>-1.8277271191792056E-2</v>
      </c>
    </row>
    <row r="4304" spans="1:3" x14ac:dyDescent="0.2">
      <c r="A4304" s="1">
        <v>39884</v>
      </c>
      <c r="B4304">
        <v>3.8650000000000002</v>
      </c>
      <c r="C4304" s="2">
        <f t="shared" si="67"/>
        <v>9.0968788468306517E-3</v>
      </c>
    </row>
    <row r="4305" spans="1:3" x14ac:dyDescent="0.2">
      <c r="A4305" s="1">
        <v>39883</v>
      </c>
      <c r="B4305">
        <v>3.83</v>
      </c>
      <c r="C4305" s="2">
        <f t="shared" si="67"/>
        <v>-2.5138287955084625E-2</v>
      </c>
    </row>
    <row r="4306" spans="1:3" x14ac:dyDescent="0.2">
      <c r="A4306" s="1">
        <v>39882</v>
      </c>
      <c r="B4306">
        <v>3.9275000000000002</v>
      </c>
      <c r="C4306" s="2">
        <f t="shared" si="67"/>
        <v>2.5493958996004274E-3</v>
      </c>
    </row>
    <row r="4307" spans="1:3" x14ac:dyDescent="0.2">
      <c r="A4307" s="1">
        <v>39881</v>
      </c>
      <c r="B4307">
        <v>3.9175</v>
      </c>
      <c r="C4307" s="2">
        <f t="shared" si="67"/>
        <v>1.7380546948345964E-2</v>
      </c>
    </row>
    <row r="4308" spans="1:3" x14ac:dyDescent="0.2">
      <c r="A4308" s="1">
        <v>39878</v>
      </c>
      <c r="B4308">
        <v>3.85</v>
      </c>
      <c r="C4308" s="2">
        <f t="shared" si="67"/>
        <v>-3.069294639940625E-2</v>
      </c>
    </row>
    <row r="4309" spans="1:3" x14ac:dyDescent="0.2">
      <c r="A4309" s="1">
        <v>39877</v>
      </c>
      <c r="B4309">
        <v>3.97</v>
      </c>
      <c r="C4309" s="2">
        <f t="shared" si="67"/>
        <v>-2.9778875355611242E-2</v>
      </c>
    </row>
    <row r="4310" spans="1:3" x14ac:dyDescent="0.2">
      <c r="A4310" s="1">
        <v>39876</v>
      </c>
      <c r="B4310">
        <v>4.09</v>
      </c>
      <c r="C4310" s="2">
        <f t="shared" si="67"/>
        <v>1.4778594096118683E-2</v>
      </c>
    </row>
    <row r="4311" spans="1:3" x14ac:dyDescent="0.2">
      <c r="A4311" s="1">
        <v>39875</v>
      </c>
      <c r="B4311">
        <v>4.03</v>
      </c>
      <c r="C4311" s="2">
        <f t="shared" si="67"/>
        <v>2.7674722156220501E-2</v>
      </c>
    </row>
    <row r="4312" spans="1:3" x14ac:dyDescent="0.2">
      <c r="A4312" s="1">
        <v>39874</v>
      </c>
      <c r="B4312">
        <v>3.92</v>
      </c>
      <c r="C4312" s="2">
        <f t="shared" si="67"/>
        <v>-3.2625227316076609E-2</v>
      </c>
    </row>
    <row r="4313" spans="1:3" x14ac:dyDescent="0.2">
      <c r="A4313" s="1">
        <v>39871</v>
      </c>
      <c r="B4313">
        <v>4.05</v>
      </c>
      <c r="C4313" s="2">
        <f t="shared" si="67"/>
        <v>-3.5176458800721816E-2</v>
      </c>
    </row>
    <row r="4314" spans="1:3" x14ac:dyDescent="0.2">
      <c r="A4314" s="1">
        <v>39870</v>
      </c>
      <c r="B4314">
        <v>4.1950000000000003</v>
      </c>
      <c r="C4314" s="2">
        <f t="shared" si="67"/>
        <v>-1.3025643017155848E-2</v>
      </c>
    </row>
    <row r="4315" spans="1:3" x14ac:dyDescent="0.2">
      <c r="A4315" s="1">
        <v>39869</v>
      </c>
      <c r="B4315">
        <v>4.25</v>
      </c>
      <c r="C4315" s="2">
        <f t="shared" si="67"/>
        <v>9.4563352420354435E-3</v>
      </c>
    </row>
    <row r="4316" spans="1:3" x14ac:dyDescent="0.2">
      <c r="A4316" s="1">
        <v>39868</v>
      </c>
      <c r="B4316">
        <v>4.21</v>
      </c>
      <c r="C4316" s="2">
        <f t="shared" si="67"/>
        <v>2.3781224049674193E-3</v>
      </c>
    </row>
    <row r="4317" spans="1:3" x14ac:dyDescent="0.2">
      <c r="A4317" s="1">
        <v>39867</v>
      </c>
      <c r="B4317">
        <v>4.2</v>
      </c>
      <c r="C4317" s="2">
        <f t="shared" si="67"/>
        <v>0</v>
      </c>
    </row>
    <row r="4318" spans="1:3" x14ac:dyDescent="0.2">
      <c r="A4318" s="1">
        <v>39864</v>
      </c>
      <c r="B4318">
        <v>4.2</v>
      </c>
      <c r="C4318" s="2">
        <f t="shared" si="67"/>
        <v>-1.6529301951210471E-2</v>
      </c>
    </row>
    <row r="4319" spans="1:3" x14ac:dyDescent="0.2">
      <c r="A4319" s="1">
        <v>39863</v>
      </c>
      <c r="B4319">
        <v>4.2699999999999996</v>
      </c>
      <c r="C4319" s="2">
        <f t="shared" si="67"/>
        <v>2.5497971933970857E-2</v>
      </c>
    </row>
    <row r="4320" spans="1:3" x14ac:dyDescent="0.2">
      <c r="A4320" s="1">
        <v>39862</v>
      </c>
      <c r="B4320">
        <v>4.1624999999999996</v>
      </c>
      <c r="C4320" s="2">
        <f t="shared" si="67"/>
        <v>-6.5848786274843134E-3</v>
      </c>
    </row>
    <row r="4321" spans="1:3" x14ac:dyDescent="0.2">
      <c r="A4321" s="1">
        <v>39861</v>
      </c>
      <c r="B4321">
        <v>4.1900000000000004</v>
      </c>
      <c r="C4321" s="2">
        <f t="shared" si="67"/>
        <v>-1.7155108675588778E-2</v>
      </c>
    </row>
    <row r="4322" spans="1:3" x14ac:dyDescent="0.2">
      <c r="A4322" s="1">
        <v>39860</v>
      </c>
      <c r="B4322">
        <v>4.2625000000000002</v>
      </c>
      <c r="C4322" s="2">
        <f t="shared" si="67"/>
        <v>-6.4308903302904025E-3</v>
      </c>
    </row>
    <row r="4323" spans="1:3" x14ac:dyDescent="0.2">
      <c r="A4323" s="1">
        <v>39857</v>
      </c>
      <c r="B4323">
        <v>4.29</v>
      </c>
      <c r="C4323" s="2">
        <f t="shared" si="67"/>
        <v>1.1134014813681309E-2</v>
      </c>
    </row>
    <row r="4324" spans="1:3" x14ac:dyDescent="0.2">
      <c r="A4324" s="1">
        <v>39856</v>
      </c>
      <c r="B4324">
        <v>4.2424999999999997</v>
      </c>
      <c r="C4324" s="2">
        <f t="shared" si="67"/>
        <v>4.028197143341828E-2</v>
      </c>
    </row>
    <row r="4325" spans="1:3" x14ac:dyDescent="0.2">
      <c r="A4325" s="1">
        <v>39855</v>
      </c>
      <c r="B4325">
        <v>4.0750000000000002</v>
      </c>
      <c r="C4325" s="2">
        <f t="shared" si="67"/>
        <v>8.6260547197674481E-3</v>
      </c>
    </row>
    <row r="4326" spans="1:3" x14ac:dyDescent="0.2">
      <c r="A4326" s="1">
        <v>39854</v>
      </c>
      <c r="B4326">
        <v>4.04</v>
      </c>
      <c r="C4326" s="2">
        <f t="shared" si="67"/>
        <v>-1.1688844250313172E-2</v>
      </c>
    </row>
    <row r="4327" spans="1:3" x14ac:dyDescent="0.2">
      <c r="A4327" s="1">
        <v>39853</v>
      </c>
      <c r="B4327">
        <v>4.0875000000000004</v>
      </c>
      <c r="C4327" s="2">
        <f t="shared" si="67"/>
        <v>1.2307847674596993E-2</v>
      </c>
    </row>
    <row r="4328" spans="1:3" x14ac:dyDescent="0.2">
      <c r="A4328" s="1">
        <v>39850</v>
      </c>
      <c r="B4328">
        <v>4.0374999999999996</v>
      </c>
      <c r="C4328" s="2">
        <f t="shared" si="67"/>
        <v>1.6859593849675805E-2</v>
      </c>
    </row>
    <row r="4329" spans="1:3" x14ac:dyDescent="0.2">
      <c r="A4329" s="1">
        <v>39849</v>
      </c>
      <c r="B4329">
        <v>3.97</v>
      </c>
      <c r="C4329" s="2">
        <f t="shared" si="67"/>
        <v>0</v>
      </c>
    </row>
    <row r="4330" spans="1:3" x14ac:dyDescent="0.2">
      <c r="A4330" s="1">
        <v>39848</v>
      </c>
      <c r="B4330">
        <v>3.97</v>
      </c>
      <c r="C4330" s="2">
        <f t="shared" si="67"/>
        <v>6.2992128067203886E-4</v>
      </c>
    </row>
    <row r="4331" spans="1:3" x14ac:dyDescent="0.2">
      <c r="A4331" s="1">
        <v>39847</v>
      </c>
      <c r="B4331">
        <v>3.9674999999999998</v>
      </c>
      <c r="C4331" s="2">
        <f t="shared" si="67"/>
        <v>2.0369895913074493E-2</v>
      </c>
    </row>
    <row r="4332" spans="1:3" x14ac:dyDescent="0.2">
      <c r="A4332" s="1">
        <v>39846</v>
      </c>
      <c r="B4332">
        <v>3.8875000000000002</v>
      </c>
      <c r="C4332" s="2">
        <f t="shared" si="67"/>
        <v>-1.5949301407677953E-2</v>
      </c>
    </row>
    <row r="4333" spans="1:3" x14ac:dyDescent="0.2">
      <c r="A4333" s="1">
        <v>39843</v>
      </c>
      <c r="B4333">
        <v>3.95</v>
      </c>
      <c r="C4333" s="2">
        <f t="shared" si="67"/>
        <v>3.8046970436640664E-3</v>
      </c>
    </row>
    <row r="4334" spans="1:3" x14ac:dyDescent="0.2">
      <c r="A4334" s="1">
        <v>39842</v>
      </c>
      <c r="B4334">
        <v>3.9350000000000001</v>
      </c>
      <c r="C4334" s="2">
        <f t="shared" si="67"/>
        <v>-1.6383479250524056E-2</v>
      </c>
    </row>
    <row r="4335" spans="1:3" x14ac:dyDescent="0.2">
      <c r="A4335" s="1">
        <v>39841</v>
      </c>
      <c r="B4335">
        <v>4</v>
      </c>
      <c r="C4335" s="2">
        <f t="shared" si="67"/>
        <v>1.8291269972251389E-2</v>
      </c>
    </row>
    <row r="4336" spans="1:3" x14ac:dyDescent="0.2">
      <c r="A4336" s="1">
        <v>39840</v>
      </c>
      <c r="B4336">
        <v>3.9275000000000002</v>
      </c>
      <c r="C4336" s="2">
        <f t="shared" si="67"/>
        <v>2.8407333036988811E-2</v>
      </c>
    </row>
    <row r="4337" spans="1:3" x14ac:dyDescent="0.2">
      <c r="A4337" s="1">
        <v>39839</v>
      </c>
      <c r="B4337">
        <v>3.8174999999999999</v>
      </c>
      <c r="C4337" s="2">
        <f t="shared" si="67"/>
        <v>2.3187524454926237E-2</v>
      </c>
    </row>
    <row r="4338" spans="1:3" x14ac:dyDescent="0.2">
      <c r="A4338" s="1">
        <v>39836</v>
      </c>
      <c r="B4338">
        <v>3.73</v>
      </c>
      <c r="C4338" s="2">
        <f t="shared" si="67"/>
        <v>-1.3315775975772062E-2</v>
      </c>
    </row>
    <row r="4339" spans="1:3" x14ac:dyDescent="0.2">
      <c r="A4339" s="1">
        <v>39835</v>
      </c>
      <c r="B4339">
        <v>3.78</v>
      </c>
      <c r="C4339" s="2">
        <f t="shared" si="67"/>
        <v>0</v>
      </c>
    </row>
    <row r="4340" spans="1:3" x14ac:dyDescent="0.2">
      <c r="A4340" s="1">
        <v>39834</v>
      </c>
      <c r="B4340">
        <v>3.78</v>
      </c>
      <c r="C4340" s="2">
        <f t="shared" si="67"/>
        <v>-1.8349138668196655E-2</v>
      </c>
    </row>
    <row r="4341" spans="1:3" x14ac:dyDescent="0.2">
      <c r="A4341" s="1">
        <v>39833</v>
      </c>
      <c r="B4341">
        <v>3.85</v>
      </c>
      <c r="C4341" s="2">
        <f t="shared" si="67"/>
        <v>1.9672765598704928E-2</v>
      </c>
    </row>
    <row r="4342" spans="1:3" x14ac:dyDescent="0.2">
      <c r="A4342" s="1">
        <v>39832</v>
      </c>
      <c r="B4342">
        <v>3.7749999999999999</v>
      </c>
    </row>
    <row r="4343" spans="1:3" x14ac:dyDescent="0.2">
      <c r="A4343" s="1"/>
    </row>
    <row r="4344" spans="1:3" x14ac:dyDescent="0.2">
      <c r="A4344" s="1"/>
    </row>
    <row r="4345" spans="1:3" x14ac:dyDescent="0.2">
      <c r="A4345" s="1"/>
    </row>
    <row r="4346" spans="1:3" x14ac:dyDescent="0.2">
      <c r="A4346" s="1"/>
    </row>
    <row r="4347" spans="1:3" x14ac:dyDescent="0.2">
      <c r="A4347" s="1"/>
    </row>
    <row r="4348" spans="1:3" x14ac:dyDescent="0.2">
      <c r="A4348" s="1"/>
    </row>
    <row r="4349" spans="1:3" x14ac:dyDescent="0.2">
      <c r="A4349" s="1"/>
    </row>
    <row r="4350" spans="1:3" x14ac:dyDescent="0.2">
      <c r="A4350" s="1"/>
    </row>
    <row r="4351" spans="1:3" x14ac:dyDescent="0.2">
      <c r="A4351" s="1"/>
    </row>
    <row r="4352" spans="1:3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</sheetData>
  <autoFilter ref="A1:B4818" xr:uid="{9C0B0DF3-0772-45F1-A44E-2EBEFC734D62}">
    <sortState xmlns:xlrd2="http://schemas.microsoft.com/office/spreadsheetml/2017/richdata2" ref="A2:B4818">
      <sortCondition descending="1" ref="A1:A4818"/>
    </sortState>
  </autoFilter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00DB-A3F8-564C-8306-3C4413DA9218}">
  <dimension ref="A1:J64"/>
  <sheetViews>
    <sheetView workbookViewId="0">
      <selection activeCell="B2" sqref="B2:B9"/>
    </sheetView>
  </sheetViews>
  <sheetFormatPr baseColWidth="10" defaultRowHeight="15" x14ac:dyDescent="0.2"/>
  <sheetData>
    <row r="1" spans="1:10" x14ac:dyDescent="0.2">
      <c r="A1" s="13" t="s">
        <v>12</v>
      </c>
      <c r="B1" s="12" t="s">
        <v>11</v>
      </c>
      <c r="C1" s="11" t="s">
        <v>10</v>
      </c>
      <c r="D1" s="12" t="s">
        <v>9</v>
      </c>
      <c r="E1" s="12" t="s">
        <v>8</v>
      </c>
      <c r="F1" s="11" t="s">
        <v>7</v>
      </c>
      <c r="G1" s="12" t="s">
        <v>6</v>
      </c>
      <c r="H1" s="11" t="s">
        <v>5</v>
      </c>
      <c r="I1" t="s">
        <v>2</v>
      </c>
      <c r="J1" t="s">
        <v>3</v>
      </c>
    </row>
    <row r="2" spans="1:10" x14ac:dyDescent="0.2">
      <c r="A2" s="1">
        <v>45930</v>
      </c>
      <c r="B2">
        <v>632.32100000000003</v>
      </c>
      <c r="C2" s="9">
        <f t="shared" ref="C2:C33" si="0">+LN(B2/B3)</f>
        <v>-1.8118302906125237E-2</v>
      </c>
      <c r="D2">
        <v>432.40800000000002</v>
      </c>
      <c r="E2">
        <f t="shared" ref="E2:E33" si="1">+B2-D2</f>
        <v>199.91300000000001</v>
      </c>
      <c r="F2" s="9">
        <f t="shared" ref="F2:F33" si="2">+E2/B2</f>
        <v>0.31615745799997153</v>
      </c>
      <c r="G2">
        <v>216.779</v>
      </c>
      <c r="H2" s="8">
        <f t="shared" ref="H2:H33" si="3">+B2-E2-G2</f>
        <v>215.62900000000002</v>
      </c>
      <c r="I2">
        <v>2033.5070000000001</v>
      </c>
      <c r="J2">
        <v>10811770880</v>
      </c>
    </row>
    <row r="3" spans="1:10" x14ac:dyDescent="0.2">
      <c r="A3" s="1">
        <v>45838</v>
      </c>
      <c r="B3">
        <v>643.88199999999995</v>
      </c>
      <c r="C3" s="9">
        <f t="shared" si="0"/>
        <v>-5.4518493408513183E-2</v>
      </c>
      <c r="D3">
        <v>423.85</v>
      </c>
      <c r="E3">
        <f t="shared" si="1"/>
        <v>220.03199999999993</v>
      </c>
      <c r="F3" s="9">
        <f t="shared" si="2"/>
        <v>0.34172721088646668</v>
      </c>
      <c r="G3">
        <v>185.98599999999999</v>
      </c>
      <c r="H3" s="8">
        <f t="shared" si="3"/>
        <v>237.86400000000003</v>
      </c>
      <c r="I3">
        <v>2130.1860000000001</v>
      </c>
      <c r="J3">
        <v>11167283200</v>
      </c>
    </row>
    <row r="4" spans="1:10" x14ac:dyDescent="0.2">
      <c r="A4" s="1">
        <v>45747</v>
      </c>
      <c r="B4">
        <v>679.96</v>
      </c>
      <c r="C4" s="9">
        <f t="shared" si="0"/>
        <v>0.12764420715122807</v>
      </c>
      <c r="D4">
        <v>458.77199999999999</v>
      </c>
      <c r="E4">
        <f t="shared" si="1"/>
        <v>221.18800000000005</v>
      </c>
      <c r="F4" s="9">
        <f t="shared" si="2"/>
        <v>0.32529560562386028</v>
      </c>
      <c r="G4">
        <v>246.68799999999999</v>
      </c>
      <c r="H4" s="8">
        <f t="shared" si="3"/>
        <v>212.084</v>
      </c>
      <c r="I4">
        <v>2025.8669</v>
      </c>
      <c r="J4">
        <v>10937245696</v>
      </c>
    </row>
    <row r="5" spans="1:10" x14ac:dyDescent="0.2">
      <c r="A5" s="1">
        <v>45657</v>
      </c>
      <c r="B5">
        <v>598.47799999999995</v>
      </c>
      <c r="C5" s="9">
        <f t="shared" si="0"/>
        <v>7.1081534414064507E-2</v>
      </c>
      <c r="D5">
        <v>413.36200000000002</v>
      </c>
      <c r="E5">
        <f t="shared" si="1"/>
        <v>185.11599999999993</v>
      </c>
      <c r="F5" s="9">
        <f t="shared" si="2"/>
        <v>0.30931128629623805</v>
      </c>
      <c r="G5">
        <v>180.19</v>
      </c>
      <c r="H5" s="8">
        <f t="shared" si="3"/>
        <v>233.17200000000003</v>
      </c>
      <c r="I5">
        <v>2162.0039000000002</v>
      </c>
    </row>
    <row r="6" spans="1:10" x14ac:dyDescent="0.2">
      <c r="A6" s="1">
        <v>45565</v>
      </c>
      <c r="B6">
        <v>557.41399999999999</v>
      </c>
      <c r="C6" s="9">
        <f t="shared" si="0"/>
        <v>-3.6000896403962326E-2</v>
      </c>
      <c r="D6">
        <v>385.12400000000002</v>
      </c>
      <c r="E6">
        <f t="shared" si="1"/>
        <v>172.28999999999996</v>
      </c>
      <c r="F6" s="9">
        <f t="shared" si="2"/>
        <v>0.30908803869296425</v>
      </c>
      <c r="G6">
        <v>206.69399999999999</v>
      </c>
      <c r="H6" s="8">
        <f t="shared" si="3"/>
        <v>178.43000000000004</v>
      </c>
      <c r="I6">
        <v>1322.6310000000001</v>
      </c>
      <c r="J6">
        <v>10623557632</v>
      </c>
    </row>
    <row r="7" spans="1:10" x14ac:dyDescent="0.2">
      <c r="A7" s="1">
        <v>45473</v>
      </c>
      <c r="B7">
        <v>577.84699999999998</v>
      </c>
      <c r="C7" s="9">
        <f t="shared" si="0"/>
        <v>-5.0569657753117871E-2</v>
      </c>
      <c r="D7">
        <v>386.226</v>
      </c>
      <c r="E7">
        <f t="shared" si="1"/>
        <v>191.62099999999998</v>
      </c>
      <c r="F7" s="9">
        <f t="shared" si="2"/>
        <v>0.33161200110063732</v>
      </c>
      <c r="G7">
        <v>192.11</v>
      </c>
      <c r="H7" s="8">
        <f t="shared" si="3"/>
        <v>194.11599999999999</v>
      </c>
      <c r="I7">
        <v>1477.068</v>
      </c>
    </row>
    <row r="8" spans="1:10" x14ac:dyDescent="0.2">
      <c r="A8" s="1">
        <v>45382</v>
      </c>
      <c r="B8">
        <v>607.82000000000005</v>
      </c>
      <c r="C8" s="9">
        <f t="shared" si="0"/>
        <v>0.144279138213215</v>
      </c>
      <c r="D8">
        <v>415.56</v>
      </c>
      <c r="E8">
        <f t="shared" si="1"/>
        <v>192.26000000000005</v>
      </c>
      <c r="F8" s="9">
        <f t="shared" si="2"/>
        <v>0.31631074989306052</v>
      </c>
      <c r="G8">
        <v>226.88800000000001</v>
      </c>
      <c r="H8" s="8">
        <f t="shared" si="3"/>
        <v>188.672</v>
      </c>
      <c r="I8">
        <v>1439.489</v>
      </c>
    </row>
    <row r="9" spans="1:10" x14ac:dyDescent="0.2">
      <c r="A9" s="1">
        <v>45291</v>
      </c>
      <c r="B9">
        <v>526.15700000000004</v>
      </c>
      <c r="C9" s="9">
        <f t="shared" si="0"/>
        <v>2.7466446820147625E-2</v>
      </c>
      <c r="D9">
        <v>356.94499999999999</v>
      </c>
      <c r="E9">
        <f t="shared" si="1"/>
        <v>169.21200000000005</v>
      </c>
      <c r="F9" s="9">
        <f t="shared" si="2"/>
        <v>0.3215998266677057</v>
      </c>
      <c r="G9">
        <v>158.04599999999999</v>
      </c>
      <c r="H9" s="8">
        <f t="shared" si="3"/>
        <v>198.899</v>
      </c>
      <c r="I9">
        <v>1587.088</v>
      </c>
    </row>
    <row r="10" spans="1:10" x14ac:dyDescent="0.2">
      <c r="A10" s="1">
        <v>45199</v>
      </c>
      <c r="B10">
        <v>511.90199999999999</v>
      </c>
      <c r="C10" s="9">
        <f t="shared" si="0"/>
        <v>3.780862764255865E-2</v>
      </c>
      <c r="D10">
        <v>333.36099999999999</v>
      </c>
      <c r="E10">
        <f t="shared" si="1"/>
        <v>178.541</v>
      </c>
      <c r="F10" s="9">
        <f t="shared" si="2"/>
        <v>0.34877964922973537</v>
      </c>
      <c r="G10">
        <v>161.256</v>
      </c>
      <c r="H10" s="8">
        <f t="shared" si="3"/>
        <v>172.10499999999999</v>
      </c>
      <c r="I10">
        <v>1513.5160000000001</v>
      </c>
    </row>
    <row r="11" spans="1:10" x14ac:dyDescent="0.2">
      <c r="A11" s="1">
        <v>45107</v>
      </c>
      <c r="B11">
        <v>492.90899999999999</v>
      </c>
      <c r="C11" s="9">
        <f t="shared" si="0"/>
        <v>-0.11206882158944741</v>
      </c>
      <c r="D11">
        <v>344.60899999999998</v>
      </c>
      <c r="E11">
        <f t="shared" si="1"/>
        <v>148.30000000000001</v>
      </c>
      <c r="F11" s="9">
        <f t="shared" si="2"/>
        <v>0.30086689429489016</v>
      </c>
      <c r="G11">
        <v>174.619</v>
      </c>
      <c r="H11" s="8">
        <f t="shared" si="3"/>
        <v>169.98999999999998</v>
      </c>
      <c r="I11">
        <v>1336.0959</v>
      </c>
      <c r="J11">
        <v>9149225984</v>
      </c>
    </row>
    <row r="12" spans="1:10" x14ac:dyDescent="0.2">
      <c r="A12" s="1">
        <v>45016</v>
      </c>
      <c r="B12">
        <v>551.36300000000006</v>
      </c>
      <c r="C12" s="9">
        <f t="shared" si="0"/>
        <v>0.14746935957217999</v>
      </c>
      <c r="D12">
        <v>387.709</v>
      </c>
      <c r="E12">
        <f t="shared" si="1"/>
        <v>163.65400000000005</v>
      </c>
      <c r="F12" s="9">
        <f t="shared" si="2"/>
        <v>0.29681716038254297</v>
      </c>
      <c r="G12">
        <v>206.75700000000001</v>
      </c>
      <c r="H12" s="8">
        <f t="shared" si="3"/>
        <v>180.952</v>
      </c>
      <c r="I12">
        <v>1349.548</v>
      </c>
      <c r="J12">
        <v>8147515904</v>
      </c>
    </row>
    <row r="13" spans="1:10" x14ac:dyDescent="0.2">
      <c r="A13" s="1">
        <v>44926</v>
      </c>
      <c r="B13">
        <v>475.76499999999999</v>
      </c>
      <c r="C13" s="9">
        <f t="shared" si="0"/>
        <v>-1.9332066841348708E-2</v>
      </c>
      <c r="D13">
        <v>331.83199999999999</v>
      </c>
      <c r="E13">
        <f t="shared" si="1"/>
        <v>143.93299999999999</v>
      </c>
      <c r="F13" s="9">
        <f t="shared" si="2"/>
        <v>0.3025296102067197</v>
      </c>
      <c r="G13">
        <v>116.96299999999999</v>
      </c>
      <c r="H13" s="8">
        <f t="shared" si="3"/>
        <v>214.869</v>
      </c>
      <c r="I13">
        <v>1431.7860000000001</v>
      </c>
    </row>
    <row r="14" spans="1:10" x14ac:dyDescent="0.2">
      <c r="A14" s="1">
        <v>44834</v>
      </c>
      <c r="B14">
        <v>485.05200000000002</v>
      </c>
      <c r="C14" s="9">
        <f t="shared" si="0"/>
        <v>2.4930295766622403E-2</v>
      </c>
      <c r="D14">
        <v>330.12799999999999</v>
      </c>
      <c r="E14">
        <f t="shared" si="1"/>
        <v>154.92400000000004</v>
      </c>
      <c r="F14" s="9">
        <f t="shared" si="2"/>
        <v>0.31939668324220916</v>
      </c>
      <c r="G14">
        <v>156.63800000000001</v>
      </c>
      <c r="H14" s="8">
        <f t="shared" si="3"/>
        <v>173.48999999999998</v>
      </c>
      <c r="I14">
        <v>1353.7190000000001</v>
      </c>
      <c r="J14">
        <v>7881927168</v>
      </c>
    </row>
    <row r="15" spans="1:10" x14ac:dyDescent="0.2">
      <c r="A15" s="1">
        <v>44742</v>
      </c>
      <c r="B15">
        <v>473.10899999999998</v>
      </c>
      <c r="C15" s="9">
        <f t="shared" si="0"/>
        <v>0.12054599129035588</v>
      </c>
      <c r="D15">
        <v>320.70699999999999</v>
      </c>
      <c r="E15">
        <f t="shared" si="1"/>
        <v>152.40199999999999</v>
      </c>
      <c r="F15" s="9">
        <f t="shared" si="2"/>
        <v>0.32212872720662677</v>
      </c>
      <c r="G15">
        <v>133.559</v>
      </c>
      <c r="H15" s="8">
        <f t="shared" si="3"/>
        <v>187.148</v>
      </c>
      <c r="I15">
        <v>1454.14</v>
      </c>
      <c r="J15">
        <v>8680784896</v>
      </c>
    </row>
    <row r="16" spans="1:10" x14ac:dyDescent="0.2">
      <c r="A16" s="1">
        <v>44651</v>
      </c>
      <c r="B16">
        <v>419.38099999999997</v>
      </c>
      <c r="C16" s="9">
        <f t="shared" si="0"/>
        <v>-1.068237740025425E-2</v>
      </c>
      <c r="D16">
        <v>303.90300000000002</v>
      </c>
      <c r="E16">
        <f t="shared" si="1"/>
        <v>115.47799999999995</v>
      </c>
      <c r="F16" s="9">
        <f t="shared" si="2"/>
        <v>0.27535343756631786</v>
      </c>
      <c r="G16">
        <v>155.922</v>
      </c>
      <c r="H16" s="8">
        <f t="shared" si="3"/>
        <v>147.98100000000002</v>
      </c>
      <c r="I16">
        <v>1409.4480000000001</v>
      </c>
      <c r="J16">
        <v>9544472576</v>
      </c>
    </row>
    <row r="17" spans="1:10" x14ac:dyDescent="0.2">
      <c r="A17" s="1">
        <v>44561</v>
      </c>
      <c r="B17">
        <v>423.88499999999999</v>
      </c>
      <c r="C17" s="9">
        <f t="shared" si="0"/>
        <v>9.5299799684330694E-2</v>
      </c>
      <c r="D17">
        <v>309.16300000000001</v>
      </c>
      <c r="E17">
        <f t="shared" si="1"/>
        <v>114.72199999999998</v>
      </c>
      <c r="F17" s="9">
        <f t="shared" si="2"/>
        <v>0.27064416056241664</v>
      </c>
      <c r="G17">
        <v>141.952</v>
      </c>
      <c r="H17" s="8">
        <f t="shared" si="3"/>
        <v>167.21100000000001</v>
      </c>
      <c r="I17">
        <v>746.13800000000003</v>
      </c>
    </row>
    <row r="18" spans="1:10" x14ac:dyDescent="0.2">
      <c r="A18" s="1">
        <v>44469</v>
      </c>
      <c r="B18">
        <v>385.35399999999998</v>
      </c>
      <c r="C18" s="9">
        <f t="shared" si="0"/>
        <v>-1.6672050699066707E-3</v>
      </c>
      <c r="D18">
        <v>278.28899999999999</v>
      </c>
      <c r="E18">
        <f t="shared" si="1"/>
        <v>107.065</v>
      </c>
      <c r="F18" s="9">
        <f t="shared" si="2"/>
        <v>0.27783544481178346</v>
      </c>
      <c r="G18">
        <v>146.94900000000001</v>
      </c>
      <c r="H18" s="8">
        <f t="shared" si="3"/>
        <v>131.33999999999997</v>
      </c>
      <c r="I18">
        <v>724.42100000000005</v>
      </c>
      <c r="J18">
        <v>10514812928</v>
      </c>
    </row>
    <row r="19" spans="1:10" x14ac:dyDescent="0.2">
      <c r="A19" s="1">
        <v>44377</v>
      </c>
      <c r="B19">
        <v>385.99700000000001</v>
      </c>
      <c r="C19" s="9">
        <f t="shared" si="0"/>
        <v>3.0071308993159652E-3</v>
      </c>
      <c r="D19">
        <v>284.12599999999998</v>
      </c>
      <c r="E19">
        <f t="shared" si="1"/>
        <v>101.87100000000004</v>
      </c>
      <c r="F19" s="9">
        <f t="shared" si="2"/>
        <v>0.26391655893698662</v>
      </c>
      <c r="G19">
        <v>149.62700000000001</v>
      </c>
      <c r="H19" s="8">
        <f t="shared" si="3"/>
        <v>134.49899999999997</v>
      </c>
      <c r="I19">
        <v>875.69</v>
      </c>
      <c r="J19">
        <v>10079832064</v>
      </c>
    </row>
    <row r="20" spans="1:10" x14ac:dyDescent="0.2">
      <c r="A20" s="1">
        <v>44286</v>
      </c>
      <c r="B20">
        <v>384.83800000000002</v>
      </c>
      <c r="C20" s="9">
        <f t="shared" si="0"/>
        <v>8.0566658395168592E-2</v>
      </c>
      <c r="D20">
        <v>280.76900000000001</v>
      </c>
      <c r="E20">
        <f t="shared" si="1"/>
        <v>104.06900000000002</v>
      </c>
      <c r="F20" s="9">
        <f t="shared" si="2"/>
        <v>0.27042287923749736</v>
      </c>
      <c r="G20">
        <v>149.24700000000001</v>
      </c>
      <c r="H20" s="8">
        <f t="shared" si="3"/>
        <v>131.52199999999999</v>
      </c>
      <c r="I20">
        <v>861.29700000000003</v>
      </c>
      <c r="J20">
        <v>9592570880</v>
      </c>
    </row>
    <row r="21" spans="1:10" x14ac:dyDescent="0.2">
      <c r="A21" s="1">
        <v>44196</v>
      </c>
      <c r="B21">
        <v>355.04899999999998</v>
      </c>
      <c r="C21" s="9">
        <f t="shared" si="0"/>
        <v>6.2235203021927685E-2</v>
      </c>
      <c r="D21">
        <v>256.45499999999998</v>
      </c>
      <c r="E21">
        <f t="shared" si="1"/>
        <v>98.593999999999994</v>
      </c>
      <c r="F21" s="9">
        <f t="shared" si="2"/>
        <v>0.2776912482502415</v>
      </c>
      <c r="G21">
        <v>129.06899999999999</v>
      </c>
      <c r="H21" s="8">
        <f t="shared" si="3"/>
        <v>127.386</v>
      </c>
      <c r="I21">
        <v>872.82899999999995</v>
      </c>
    </row>
    <row r="22" spans="1:10" x14ac:dyDescent="0.2">
      <c r="A22" s="1">
        <v>44104</v>
      </c>
      <c r="B22">
        <v>333.62599999999998</v>
      </c>
      <c r="C22" s="9">
        <f t="shared" si="0"/>
        <v>8.0321475249394095E-3</v>
      </c>
      <c r="D22">
        <v>237.143</v>
      </c>
      <c r="E22">
        <f t="shared" si="1"/>
        <v>96.482999999999976</v>
      </c>
      <c r="F22" s="9">
        <f t="shared" si="2"/>
        <v>0.28919508671386518</v>
      </c>
      <c r="G22">
        <v>126.48699999999999</v>
      </c>
      <c r="H22" s="8">
        <f t="shared" si="3"/>
        <v>110.65600000000001</v>
      </c>
      <c r="I22">
        <v>856.02300000000002</v>
      </c>
      <c r="J22">
        <v>9147133952</v>
      </c>
    </row>
    <row r="23" spans="1:10" x14ac:dyDescent="0.2">
      <c r="A23" s="1">
        <v>44012</v>
      </c>
      <c r="B23">
        <v>330.95699999999999</v>
      </c>
      <c r="C23" s="9">
        <f t="shared" si="0"/>
        <v>-0.26001609692351663</v>
      </c>
      <c r="D23">
        <v>244.714</v>
      </c>
      <c r="E23">
        <f t="shared" si="1"/>
        <v>86.242999999999995</v>
      </c>
      <c r="F23" s="9">
        <f t="shared" si="2"/>
        <v>0.2605867227464595</v>
      </c>
      <c r="G23">
        <v>136.27699999999999</v>
      </c>
      <c r="H23" s="8">
        <f t="shared" si="3"/>
        <v>108.43700000000001</v>
      </c>
      <c r="I23">
        <v>936.31</v>
      </c>
      <c r="J23">
        <v>9295612928</v>
      </c>
    </row>
    <row r="24" spans="1:10" x14ac:dyDescent="0.2">
      <c r="A24" s="1">
        <v>43921</v>
      </c>
      <c r="B24">
        <v>429.23500000000001</v>
      </c>
      <c r="C24" s="9">
        <f t="shared" si="0"/>
        <v>0.1180772068457477</v>
      </c>
      <c r="D24">
        <v>303.72399999999999</v>
      </c>
      <c r="E24">
        <f t="shared" si="1"/>
        <v>125.51100000000002</v>
      </c>
      <c r="F24" s="9">
        <f t="shared" si="2"/>
        <v>0.29240625764441397</v>
      </c>
      <c r="G24">
        <v>170.85499999999999</v>
      </c>
      <c r="H24" s="8">
        <f t="shared" si="3"/>
        <v>132.869</v>
      </c>
      <c r="I24">
        <v>895.99699999999996</v>
      </c>
      <c r="J24">
        <v>8059683328</v>
      </c>
    </row>
    <row r="25" spans="1:10" x14ac:dyDescent="0.2">
      <c r="A25" s="1">
        <v>43830</v>
      </c>
      <c r="B25">
        <v>381.43</v>
      </c>
      <c r="C25" s="9">
        <f t="shared" si="0"/>
        <v>6.5729487771261946E-2</v>
      </c>
      <c r="D25">
        <v>273.59800000000001</v>
      </c>
      <c r="E25">
        <f t="shared" si="1"/>
        <v>107.83199999999999</v>
      </c>
      <c r="F25" s="9">
        <f t="shared" si="2"/>
        <v>0.28270455915895443</v>
      </c>
      <c r="G25">
        <v>133.90199999999999</v>
      </c>
      <c r="H25" s="8">
        <f t="shared" si="3"/>
        <v>139.69600000000003</v>
      </c>
      <c r="I25">
        <v>912.63</v>
      </c>
    </row>
    <row r="26" spans="1:10" x14ac:dyDescent="0.2">
      <c r="A26" s="1">
        <v>43738</v>
      </c>
      <c r="B26">
        <v>357.16500000000002</v>
      </c>
      <c r="C26" s="9">
        <f t="shared" si="0"/>
        <v>-8.6364604008404428E-3</v>
      </c>
      <c r="D26">
        <v>251.39400000000001</v>
      </c>
      <c r="E26">
        <f t="shared" si="1"/>
        <v>105.77100000000002</v>
      </c>
      <c r="F26" s="9">
        <f t="shared" si="2"/>
        <v>0.29614043929276385</v>
      </c>
      <c r="G26">
        <v>130.29900000000001</v>
      </c>
      <c r="H26" s="8">
        <f t="shared" si="3"/>
        <v>121.095</v>
      </c>
      <c r="I26">
        <v>510.25</v>
      </c>
      <c r="J26">
        <v>8231165952</v>
      </c>
    </row>
    <row r="27" spans="1:10" x14ac:dyDescent="0.2">
      <c r="A27" s="1">
        <v>43646</v>
      </c>
      <c r="B27">
        <v>360.26299999999998</v>
      </c>
      <c r="C27" s="9">
        <f t="shared" si="0"/>
        <v>-6.1174558899309679E-2</v>
      </c>
      <c r="D27">
        <v>253.43100000000001</v>
      </c>
      <c r="E27">
        <f t="shared" si="1"/>
        <v>106.83199999999997</v>
      </c>
      <c r="F27" s="9">
        <f t="shared" si="2"/>
        <v>0.29653891740200899</v>
      </c>
      <c r="G27">
        <v>135.374</v>
      </c>
      <c r="H27" s="8">
        <f t="shared" si="3"/>
        <v>118.05700000000002</v>
      </c>
      <c r="I27">
        <v>618.98099999999999</v>
      </c>
    </row>
    <row r="28" spans="1:10" x14ac:dyDescent="0.2">
      <c r="A28" s="1">
        <v>43555</v>
      </c>
      <c r="B28">
        <v>382.99</v>
      </c>
      <c r="C28" s="9">
        <f t="shared" si="0"/>
        <v>0.12222413422061824</v>
      </c>
      <c r="D28">
        <v>266.524</v>
      </c>
      <c r="E28">
        <f t="shared" si="1"/>
        <v>116.46600000000001</v>
      </c>
      <c r="F28" s="9">
        <f t="shared" si="2"/>
        <v>0.30409671270790362</v>
      </c>
      <c r="G28">
        <v>143.93899999999999</v>
      </c>
      <c r="H28" s="8">
        <f t="shared" si="3"/>
        <v>122.58500000000001</v>
      </c>
      <c r="I28">
        <v>563.68100000000004</v>
      </c>
    </row>
    <row r="29" spans="1:10" x14ac:dyDescent="0.2">
      <c r="A29" s="1">
        <v>43465</v>
      </c>
      <c r="B29">
        <v>338.92700000000002</v>
      </c>
      <c r="C29" s="9">
        <f t="shared" si="0"/>
        <v>6.6082030090543836E-2</v>
      </c>
      <c r="D29">
        <v>239.37299999999999</v>
      </c>
      <c r="E29">
        <f t="shared" si="1"/>
        <v>99.55400000000003</v>
      </c>
      <c r="F29" s="9">
        <f t="shared" si="2"/>
        <v>0.29373286872984455</v>
      </c>
      <c r="G29">
        <v>119.029</v>
      </c>
      <c r="H29" s="8">
        <f t="shared" si="3"/>
        <v>120.34399999999999</v>
      </c>
      <c r="I29">
        <v>590.09900000000005</v>
      </c>
    </row>
    <row r="30" spans="1:10" x14ac:dyDescent="0.2">
      <c r="A30" s="1">
        <v>43373</v>
      </c>
      <c r="B30">
        <v>317.25400000000002</v>
      </c>
      <c r="C30" s="9">
        <f t="shared" si="0"/>
        <v>-3.8037510320637465E-2</v>
      </c>
      <c r="D30">
        <v>224.25200000000001</v>
      </c>
      <c r="E30">
        <f t="shared" si="1"/>
        <v>93.00200000000001</v>
      </c>
      <c r="F30" s="9">
        <f t="shared" si="2"/>
        <v>0.29314681611579368</v>
      </c>
      <c r="G30">
        <v>120.033</v>
      </c>
      <c r="H30" s="8">
        <f t="shared" si="3"/>
        <v>104.21900000000001</v>
      </c>
      <c r="I30">
        <v>460.85599999999999</v>
      </c>
    </row>
    <row r="31" spans="1:10" x14ac:dyDescent="0.2">
      <c r="A31" s="1">
        <v>43281</v>
      </c>
      <c r="B31">
        <v>329.55399999999997</v>
      </c>
      <c r="C31" s="9">
        <f t="shared" si="0"/>
        <v>-0.10625829613802233</v>
      </c>
      <c r="D31">
        <v>235.82900000000001</v>
      </c>
      <c r="E31">
        <f t="shared" si="1"/>
        <v>93.724999999999966</v>
      </c>
      <c r="F31" s="9">
        <f t="shared" si="2"/>
        <v>0.28439952177791794</v>
      </c>
      <c r="G31">
        <v>125.64400000000001</v>
      </c>
      <c r="H31" s="8">
        <f t="shared" si="3"/>
        <v>110.185</v>
      </c>
      <c r="I31">
        <v>554.07299999999998</v>
      </c>
    </row>
    <row r="32" spans="1:10" x14ac:dyDescent="0.2">
      <c r="A32" s="1">
        <v>43190</v>
      </c>
      <c r="B32">
        <v>366.5</v>
      </c>
      <c r="C32" s="9">
        <f t="shared" si="0"/>
        <v>0.12234184234790427</v>
      </c>
      <c r="D32">
        <v>257.21199999999999</v>
      </c>
      <c r="E32">
        <f t="shared" si="1"/>
        <v>109.28800000000001</v>
      </c>
      <c r="F32" s="9">
        <f t="shared" si="2"/>
        <v>0.29819372442019104</v>
      </c>
      <c r="G32">
        <v>134.37299999999999</v>
      </c>
      <c r="H32" s="8">
        <f t="shared" si="3"/>
        <v>122.839</v>
      </c>
      <c r="I32">
        <v>476.07600000000002</v>
      </c>
    </row>
    <row r="33" spans="1:10" x14ac:dyDescent="0.2">
      <c r="A33" s="1">
        <v>43100</v>
      </c>
      <c r="B33">
        <v>324.29599999999999</v>
      </c>
      <c r="C33" s="9">
        <f t="shared" si="0"/>
        <v>3.5584487433977942E-2</v>
      </c>
      <c r="D33">
        <v>229.13800000000001</v>
      </c>
      <c r="E33">
        <f t="shared" si="1"/>
        <v>95.157999999999987</v>
      </c>
      <c r="F33" s="9">
        <f t="shared" si="2"/>
        <v>0.29342945950613014</v>
      </c>
      <c r="G33">
        <v>112.684</v>
      </c>
      <c r="H33" s="8">
        <f t="shared" si="3"/>
        <v>116.45400000000001</v>
      </c>
      <c r="I33">
        <v>378.67200000000003</v>
      </c>
    </row>
    <row r="34" spans="1:10" x14ac:dyDescent="0.2">
      <c r="A34" s="1">
        <v>43008</v>
      </c>
      <c r="B34">
        <v>312.959</v>
      </c>
      <c r="C34" s="9">
        <f t="shared" ref="C34:C63" si="4">+LN(B34/B35)</f>
        <v>1.2963951506796292E-2</v>
      </c>
      <c r="D34">
        <v>222.10499999999999</v>
      </c>
      <c r="E34">
        <f t="shared" ref="E34:E64" si="5">+B34-D34</f>
        <v>90.854000000000013</v>
      </c>
      <c r="F34" s="9">
        <f t="shared" ref="F34:F64" si="6">+E34/B34</f>
        <v>0.29030639796267249</v>
      </c>
      <c r="G34">
        <v>117.929</v>
      </c>
      <c r="H34" s="8">
        <f t="shared" ref="H34:H64" si="7">+B34-E34-G34</f>
        <v>104.17599999999999</v>
      </c>
      <c r="I34">
        <v>321.642</v>
      </c>
    </row>
    <row r="35" spans="1:10" x14ac:dyDescent="0.2">
      <c r="A35" s="1">
        <v>42916</v>
      </c>
      <c r="B35">
        <v>308.928</v>
      </c>
      <c r="C35" s="9">
        <f t="shared" si="4"/>
        <v>-0.10152704303693545</v>
      </c>
      <c r="D35">
        <v>217.995</v>
      </c>
      <c r="E35">
        <f t="shared" si="5"/>
        <v>90.932999999999993</v>
      </c>
      <c r="F35" s="9">
        <f t="shared" si="6"/>
        <v>0.29435013983840891</v>
      </c>
      <c r="G35">
        <v>106.325</v>
      </c>
      <c r="H35" s="8">
        <f t="shared" si="7"/>
        <v>111.67</v>
      </c>
      <c r="I35">
        <v>361.43599999999998</v>
      </c>
      <c r="J35">
        <v>7428125184</v>
      </c>
    </row>
    <row r="36" spans="1:10" x14ac:dyDescent="0.2">
      <c r="A36" s="1">
        <v>42825</v>
      </c>
      <c r="B36">
        <v>341.94</v>
      </c>
      <c r="C36" s="9">
        <f t="shared" si="4"/>
        <v>0.1593483094987363</v>
      </c>
      <c r="D36">
        <v>236.131</v>
      </c>
      <c r="E36">
        <f t="shared" si="5"/>
        <v>105.809</v>
      </c>
      <c r="F36" s="9">
        <f t="shared" si="6"/>
        <v>0.30943732818623149</v>
      </c>
      <c r="G36">
        <v>117.70699999999999</v>
      </c>
      <c r="H36" s="8">
        <f t="shared" si="7"/>
        <v>118.42400000000001</v>
      </c>
      <c r="I36">
        <v>117.872</v>
      </c>
      <c r="J36">
        <v>6643906048</v>
      </c>
    </row>
    <row r="37" spans="1:10" x14ac:dyDescent="0.2">
      <c r="A37" s="1">
        <v>42735</v>
      </c>
      <c r="B37">
        <v>291.572</v>
      </c>
      <c r="C37" s="9">
        <f t="shared" si="4"/>
        <v>6.0313854942025451E-2</v>
      </c>
      <c r="D37">
        <v>197.91399999999999</v>
      </c>
      <c r="E37">
        <f t="shared" si="5"/>
        <v>93.658000000000015</v>
      </c>
      <c r="F37" s="9">
        <f t="shared" si="6"/>
        <v>0.32121740084781808</v>
      </c>
      <c r="G37">
        <v>85.403000000000006</v>
      </c>
      <c r="H37" s="8">
        <f t="shared" si="7"/>
        <v>112.51099999999998</v>
      </c>
      <c r="I37">
        <v>211.268</v>
      </c>
    </row>
    <row r="38" spans="1:10" x14ac:dyDescent="0.2">
      <c r="A38" s="1">
        <v>42643</v>
      </c>
      <c r="B38">
        <v>274.50599999999997</v>
      </c>
      <c r="C38" s="9">
        <f t="shared" si="4"/>
        <v>-3.967863386928E-2</v>
      </c>
      <c r="D38">
        <v>187.67699999999999</v>
      </c>
      <c r="E38">
        <f t="shared" si="5"/>
        <v>86.828999999999979</v>
      </c>
      <c r="F38" s="9">
        <f t="shared" si="6"/>
        <v>0.3163100260103604</v>
      </c>
      <c r="G38">
        <v>91.878</v>
      </c>
      <c r="H38" s="8">
        <f t="shared" si="7"/>
        <v>95.798999999999992</v>
      </c>
      <c r="I38">
        <v>110.07599999999999</v>
      </c>
      <c r="J38">
        <v>5983070720</v>
      </c>
    </row>
    <row r="39" spans="1:10" x14ac:dyDescent="0.2">
      <c r="A39" s="1">
        <v>42551</v>
      </c>
      <c r="B39">
        <v>285.61700000000002</v>
      </c>
      <c r="C39" s="9">
        <f t="shared" si="4"/>
        <v>-5.6592811383849195E-2</v>
      </c>
      <c r="D39">
        <v>198.846</v>
      </c>
      <c r="E39">
        <f t="shared" si="5"/>
        <v>86.771000000000015</v>
      </c>
      <c r="F39" s="9">
        <f t="shared" si="6"/>
        <v>0.30380194456212345</v>
      </c>
      <c r="G39">
        <v>89.099000000000004</v>
      </c>
      <c r="H39" s="8">
        <f t="shared" si="7"/>
        <v>109.747</v>
      </c>
      <c r="I39">
        <v>176.25800000000001</v>
      </c>
      <c r="J39">
        <v>5646379008</v>
      </c>
    </row>
    <row r="40" spans="1:10" x14ac:dyDescent="0.2">
      <c r="A40" s="1">
        <v>42460</v>
      </c>
      <c r="B40">
        <v>302.24700000000001</v>
      </c>
      <c r="C40" s="9">
        <f t="shared" si="4"/>
        <v>0.13816320515577996</v>
      </c>
      <c r="D40">
        <v>208.54599999999999</v>
      </c>
      <c r="E40">
        <f t="shared" si="5"/>
        <v>93.701000000000022</v>
      </c>
      <c r="F40" s="9">
        <f t="shared" si="6"/>
        <v>0.31001465688658619</v>
      </c>
      <c r="G40">
        <v>98.974999999999994</v>
      </c>
      <c r="H40" s="8">
        <f t="shared" si="7"/>
        <v>109.571</v>
      </c>
      <c r="I40">
        <v>50.953000000000003</v>
      </c>
      <c r="J40">
        <v>4600753152</v>
      </c>
    </row>
    <row r="41" spans="1:10" x14ac:dyDescent="0.2">
      <c r="A41" s="1">
        <v>42369</v>
      </c>
      <c r="B41">
        <v>263.24400000000003</v>
      </c>
      <c r="C41" s="9">
        <f t="shared" si="4"/>
        <v>7.0305932394077605E-2</v>
      </c>
      <c r="D41">
        <v>179.68199999999999</v>
      </c>
      <c r="E41">
        <f t="shared" si="5"/>
        <v>83.56200000000004</v>
      </c>
      <c r="F41" s="9">
        <f t="shared" si="6"/>
        <v>0.31743173633587102</v>
      </c>
      <c r="G41">
        <v>76.462000000000003</v>
      </c>
      <c r="H41" s="8">
        <f t="shared" si="7"/>
        <v>103.21999999999998</v>
      </c>
      <c r="I41">
        <v>101.408</v>
      </c>
    </row>
    <row r="42" spans="1:10" x14ac:dyDescent="0.2">
      <c r="A42" s="1">
        <v>42277</v>
      </c>
      <c r="B42">
        <v>245.37200000000001</v>
      </c>
      <c r="C42" s="9">
        <f t="shared" si="4"/>
        <v>-7.0571810038752555E-2</v>
      </c>
      <c r="D42">
        <v>166.01300000000001</v>
      </c>
      <c r="E42">
        <f t="shared" si="5"/>
        <v>79.359000000000009</v>
      </c>
      <c r="F42" s="9">
        <f t="shared" si="6"/>
        <v>0.32342321047226252</v>
      </c>
      <c r="G42">
        <v>76.647000000000006</v>
      </c>
      <c r="H42" s="8">
        <f t="shared" si="7"/>
        <v>89.366</v>
      </c>
      <c r="I42">
        <v>58.195999999999998</v>
      </c>
      <c r="J42">
        <v>4314251776</v>
      </c>
    </row>
    <row r="43" spans="1:10" x14ac:dyDescent="0.2">
      <c r="A43" s="1">
        <v>42185</v>
      </c>
      <c r="B43">
        <v>263.31400000000002</v>
      </c>
      <c r="C43" s="9">
        <f t="shared" si="4"/>
        <v>-4.6132915759155485E-2</v>
      </c>
      <c r="D43">
        <v>179.31800000000001</v>
      </c>
      <c r="E43">
        <f t="shared" si="5"/>
        <v>83.996000000000009</v>
      </c>
      <c r="F43" s="9">
        <f t="shared" si="6"/>
        <v>0.31899557182679233</v>
      </c>
      <c r="G43">
        <v>81.117000000000004</v>
      </c>
      <c r="H43" s="8">
        <f t="shared" si="7"/>
        <v>98.201000000000008</v>
      </c>
      <c r="I43">
        <v>139.864</v>
      </c>
      <c r="J43">
        <v>3933644032</v>
      </c>
    </row>
    <row r="44" spans="1:10" x14ac:dyDescent="0.2">
      <c r="A44" s="1">
        <v>42094</v>
      </c>
      <c r="B44">
        <v>275.74599999999998</v>
      </c>
      <c r="C44" s="9">
        <f t="shared" si="4"/>
        <v>0.11712866188774014</v>
      </c>
      <c r="D44">
        <v>187.453</v>
      </c>
      <c r="E44">
        <f t="shared" si="5"/>
        <v>88.292999999999978</v>
      </c>
      <c r="F44" s="9">
        <f t="shared" si="6"/>
        <v>0.32019684782372176</v>
      </c>
      <c r="G44">
        <v>82.774000000000001</v>
      </c>
      <c r="H44" s="8">
        <f t="shared" si="7"/>
        <v>104.679</v>
      </c>
      <c r="I44">
        <v>136.792</v>
      </c>
      <c r="J44">
        <v>3638777600</v>
      </c>
    </row>
    <row r="45" spans="1:10" x14ac:dyDescent="0.2">
      <c r="A45" s="1">
        <v>42004</v>
      </c>
      <c r="B45">
        <v>245.268</v>
      </c>
      <c r="C45" s="9">
        <f t="shared" si="4"/>
        <v>4.503663721068648E-2</v>
      </c>
      <c r="D45">
        <v>162.999</v>
      </c>
      <c r="E45">
        <f t="shared" si="5"/>
        <v>82.269000000000005</v>
      </c>
      <c r="F45" s="9">
        <f t="shared" si="6"/>
        <v>0.3354249229414355</v>
      </c>
      <c r="G45">
        <v>60.87</v>
      </c>
      <c r="H45" s="8">
        <f t="shared" si="7"/>
        <v>102.12899999999999</v>
      </c>
    </row>
    <row r="46" spans="1:10" x14ac:dyDescent="0.2">
      <c r="A46" s="1">
        <v>41912</v>
      </c>
      <c r="B46">
        <v>234.46700000000001</v>
      </c>
      <c r="C46" s="9">
        <f t="shared" si="4"/>
        <v>-5.3121517207837046E-2</v>
      </c>
      <c r="D46">
        <v>160.72</v>
      </c>
      <c r="E46">
        <f t="shared" si="5"/>
        <v>73.747000000000014</v>
      </c>
      <c r="F46" s="9">
        <f t="shared" si="6"/>
        <v>0.31453040299914276</v>
      </c>
      <c r="G46">
        <v>71.097999999999999</v>
      </c>
      <c r="H46" s="8">
        <f t="shared" si="7"/>
        <v>89.622</v>
      </c>
      <c r="I46">
        <v>152.184</v>
      </c>
      <c r="J46">
        <v>2714444544</v>
      </c>
    </row>
    <row r="47" spans="1:10" x14ac:dyDescent="0.2">
      <c r="A47" s="1">
        <v>41820</v>
      </c>
      <c r="B47">
        <v>247.25899999999999</v>
      </c>
      <c r="C47" s="9">
        <f t="shared" si="4"/>
        <v>-5.1636600101422743E-2</v>
      </c>
      <c r="D47">
        <v>163.21600000000001</v>
      </c>
      <c r="E47">
        <f t="shared" si="5"/>
        <v>84.042999999999978</v>
      </c>
      <c r="F47" s="9">
        <f t="shared" si="6"/>
        <v>0.33989864878528175</v>
      </c>
      <c r="G47">
        <v>70.433999999999997</v>
      </c>
      <c r="H47" s="8">
        <f t="shared" si="7"/>
        <v>92.782000000000011</v>
      </c>
      <c r="I47">
        <v>207.99</v>
      </c>
      <c r="J47">
        <v>2568056832</v>
      </c>
    </row>
    <row r="48" spans="1:10" x14ac:dyDescent="0.2">
      <c r="A48" s="1">
        <v>41729</v>
      </c>
      <c r="B48">
        <v>260.36200000000002</v>
      </c>
      <c r="C48" s="9">
        <f t="shared" si="4"/>
        <v>8.3014461868818432E-2</v>
      </c>
      <c r="D48">
        <v>173.36699999999999</v>
      </c>
      <c r="E48">
        <f t="shared" si="5"/>
        <v>86.995000000000033</v>
      </c>
      <c r="F48" s="9">
        <f t="shared" si="6"/>
        <v>0.33413094076708594</v>
      </c>
      <c r="G48">
        <v>71.415999999999997</v>
      </c>
      <c r="H48" s="8">
        <f t="shared" si="7"/>
        <v>101.95099999999999</v>
      </c>
      <c r="I48">
        <v>226.9</v>
      </c>
      <c r="J48">
        <v>2655889408</v>
      </c>
    </row>
    <row r="49" spans="1:10" x14ac:dyDescent="0.2">
      <c r="A49" s="1">
        <v>41639</v>
      </c>
      <c r="B49">
        <v>239.62100000000001</v>
      </c>
      <c r="C49" s="9">
        <f t="shared" si="4"/>
        <v>6.6185531032048744E-2</v>
      </c>
      <c r="D49">
        <v>154.20699999999999</v>
      </c>
      <c r="E49">
        <f t="shared" si="5"/>
        <v>85.414000000000016</v>
      </c>
      <c r="F49" s="9">
        <f t="shared" si="6"/>
        <v>0.35645456783837814</v>
      </c>
      <c r="G49">
        <v>56.113999999999997</v>
      </c>
      <c r="H49" s="8">
        <f t="shared" si="7"/>
        <v>98.092999999999989</v>
      </c>
      <c r="I49">
        <v>258.82100000000003</v>
      </c>
    </row>
    <row r="50" spans="1:10" x14ac:dyDescent="0.2">
      <c r="A50" s="1">
        <v>41547</v>
      </c>
      <c r="B50">
        <v>224.27500000000001</v>
      </c>
      <c r="C50" s="9">
        <f t="shared" si="4"/>
        <v>-3.8839068948247263E-2</v>
      </c>
      <c r="D50">
        <v>148.02000000000001</v>
      </c>
      <c r="E50">
        <f t="shared" si="5"/>
        <v>76.254999999999995</v>
      </c>
      <c r="F50" s="9">
        <f t="shared" si="6"/>
        <v>0.34000668821759</v>
      </c>
      <c r="G50">
        <v>53.984000000000002</v>
      </c>
      <c r="H50" s="8">
        <f t="shared" si="7"/>
        <v>94.036000000000001</v>
      </c>
      <c r="I50">
        <v>132.691</v>
      </c>
      <c r="J50">
        <v>1857031296</v>
      </c>
    </row>
    <row r="51" spans="1:10" x14ac:dyDescent="0.2">
      <c r="A51" s="1">
        <v>41455</v>
      </c>
      <c r="B51">
        <v>233.15700000000001</v>
      </c>
      <c r="C51" s="9">
        <f t="shared" si="4"/>
        <v>-4.781814136714263E-2</v>
      </c>
      <c r="D51">
        <v>152.857</v>
      </c>
      <c r="E51">
        <f t="shared" si="5"/>
        <v>80.300000000000011</v>
      </c>
      <c r="F51" s="9">
        <f t="shared" si="6"/>
        <v>0.34440312750635843</v>
      </c>
      <c r="G51">
        <v>58.7</v>
      </c>
      <c r="H51" s="8">
        <f t="shared" si="7"/>
        <v>94.156999999999996</v>
      </c>
      <c r="I51">
        <v>173.245</v>
      </c>
    </row>
    <row r="52" spans="1:10" x14ac:dyDescent="0.2">
      <c r="A52" s="1">
        <v>41364</v>
      </c>
      <c r="B52">
        <v>244.577</v>
      </c>
      <c r="C52" s="9">
        <f t="shared" si="4"/>
        <v>0.16189595883575006</v>
      </c>
      <c r="D52">
        <v>159.21700000000001</v>
      </c>
      <c r="E52">
        <f t="shared" si="5"/>
        <v>85.359999999999985</v>
      </c>
      <c r="F52" s="9">
        <f t="shared" si="6"/>
        <v>0.34901074099363383</v>
      </c>
      <c r="G52">
        <v>61.332000000000001</v>
      </c>
      <c r="H52" s="8">
        <f t="shared" si="7"/>
        <v>97.885000000000019</v>
      </c>
      <c r="I52">
        <v>194.345</v>
      </c>
    </row>
    <row r="53" spans="1:10" x14ac:dyDescent="0.2">
      <c r="A53" s="1">
        <v>41274</v>
      </c>
      <c r="B53">
        <v>208.02</v>
      </c>
      <c r="C53" s="9">
        <f t="shared" si="4"/>
        <v>3.7553418159082454E-2</v>
      </c>
      <c r="D53">
        <v>133.19200000000001</v>
      </c>
      <c r="E53">
        <f t="shared" si="5"/>
        <v>74.828000000000003</v>
      </c>
      <c r="F53" s="9">
        <f t="shared" si="6"/>
        <v>0.35971541197961732</v>
      </c>
      <c r="G53">
        <v>40.927999999999997</v>
      </c>
      <c r="H53" s="8">
        <f t="shared" si="7"/>
        <v>92.26400000000001</v>
      </c>
      <c r="I53">
        <v>154.827</v>
      </c>
    </row>
    <row r="54" spans="1:10" x14ac:dyDescent="0.2">
      <c r="A54" s="1">
        <v>41182</v>
      </c>
      <c r="B54">
        <v>200.35300000000001</v>
      </c>
      <c r="C54" s="9">
        <f t="shared" si="4"/>
        <v>-1.5970534398031361E-4</v>
      </c>
      <c r="D54">
        <v>129.142</v>
      </c>
      <c r="E54">
        <f t="shared" si="5"/>
        <v>71.211000000000013</v>
      </c>
      <c r="F54" s="9">
        <f t="shared" si="6"/>
        <v>0.35542767016216381</v>
      </c>
      <c r="G54">
        <v>48.527000000000001</v>
      </c>
      <c r="H54" s="8">
        <f t="shared" si="7"/>
        <v>80.614999999999995</v>
      </c>
      <c r="I54">
        <v>47.893999999999998</v>
      </c>
    </row>
    <row r="55" spans="1:10" x14ac:dyDescent="0.2">
      <c r="A55" s="1">
        <v>41090</v>
      </c>
      <c r="B55">
        <v>200.38499999999999</v>
      </c>
      <c r="C55" s="9">
        <f t="shared" si="4"/>
        <v>-9.1380472997758547E-2</v>
      </c>
      <c r="D55">
        <v>130.864</v>
      </c>
      <c r="E55">
        <f t="shared" si="5"/>
        <v>69.520999999999987</v>
      </c>
      <c r="F55" s="9">
        <f t="shared" si="6"/>
        <v>0.34693714599396158</v>
      </c>
      <c r="G55">
        <v>48.23</v>
      </c>
      <c r="H55" s="8">
        <f t="shared" si="7"/>
        <v>82.634000000000015</v>
      </c>
      <c r="I55">
        <v>69.616</v>
      </c>
    </row>
    <row r="56" spans="1:10" x14ac:dyDescent="0.2">
      <c r="A56" s="1">
        <v>40999</v>
      </c>
      <c r="B56">
        <v>219.559</v>
      </c>
      <c r="C56" s="9">
        <f t="shared" si="4"/>
        <v>0.19089991352587299</v>
      </c>
      <c r="D56">
        <v>141.56200000000001</v>
      </c>
      <c r="E56">
        <f t="shared" si="5"/>
        <v>77.996999999999986</v>
      </c>
      <c r="F56" s="9">
        <f t="shared" si="6"/>
        <v>0.35524392076844941</v>
      </c>
      <c r="G56">
        <v>54.026000000000003</v>
      </c>
      <c r="H56" s="8">
        <f t="shared" si="7"/>
        <v>87.536000000000001</v>
      </c>
      <c r="I56">
        <v>55.600999999999999</v>
      </c>
    </row>
    <row r="57" spans="1:10" x14ac:dyDescent="0.2">
      <c r="A57" s="1">
        <v>40908</v>
      </c>
      <c r="B57">
        <v>181.40299999999999</v>
      </c>
      <c r="C57" s="9">
        <f t="shared" si="4"/>
        <v>9.9109717494657232E-3</v>
      </c>
      <c r="D57">
        <v>118.271</v>
      </c>
      <c r="E57">
        <f t="shared" si="5"/>
        <v>63.131999999999991</v>
      </c>
      <c r="F57" s="9">
        <f t="shared" si="6"/>
        <v>0.34802070528050799</v>
      </c>
      <c r="G57">
        <v>40.715000000000003</v>
      </c>
      <c r="H57" s="8">
        <f t="shared" si="7"/>
        <v>77.555999999999997</v>
      </c>
      <c r="I57">
        <v>57.524999999999999</v>
      </c>
    </row>
    <row r="58" spans="1:10" x14ac:dyDescent="0.2">
      <c r="A58" s="1">
        <v>40816</v>
      </c>
      <c r="B58">
        <v>179.614</v>
      </c>
      <c r="C58" s="9">
        <f t="shared" si="4"/>
        <v>-0.12326741648928835</v>
      </c>
      <c r="D58">
        <v>116.30800000000001</v>
      </c>
      <c r="E58">
        <f t="shared" si="5"/>
        <v>63.305999999999997</v>
      </c>
      <c r="F58" s="9">
        <f t="shared" si="6"/>
        <v>0.35245582192924824</v>
      </c>
      <c r="G58">
        <v>46.610999999999997</v>
      </c>
      <c r="H58" s="8">
        <f t="shared" si="7"/>
        <v>69.697000000000003</v>
      </c>
      <c r="I58">
        <v>31.149000000000001</v>
      </c>
      <c r="J58">
        <v>1366633216</v>
      </c>
    </row>
    <row r="59" spans="1:10" x14ac:dyDescent="0.2">
      <c r="A59" s="1">
        <v>40724</v>
      </c>
      <c r="B59">
        <v>203.17699999999999</v>
      </c>
      <c r="C59" s="9">
        <f t="shared" si="4"/>
        <v>2.6608787980395236E-2</v>
      </c>
      <c r="D59">
        <v>136.548</v>
      </c>
      <c r="E59">
        <f t="shared" si="5"/>
        <v>66.628999999999991</v>
      </c>
      <c r="F59" s="9">
        <f t="shared" si="6"/>
        <v>0.3279357407580582</v>
      </c>
      <c r="G59">
        <v>49.963999999999999</v>
      </c>
      <c r="H59" s="8">
        <f t="shared" si="7"/>
        <v>86.584000000000003</v>
      </c>
      <c r="I59">
        <v>-29.911000000000001</v>
      </c>
      <c r="J59">
        <v>1586214656</v>
      </c>
    </row>
    <row r="60" spans="1:10" x14ac:dyDescent="0.2">
      <c r="A60" s="1">
        <v>40633</v>
      </c>
      <c r="B60">
        <v>197.84200000000001</v>
      </c>
      <c r="C60" s="9">
        <f t="shared" si="4"/>
        <v>9.7265669647608813E-2</v>
      </c>
      <c r="D60">
        <v>130.93199999999999</v>
      </c>
      <c r="E60">
        <f t="shared" si="5"/>
        <v>66.910000000000025</v>
      </c>
      <c r="F60" s="9">
        <f t="shared" si="6"/>
        <v>0.33819916903387565</v>
      </c>
      <c r="G60">
        <v>50.451999999999998</v>
      </c>
      <c r="H60" s="8">
        <f t="shared" si="7"/>
        <v>80.47999999999999</v>
      </c>
      <c r="I60">
        <v>-38.781999999999996</v>
      </c>
      <c r="J60">
        <v>1483743232</v>
      </c>
    </row>
    <row r="61" spans="1:10" x14ac:dyDescent="0.2">
      <c r="A61" s="1">
        <v>40543</v>
      </c>
      <c r="B61">
        <v>179.505</v>
      </c>
      <c r="C61" s="9">
        <f t="shared" si="4"/>
        <v>4.0582939690847371E-2</v>
      </c>
      <c r="D61">
        <v>118.93</v>
      </c>
      <c r="E61">
        <f t="shared" si="5"/>
        <v>60.574999999999989</v>
      </c>
      <c r="F61" s="9">
        <f t="shared" si="6"/>
        <v>0.33745578117601177</v>
      </c>
      <c r="G61">
        <v>37.819000000000003</v>
      </c>
      <c r="H61" s="8">
        <f t="shared" si="7"/>
        <v>81.111000000000004</v>
      </c>
      <c r="I61">
        <v>-44.802999999999997</v>
      </c>
    </row>
    <row r="62" spans="1:10" x14ac:dyDescent="0.2">
      <c r="A62" s="1">
        <v>40451</v>
      </c>
      <c r="B62">
        <v>172.36600000000001</v>
      </c>
      <c r="C62" s="9">
        <f t="shared" si="4"/>
        <v>-9.9543763384600137E-2</v>
      </c>
      <c r="D62">
        <v>114.26600000000001</v>
      </c>
      <c r="E62">
        <f t="shared" si="5"/>
        <v>58.100000000000009</v>
      </c>
      <c r="F62" s="9">
        <f t="shared" si="6"/>
        <v>0.33707343675666895</v>
      </c>
      <c r="G62">
        <v>46.003</v>
      </c>
      <c r="H62" s="8">
        <f t="shared" si="7"/>
        <v>68.263000000000005</v>
      </c>
      <c r="I62">
        <v>-17.297999999999998</v>
      </c>
      <c r="J62">
        <v>1373952512</v>
      </c>
    </row>
    <row r="63" spans="1:10" x14ac:dyDescent="0.2">
      <c r="A63" s="1">
        <v>40359</v>
      </c>
      <c r="B63">
        <v>190.40700000000001</v>
      </c>
      <c r="C63" s="9">
        <f t="shared" si="4"/>
        <v>2.4191706065120597E-2</v>
      </c>
      <c r="D63">
        <v>128.71600000000001</v>
      </c>
      <c r="E63" s="5">
        <f t="shared" si="5"/>
        <v>61.691000000000003</v>
      </c>
      <c r="F63" s="6">
        <f t="shared" si="6"/>
        <v>0.32399544134406821</v>
      </c>
      <c r="G63">
        <v>48.201999999999998</v>
      </c>
      <c r="H63" s="4">
        <f t="shared" si="7"/>
        <v>80.51400000000001</v>
      </c>
      <c r="I63">
        <v>26.742999999999999</v>
      </c>
      <c r="J63">
        <v>1205606784</v>
      </c>
    </row>
    <row r="64" spans="1:10" x14ac:dyDescent="0.2">
      <c r="A64" s="1">
        <v>40268</v>
      </c>
      <c r="B64">
        <v>185.85599999999999</v>
      </c>
      <c r="D64">
        <v>126.157</v>
      </c>
      <c r="E64" s="5">
        <f t="shared" si="5"/>
        <v>59.698999999999998</v>
      </c>
      <c r="F64" s="6">
        <f t="shared" si="6"/>
        <v>0.32121104511019283</v>
      </c>
      <c r="G64">
        <v>49.71</v>
      </c>
      <c r="H64" s="4">
        <f t="shared" si="7"/>
        <v>76.447000000000003</v>
      </c>
      <c r="I64">
        <v>3.7469999999999999</v>
      </c>
      <c r="J64">
        <v>1174940928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3493-055E-B744-B54C-273516E80474}">
  <dimension ref="A1:I18"/>
  <sheetViews>
    <sheetView workbookViewId="0">
      <selection activeCell="C19" sqref="C19"/>
    </sheetView>
  </sheetViews>
  <sheetFormatPr baseColWidth="10" defaultRowHeight="15" x14ac:dyDescent="0.2"/>
  <sheetData>
    <row r="1" spans="1:9" x14ac:dyDescent="0.2">
      <c r="A1" t="s">
        <v>22</v>
      </c>
    </row>
    <row r="2" spans="1:9" ht="16" thickBot="1" x14ac:dyDescent="0.25"/>
    <row r="3" spans="1:9" x14ac:dyDescent="0.2">
      <c r="A3" s="18" t="s">
        <v>23</v>
      </c>
      <c r="B3" s="18"/>
    </row>
    <row r="4" spans="1:9" x14ac:dyDescent="0.2">
      <c r="A4" t="s">
        <v>24</v>
      </c>
      <c r="B4">
        <v>0.95233294143646352</v>
      </c>
    </row>
    <row r="5" spans="1:9" x14ac:dyDescent="0.2">
      <c r="A5" t="s">
        <v>25</v>
      </c>
      <c r="B5">
        <v>0.90693803134502671</v>
      </c>
    </row>
    <row r="6" spans="1:9" x14ac:dyDescent="0.2">
      <c r="A6" t="s">
        <v>26</v>
      </c>
      <c r="B6">
        <v>0.90521466155511987</v>
      </c>
    </row>
    <row r="7" spans="1:9" x14ac:dyDescent="0.2">
      <c r="A7" t="s">
        <v>27</v>
      </c>
      <c r="B7">
        <v>10.347507894206879</v>
      </c>
    </row>
    <row r="8" spans="1:9" ht="16" thickBot="1" x14ac:dyDescent="0.25">
      <c r="A8" s="16" t="s">
        <v>28</v>
      </c>
      <c r="B8" s="16">
        <v>56</v>
      </c>
    </row>
    <row r="10" spans="1:9" ht="16" thickBot="1" x14ac:dyDescent="0.25">
      <c r="A10" t="s">
        <v>29</v>
      </c>
    </row>
    <row r="11" spans="1:9" x14ac:dyDescent="0.2">
      <c r="A11" s="17"/>
      <c r="B11" s="17" t="s">
        <v>34</v>
      </c>
      <c r="C11" s="17" t="s">
        <v>35</v>
      </c>
      <c r="D11" s="17" t="s">
        <v>36</v>
      </c>
      <c r="E11" s="17" t="s">
        <v>19</v>
      </c>
      <c r="F11" s="17" t="s">
        <v>37</v>
      </c>
    </row>
    <row r="12" spans="1:9" x14ac:dyDescent="0.2">
      <c r="A12" t="s">
        <v>30</v>
      </c>
      <c r="B12">
        <v>1</v>
      </c>
      <c r="C12">
        <v>56346.983464483616</v>
      </c>
      <c r="D12">
        <v>56346.983464483616</v>
      </c>
      <c r="E12">
        <v>526.25851785066675</v>
      </c>
      <c r="F12">
        <v>1.6255559191978876E-29</v>
      </c>
    </row>
    <row r="13" spans="1:9" x14ac:dyDescent="0.2">
      <c r="A13" t="s">
        <v>31</v>
      </c>
      <c r="B13">
        <v>54</v>
      </c>
      <c r="C13">
        <v>5781.8296595163793</v>
      </c>
      <c r="D13">
        <v>107.07091962067369</v>
      </c>
    </row>
    <row r="14" spans="1:9" ht="16" thickBot="1" x14ac:dyDescent="0.25">
      <c r="A14" s="16" t="s">
        <v>32</v>
      </c>
      <c r="B14" s="16">
        <v>55</v>
      </c>
      <c r="C14" s="16">
        <v>62128.813123999993</v>
      </c>
      <c r="D14" s="16"/>
      <c r="E14" s="16"/>
      <c r="F14" s="16"/>
    </row>
    <row r="15" spans="1:9" ht="16" thickBot="1" x14ac:dyDescent="0.25"/>
    <row r="16" spans="1:9" x14ac:dyDescent="0.2">
      <c r="A16" s="17"/>
      <c r="B16" s="17" t="s">
        <v>38</v>
      </c>
      <c r="C16" s="17" t="s">
        <v>27</v>
      </c>
      <c r="D16" s="17" t="s">
        <v>39</v>
      </c>
      <c r="E16" s="17" t="s">
        <v>40</v>
      </c>
      <c r="F16" s="17" t="s">
        <v>41</v>
      </c>
      <c r="G16" s="17" t="s">
        <v>42</v>
      </c>
      <c r="H16" s="17" t="s">
        <v>43</v>
      </c>
      <c r="I16" s="17" t="s">
        <v>44</v>
      </c>
    </row>
    <row r="17" spans="1:9" x14ac:dyDescent="0.2">
      <c r="A17" t="s">
        <v>33</v>
      </c>
      <c r="B17">
        <v>15.971593544666405</v>
      </c>
      <c r="C17">
        <v>4.5451043465223737</v>
      </c>
      <c r="D17">
        <v>3.5140213132591462</v>
      </c>
      <c r="E17">
        <v>9.0145854789291534E-4</v>
      </c>
      <c r="F17">
        <v>6.8592079776701809</v>
      </c>
      <c r="G17">
        <v>25.083979111662629</v>
      </c>
      <c r="H17">
        <v>6.8592079776701809</v>
      </c>
      <c r="I17">
        <v>25.083979111662629</v>
      </c>
    </row>
    <row r="18" spans="1:9" ht="16" thickBot="1" x14ac:dyDescent="0.25">
      <c r="A18" s="16" t="s">
        <v>45</v>
      </c>
      <c r="B18" s="16">
        <v>0.31718625071816664</v>
      </c>
      <c r="C18" s="16">
        <v>1.3826580429243377E-2</v>
      </c>
      <c r="D18" s="16">
        <v>22.940325147012782</v>
      </c>
      <c r="E18" s="16">
        <v>1.6255559191978643E-29</v>
      </c>
      <c r="F18" s="16">
        <v>0.28946562598911024</v>
      </c>
      <c r="G18" s="16">
        <v>0.34490687544722304</v>
      </c>
      <c r="H18" s="16">
        <v>0.28946562598911024</v>
      </c>
      <c r="I18" s="16">
        <v>0.34490687544722304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A8FA-029B-7F40-AD5F-E006A12ED2AC}">
  <dimension ref="A2:E18"/>
  <sheetViews>
    <sheetView workbookViewId="0">
      <selection activeCell="A17" sqref="A17"/>
    </sheetView>
  </sheetViews>
  <sheetFormatPr baseColWidth="10" defaultRowHeight="15" x14ac:dyDescent="0.2"/>
  <sheetData>
    <row r="2" spans="1:5" x14ac:dyDescent="0.2">
      <c r="A2" s="14" t="s">
        <v>13</v>
      </c>
    </row>
    <row r="3" spans="1:5" x14ac:dyDescent="0.2">
      <c r="A3" t="s">
        <v>14</v>
      </c>
      <c r="B3" s="19">
        <f>+'REC - FA'!B60*4</f>
        <v>791.36800000000005</v>
      </c>
    </row>
    <row r="4" spans="1:5" x14ac:dyDescent="0.2">
      <c r="A4" t="s">
        <v>15</v>
      </c>
      <c r="B4" s="15">
        <f>+AVERAGE('REC - FA'!C60:C63)*4</f>
        <v>6.249655201897665E-2</v>
      </c>
    </row>
    <row r="5" spans="1:5" x14ac:dyDescent="0.2">
      <c r="A5" t="s">
        <v>16</v>
      </c>
      <c r="B5" s="15">
        <f>+_xlfn.STDEV.S('REC - FA'!C9:C63)/0.5</f>
        <v>0.17462595709170417</v>
      </c>
    </row>
    <row r="6" spans="1:5" x14ac:dyDescent="0.2">
      <c r="A6" t="s">
        <v>17</v>
      </c>
      <c r="B6" s="15">
        <f>+AVERAGE('REC - FA'!F9:F64)</f>
        <v>0.31384946353404464</v>
      </c>
    </row>
    <row r="7" spans="1:5" x14ac:dyDescent="0.2">
      <c r="A7" t="s">
        <v>18</v>
      </c>
      <c r="B7" s="15">
        <f>+'REC - Cost'!B18</f>
        <v>0.31718625071816664</v>
      </c>
      <c r="C7" s="20">
        <f>+'REC - Cost'!E18</f>
        <v>1.6255559191978643E-29</v>
      </c>
      <c r="D7" t="s">
        <v>48</v>
      </c>
      <c r="E7">
        <f>+'REC - Cost'!B5</f>
        <v>0.90693803134502671</v>
      </c>
    </row>
    <row r="8" spans="1:5" x14ac:dyDescent="0.2">
      <c r="A8" t="s">
        <v>19</v>
      </c>
      <c r="B8" s="19">
        <f>+'REC - Cost'!B17</f>
        <v>15.971593544666405</v>
      </c>
      <c r="C8" s="20">
        <f>+'REC - Cost'!E17</f>
        <v>9.0145854789291534E-4</v>
      </c>
      <c r="D8" t="s">
        <v>49</v>
      </c>
      <c r="E8">
        <f>+'REC - Cost'!B8</f>
        <v>56</v>
      </c>
    </row>
    <row r="9" spans="1:5" x14ac:dyDescent="0.2">
      <c r="A9" t="s">
        <v>20</v>
      </c>
      <c r="B9" s="15">
        <f>+SQRT(252*_xlfn.VAR.S(REC!C:C))</f>
        <v>0.25376750700716677</v>
      </c>
    </row>
    <row r="11" spans="1:5" x14ac:dyDescent="0.2">
      <c r="A11" s="14" t="s">
        <v>21</v>
      </c>
    </row>
    <row r="12" spans="1:5" x14ac:dyDescent="0.2">
      <c r="A12" t="s">
        <v>14</v>
      </c>
      <c r="B12" s="19">
        <f>+'REC - FA'!B9*4</f>
        <v>2104.6280000000002</v>
      </c>
    </row>
    <row r="13" spans="1:5" x14ac:dyDescent="0.2">
      <c r="A13" t="s">
        <v>15</v>
      </c>
      <c r="B13" s="15">
        <f>+AVERAGE('REC - FA'!C9:C13)*4</f>
        <v>6.5074836483272128E-2</v>
      </c>
    </row>
    <row r="14" spans="1:5" x14ac:dyDescent="0.2">
      <c r="A14" t="s">
        <v>16</v>
      </c>
      <c r="B14" s="15">
        <f>+B5</f>
        <v>0.17462595709170417</v>
      </c>
    </row>
    <row r="15" spans="1:5" x14ac:dyDescent="0.2">
      <c r="A15" t="s">
        <v>17</v>
      </c>
      <c r="B15" s="15">
        <f>+B6</f>
        <v>0.31384946353404464</v>
      </c>
    </row>
    <row r="16" spans="1:5" x14ac:dyDescent="0.2">
      <c r="A16" t="s">
        <v>18</v>
      </c>
      <c r="B16" s="15">
        <f t="shared" ref="B16:B17" si="0">+B7</f>
        <v>0.31718625071816664</v>
      </c>
    </row>
    <row r="17" spans="1:2" x14ac:dyDescent="0.2">
      <c r="A17" t="s">
        <v>19</v>
      </c>
      <c r="B17" s="19">
        <f t="shared" si="0"/>
        <v>15.971593544666405</v>
      </c>
    </row>
    <row r="18" spans="1:2" x14ac:dyDescent="0.2">
      <c r="A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IP</vt:lpstr>
      <vt:lpstr>IP - FA</vt:lpstr>
      <vt:lpstr>IP - Cost</vt:lpstr>
      <vt:lpstr>IP - Params</vt:lpstr>
      <vt:lpstr>GGG</vt:lpstr>
      <vt:lpstr>GGG - FA</vt:lpstr>
      <vt:lpstr>GGG - Cost</vt:lpstr>
      <vt:lpstr>GGG - Params</vt:lpstr>
      <vt:lpstr>ALFA</vt:lpstr>
      <vt:lpstr>ALFA - FA</vt:lpstr>
      <vt:lpstr>ALFA - Cost</vt:lpstr>
      <vt:lpstr>ALFA - Params</vt:lpstr>
      <vt:lpstr>REC</vt:lpstr>
      <vt:lpstr>REC - FA</vt:lpstr>
      <vt:lpstr>REC - Cost</vt:lpstr>
      <vt:lpstr>REC - 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Sergio Dolia</cp:lastModifiedBy>
  <dcterms:created xsi:type="dcterms:W3CDTF">2026-02-19T15:40:39Z</dcterms:created>
  <dcterms:modified xsi:type="dcterms:W3CDTF">2026-02-21T16:57:56Z</dcterms:modified>
</cp:coreProperties>
</file>